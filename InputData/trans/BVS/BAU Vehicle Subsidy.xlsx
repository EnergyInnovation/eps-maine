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trans\BVS\"/>
    </mc:Choice>
  </mc:AlternateContent>
  <xr:revisionPtr revIDLastSave="0" documentId="8_{5F677B68-5D2C-4207-9181-2DFBD2129710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O63" i="2" l="1"/>
  <c r="O68" i="2" s="1"/>
  <c r="N2" i="5" s="1"/>
  <c r="N8" i="5" s="1"/>
  <c r="P63" i="2"/>
  <c r="P68" i="2" s="1"/>
  <c r="O2" i="5" s="1"/>
  <c r="O8" i="5" s="1"/>
  <c r="AC64" i="2"/>
  <c r="AC69" i="2" s="1"/>
  <c r="AB6" i="5" s="1"/>
  <c r="AE64" i="2"/>
  <c r="AE69" i="2" s="1"/>
  <c r="AD6" i="5" s="1"/>
  <c r="T63" i="2"/>
  <c r="T68" i="2" s="1"/>
  <c r="S2" i="5" s="1"/>
  <c r="S8" i="5" s="1"/>
  <c r="AD63" i="2"/>
  <c r="AD68" i="2" s="1"/>
  <c r="AC2" i="5" s="1"/>
  <c r="AC8" i="5" s="1"/>
  <c r="C64" i="2"/>
  <c r="C69" i="2" s="1"/>
  <c r="B6" i="5" s="1"/>
  <c r="E64" i="2"/>
  <c r="E69" i="2" s="1"/>
  <c r="D6" i="5" s="1"/>
  <c r="I64" i="2"/>
  <c r="I69" i="2" s="1"/>
  <c r="H6" i="5" s="1"/>
  <c r="Y64" i="2"/>
  <c r="Y69" i="2" s="1"/>
  <c r="X6" i="5" s="1"/>
  <c r="N63" i="2"/>
  <c r="N68" i="2" s="1"/>
  <c r="M2" i="5" s="1"/>
  <c r="M8" i="5" s="1"/>
  <c r="AA64" i="2"/>
  <c r="AA69" i="2" s="1"/>
  <c r="Z6" i="5" s="1"/>
  <c r="Q63" i="2"/>
  <c r="Q68" i="2" s="1"/>
  <c r="P2" i="5" s="1"/>
  <c r="P8" i="5" s="1"/>
  <c r="AD64" i="2"/>
  <c r="AD69" i="2" s="1"/>
  <c r="AC6" i="5" s="1"/>
  <c r="S63" i="2"/>
  <c r="S68" i="2" s="1"/>
  <c r="R2" i="5" s="1"/>
  <c r="R8" i="5" s="1"/>
  <c r="D64" i="2"/>
  <c r="D69" i="2" s="1"/>
  <c r="C6" i="5" s="1"/>
  <c r="G64" i="2"/>
  <c r="G69" i="2" s="1"/>
  <c r="F6" i="5" s="1"/>
  <c r="H63" i="2"/>
  <c r="H68" i="2" s="1"/>
  <c r="G2" i="5" s="1"/>
  <c r="G8" i="5" s="1"/>
  <c r="J64" i="2"/>
  <c r="J69" i="2" s="1"/>
  <c r="I6" i="5" s="1"/>
  <c r="L63" i="2"/>
  <c r="L68" i="2" s="1"/>
  <c r="K2" i="5" s="1"/>
  <c r="K8" i="5" s="1"/>
  <c r="X64" i="2"/>
  <c r="X69" i="2" s="1"/>
  <c r="W6" i="5" s="1"/>
  <c r="Z64" i="2"/>
  <c r="Z69" i="2" s="1"/>
  <c r="Y6" i="5" s="1"/>
  <c r="AB64" i="2"/>
  <c r="AB69" i="2" s="1"/>
  <c r="AA6" i="5" s="1"/>
  <c r="R63" i="2"/>
  <c r="R68" i="2" s="1"/>
  <c r="Q2" i="5" s="1"/>
  <c r="Q8" i="5" s="1"/>
  <c r="AF63" i="2"/>
  <c r="AF68" i="2" s="1"/>
  <c r="AE2" i="5" s="1"/>
  <c r="AE8" i="5" s="1"/>
  <c r="F64" i="2"/>
  <c r="F69" i="2" s="1"/>
  <c r="E6" i="5" s="1"/>
  <c r="H64" i="2"/>
  <c r="H69" i="2" s="1"/>
  <c r="G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M63" i="2"/>
  <c r="M68" i="2" s="1"/>
  <c r="L2" i="5" s="1"/>
  <c r="L8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<sst xmlns="http://schemas.openxmlformats.org/spreadsheetml/2006/main" count="491" uniqueCount="240">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</sst>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74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ME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1694.6079999999999</v>
      </c>
      <c r="D63" s="5">
        <f>SUMIFS('State EV Rebates'!$D$5:$D$24,'State EV Rebates'!$A$5:$A$24,About!$B$2)*$M$79</f>
        <v>1569.0420000000001</v>
      </c>
      <c r="E63" s="5">
        <f>SUMIFS('State EV Rebates'!$E$5:$E$24,'State EV Rebates'!$A$5:$A$24,About!$B$2)*$N$79</f>
        <v>1507.0060000000001</v>
      </c>
      <c r="F63" s="5">
        <f>SUMIFS('State EV Rebates'!$F$5:$F$24,'State EV Rebates'!$A$5:$A$24,About!$B$2)*$O$79</f>
        <v>1463.8320000000001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847.30399999999997</v>
      </c>
      <c r="D64" s="5">
        <f>SUMIFS('State EV Rebates'!$D$28:$D$47,'State EV Rebates'!$A$28:$A$47,About!$B$2)*$M$79</f>
        <v>784.52100000000007</v>
      </c>
      <c r="E64" s="5">
        <f>SUMIFS('State EV Rebates'!$E$28:$E$47,'State EV Rebates'!$A$28:$A$47,About!$B$2)*$N$79</f>
        <v>753.50300000000004</v>
      </c>
      <c r="F64" s="5">
        <f>SUMIFS('State EV Rebates'!$F$28:$F$47,'State EV Rebates'!$A$28:$A$47,About!$B$2)*$O$79</f>
        <v>731.91600000000005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3341.1061124797288</v>
      </c>
      <c r="D68" s="5">
        <f t="shared" si="0"/>
        <v>2937.6277570401335</v>
      </c>
      <c r="E68" s="5">
        <f t="shared" si="0"/>
        <v>6302.9696566176635</v>
      </c>
      <c r="F68" s="5">
        <f t="shared" si="0"/>
        <v>5019.3197018516094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7500.0225168992283</v>
      </c>
      <c r="D69" s="5">
        <f t="shared" si="1"/>
        <v>4401.5716929789032</v>
      </c>
      <c r="E69" s="5">
        <f t="shared" si="1"/>
        <v>4234.7013222883343</v>
      </c>
      <c r="F69" s="5">
        <f t="shared" si="1"/>
        <v>3578.4383385773731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3341.1061124797288</v>
      </c>
      <c r="C2" s="17">
        <f>'Passenger Vehicle Calculations'!D68</f>
        <v>2937.6277570401335</v>
      </c>
      <c r="D2" s="17">
        <f>'Passenger Vehicle Calculations'!E68</f>
        <v>6302.9696566176635</v>
      </c>
      <c r="E2" s="17">
        <f>'Passenger Vehicle Calculations'!F68</f>
        <v>5019.3197018516094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7500.0225168992283</v>
      </c>
      <c r="C6" s="17">
        <f>'Passenger Vehicle Calculations'!D69</f>
        <v>4401.5716929789032</v>
      </c>
      <c r="D6" s="17">
        <f>'Passenger Vehicle Calculations'!E69</f>
        <v>4234.7013222883343</v>
      </c>
      <c r="E6" s="17">
        <f>'Passenger Vehicle Calculations'!F69</f>
        <v>3578.4383385773731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6302.9696566176635</v>
      </c>
      <c r="E8" s="17">
        <f t="shared" si="0"/>
        <v>5019.3197018516094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2026-09-09T22:14:32Z</dcterms:modified>
</cp:coreProperties>
</file>