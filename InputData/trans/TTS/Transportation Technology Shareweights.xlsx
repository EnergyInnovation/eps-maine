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ME\trans\TTS\"/>
    </mc:Choice>
  </mc:AlternateContent>
  <xr:revisionPtr revIDLastSave="0" documentId="8_{DBDF7EB1-3F5C-459A-B3A5-4F338DD38344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F7" i="9" s="1"/>
  <c r="H3" i="9" l="1"/>
  <c r="B4" i="9"/>
  <c r="G4" i="9"/>
  <c r="H4" i="9"/>
  <c r="E5" i="9"/>
  <c r="G3" i="9"/>
  <c r="F5" i="9"/>
  <c r="C3" i="9"/>
  <c r="E6" i="9"/>
  <c r="C2" i="9"/>
  <c r="D2" i="9"/>
  <c r="D5" i="9"/>
  <c r="B7" i="9"/>
  <c r="B2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<sst xmlns="http://schemas.openxmlformats.org/spreadsheetml/2006/main" count="1577" uniqueCount="338">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</sst>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53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ME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9700</v>
      </c>
      <c r="C2">
        <f>SUMIFS(SYVbT_all!$D$4:$D$291,SYVbT_all!$A$4:$A$291,About!$B$2,SYVbT_all!$B$4:$B$291,$A2)</f>
        <v>0</v>
      </c>
      <c r="D2">
        <f>SUMIFS(SYVbT_all!$E$4:$E$291,SYVbT_all!$A$4:$A$291,About!$B$2,SYVbT_all!$B$4:$B$291,$A2)</f>
        <v>1064700</v>
      </c>
      <c r="E2">
        <f>SUMIFS(SYVbT_all!$F$4:$F$291,SYVbT_all!$A$4:$A$291,About!$B$2,SYVbT_all!$B$4:$B$291,$A2)</f>
        <v>6142</v>
      </c>
      <c r="F2">
        <f>SUMIFS(SYVbT_all!$G$4:$G$291,SYVbT_all!$A$4:$A$291,About!$B$2,SYVbT_all!$B$4:$B$291,$A2)</f>
        <v>9200</v>
      </c>
      <c r="G2">
        <f>SUMIFS(SYVbT_all!$H$4:$H$291,SYVbT_all!$A$4:$A$291,About!$B$2,SYVbT_all!$B$4:$B$291,$A2)</f>
        <v>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0</v>
      </c>
      <c r="C3">
        <f>SUMIFS(SYVbT_all!$D$4:$D$291,SYVbT_all!$A$4:$A$291,About!$B$2,SYVbT_all!$B$4:$B$291,$A3)</f>
        <v>196</v>
      </c>
      <c r="D3">
        <f>SUMIFS(SYVbT_all!$E$4:$E$291,SYVbT_all!$A$4:$A$291,About!$B$2,SYVbT_all!$B$4:$B$291,$A3)</f>
        <v>154</v>
      </c>
      <c r="E3">
        <f>SUMIFS(SYVbT_all!$F$4:$F$291,SYVbT_all!$A$4:$A$291,About!$B$2,SYVbT_all!$B$4:$B$291,$A3)</f>
        <v>1225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72</v>
      </c>
      <c r="H3">
        <f>SUMIFS(SYVbT_all!$I$4:$I$291,SYVbT_all!$A$4:$A$291,About!$B$2,SYVbT_all!$B$4:$B$291,$A3)</f>
        <v>0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24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0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0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98748</v>
      </c>
      <c r="E6">
        <f>SUMIFS(SYVbT_all!$F$4:$F$291,SYVbT_all!$A$4:$A$291,About!$B$2,SYVbT_all!$B$4:$B$291,$A6)</f>
        <v>24073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47685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9.2125264583003991E-2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9.2125264583003991E-2</v>
      </c>
      <c r="K10" s="2">
        <f t="shared" ref="K10:AI10" si="1">IF($G10="s-curve",$E10+($F10-$E10)*K$98,TREND($E10:$F10,$E$9:$F$9,K$9))</f>
        <v>0.10345840189905875</v>
      </c>
      <c r="L10" s="2">
        <f t="shared" si="1"/>
        <v>0.11832187357022678</v>
      </c>
      <c r="M10" s="2">
        <f t="shared" si="1"/>
        <v>0.13763254441571471</v>
      </c>
      <c r="N10" s="2">
        <f t="shared" si="1"/>
        <v>0.162416137753078</v>
      </c>
      <c r="O10" s="2">
        <f t="shared" si="1"/>
        <v>0.19372935914032025</v>
      </c>
      <c r="P10" s="2">
        <f t="shared" si="1"/>
        <v>0.23251874551219762</v>
      </c>
      <c r="Q10" s="2">
        <f t="shared" si="1"/>
        <v>0.27941049792638728</v>
      </c>
      <c r="R10" s="2">
        <f t="shared" si="1"/>
        <v>0.33445275543307851</v>
      </c>
      <c r="S10" s="2">
        <f t="shared" si="1"/>
        <v>0.39687337892086216</v>
      </c>
      <c r="T10" s="2">
        <f t="shared" si="1"/>
        <v>0.46495411904851214</v>
      </c>
      <c r="U10" s="2">
        <f t="shared" si="1"/>
        <v>0.53612153877434288</v>
      </c>
      <c r="V10" s="2">
        <f t="shared" si="1"/>
        <v>0.60728895850017373</v>
      </c>
      <c r="W10" s="2">
        <f t="shared" si="1"/>
        <v>0.6753696986278237</v>
      </c>
      <c r="X10" s="2">
        <f t="shared" si="1"/>
        <v>0.73779032211560724</v>
      </c>
      <c r="Y10" s="2">
        <f t="shared" si="1"/>
        <v>0.79283257962229847</v>
      </c>
      <c r="Z10" s="2">
        <f t="shared" si="1"/>
        <v>0.83972433203648822</v>
      </c>
      <c r="AA10" s="2">
        <f t="shared" si="1"/>
        <v>0.87851371840836567</v>
      </c>
      <c r="AB10" s="2">
        <f t="shared" si="1"/>
        <v>0.90982693979560791</v>
      </c>
      <c r="AC10" s="2">
        <f t="shared" si="1"/>
        <v>0.93461053313297116</v>
      </c>
      <c r="AD10" s="2">
        <f t="shared" si="1"/>
        <v>0.95392120397845914</v>
      </c>
      <c r="AE10" s="2">
        <f t="shared" si="1"/>
        <v>0.96878467564962722</v>
      </c>
      <c r="AF10" s="2">
        <f t="shared" si="1"/>
        <v>0.9801178129656819</v>
      </c>
      <c r="AG10" s="2">
        <f t="shared" si="1"/>
        <v>0.98869718909556836</v>
      </c>
      <c r="AH10" s="2">
        <f t="shared" si="1"/>
        <v>0.99515661658753141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9.8662431120855477E-3</v>
      </c>
      <c r="F14" s="2">
        <f>E14/E10*F10</f>
        <v>0.10709595415268693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9.8662431120855477E-3</v>
      </c>
      <c r="K14" s="2">
        <f t="shared" ref="K14:AI14" si="2">IF($G14="s-curve",$E14+($F14-$E14)*K$99,TREND($E14:$F14,$E$9:$F$9,K$9))</f>
        <v>1.0444943684526619E-2</v>
      </c>
      <c r="L14" s="2">
        <f t="shared" si="2"/>
        <v>1.1295619141659462E-2</v>
      </c>
      <c r="M14" s="2">
        <f t="shared" si="2"/>
        <v>1.2537307465631626E-2</v>
      </c>
      <c r="N14" s="2">
        <f t="shared" si="2"/>
        <v>1.4331215091756873E-2</v>
      </c>
      <c r="O14" s="2">
        <f t="shared" si="2"/>
        <v>1.6884838903145766E-2</v>
      </c>
      <c r="P14" s="2">
        <f t="shared" si="2"/>
        <v>2.0444332433932885E-2</v>
      </c>
      <c r="Q14" s="2">
        <f t="shared" si="2"/>
        <v>2.5263270952162527E-2</v>
      </c>
      <c r="R14" s="2">
        <f t="shared" si="2"/>
        <v>3.1535922897928635E-2</v>
      </c>
      <c r="S14" s="2">
        <f t="shared" si="2"/>
        <v>3.9296054538336803E-2</v>
      </c>
      <c r="T14" s="2">
        <f t="shared" si="2"/>
        <v>4.8314450734478015E-2</v>
      </c>
      <c r="U14" s="2">
        <f t="shared" si="2"/>
        <v>5.8063989700419295E-2</v>
      </c>
      <c r="V14" s="2">
        <f t="shared" si="2"/>
        <v>6.781352866636059E-2</v>
      </c>
      <c r="W14" s="2">
        <f t="shared" si="2"/>
        <v>7.6831924862501816E-2</v>
      </c>
      <c r="X14" s="2">
        <f t="shared" si="2"/>
        <v>8.4592056502909976E-2</v>
      </c>
      <c r="Y14" s="2">
        <f t="shared" si="2"/>
        <v>9.0864708448676085E-2</v>
      </c>
      <c r="Z14" s="2">
        <f t="shared" si="2"/>
        <v>9.5683646966905705E-2</v>
      </c>
      <c r="AA14" s="2">
        <f t="shared" si="2"/>
        <v>9.9243140497692839E-2</v>
      </c>
      <c r="AB14" s="2">
        <f t="shared" si="2"/>
        <v>0.10179676430908173</v>
      </c>
      <c r="AC14" s="2">
        <f t="shared" si="2"/>
        <v>0.10359067193520698</v>
      </c>
      <c r="AD14" s="2">
        <f t="shared" si="2"/>
        <v>0.10483236025917914</v>
      </c>
      <c r="AE14" s="2">
        <f t="shared" si="2"/>
        <v>0.10568303571631199</v>
      </c>
      <c r="AF14" s="2">
        <f t="shared" si="2"/>
        <v>0.10626173628875304</v>
      </c>
      <c r="AG14" s="2">
        <f t="shared" si="2"/>
        <v>0.10665353141198335</v>
      </c>
      <c r="AH14" s="2">
        <f t="shared" si="2"/>
        <v>0.10691792536550575</v>
      </c>
      <c r="AI14" s="2">
        <f t="shared" si="2"/>
        <v>0.10709595415268693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</v>
      </c>
      <c r="F52">
        <f>E52</f>
        <v>0</v>
      </c>
      <c r="G52" t="s">
        <v>327</v>
      </c>
      <c r="I52">
        <f t="shared" si="10"/>
        <v>0</v>
      </c>
      <c r="J52">
        <f>IF($G52="s-curve",$E52+($F52-$E52)*$I$2/(1+EXP($I$3*(COUNT($I$9:J$9)+$I$4))),TREND($E52:$F52,$E$9:$F$9,J$9))</f>
        <v>0</v>
      </c>
      <c r="K52">
        <f>IF($G52="s-curve",$E52+($F52-$E52)*$I$2/(1+EXP($I$3*(COUNT($I$9:K$9)+$I$4))),TREND($E52:$F52,$E$9:$F$9,K$9))</f>
        <v>0</v>
      </c>
      <c r="L52">
        <f>IF($G52="s-curve",$E52+($F52-$E52)*$I$2/(1+EXP($I$3*(COUNT($I$9:L$9)+$I$4))),TREND($E52:$F52,$E$9:$F$9,L$9))</f>
        <v>0</v>
      </c>
      <c r="M52">
        <f>IF($G52="s-curve",$E52+($F52-$E52)*$I$2/(1+EXP($I$3*(COUNT($I$9:M$9)+$I$4))),TREND($E52:$F52,$E$9:$F$9,M$9))</f>
        <v>0</v>
      </c>
      <c r="N52">
        <f>IF($G52="s-curve",$E52+($F52-$E52)*$I$2/(1+EXP($I$3*(COUNT($I$9:N$9)+$I$4))),TREND($E52:$F52,$E$9:$F$9,N$9))</f>
        <v>0</v>
      </c>
      <c r="O52">
        <f>IF($G52="s-curve",$E52+($F52-$E52)*$I$2/(1+EXP($I$3*(COUNT($I$9:O$9)+$I$4))),TREND($E52:$F52,$E$9:$F$9,O$9))</f>
        <v>0</v>
      </c>
      <c r="P52">
        <f>IF($G52="s-curve",$E52+($F52-$E52)*$I$2/(1+EXP($I$3*(COUNT($I$9:P$9)+$I$4))),TREND($E52:$F52,$E$9:$F$9,P$9))</f>
        <v>0</v>
      </c>
      <c r="Q52">
        <f>IF($G52="s-curve",$E52+($F52-$E52)*$I$2/(1+EXP($I$3*(COUNT($I$9:Q$9)+$I$4))),TREND($E52:$F52,$E$9:$F$9,Q$9))</f>
        <v>0</v>
      </c>
      <c r="R52">
        <f>IF($G52="s-curve",$E52+($F52-$E52)*$I$2/(1+EXP($I$3*(COUNT($I$9:R$9)+$I$4))),TREND($E52:$F52,$E$9:$F$9,R$9))</f>
        <v>0</v>
      </c>
      <c r="S52">
        <f>IF($G52="s-curve",$E52+($F52-$E52)*$I$2/(1+EXP($I$3*(COUNT($I$9:S$9)+$I$4))),TREND($E52:$F52,$E$9:$F$9,S$9))</f>
        <v>0</v>
      </c>
      <c r="T52">
        <f>IF($G52="s-curve",$E52+($F52-$E52)*$I$2/(1+EXP($I$3*(COUNT($I$9:T$9)+$I$4))),TREND($E52:$F52,$E$9:$F$9,T$9))</f>
        <v>0</v>
      </c>
      <c r="U52">
        <f>IF($G52="s-curve",$E52+($F52-$E52)*$I$2/(1+EXP($I$3*(COUNT($I$9:U$9)+$I$4))),TREND($E52:$F52,$E$9:$F$9,U$9))</f>
        <v>0</v>
      </c>
      <c r="V52">
        <f>IF($G52="s-curve",$E52+($F52-$E52)*$I$2/(1+EXP($I$3*(COUNT($I$9:V$9)+$I$4))),TREND($E52:$F52,$E$9:$F$9,V$9))</f>
        <v>0</v>
      </c>
      <c r="W52">
        <f>IF($G52="s-curve",$E52+($F52-$E52)*$I$2/(1+EXP($I$3*(COUNT($I$9:W$9)+$I$4))),TREND($E52:$F52,$E$9:$F$9,W$9))</f>
        <v>0</v>
      </c>
      <c r="X52">
        <f>IF($G52="s-curve",$E52+($F52-$E52)*$I$2/(1+EXP($I$3*(COUNT($I$9:X$9)+$I$4))),TREND($E52:$F52,$E$9:$F$9,X$9))</f>
        <v>0</v>
      </c>
      <c r="Y52">
        <f>IF($G52="s-curve",$E52+($F52-$E52)*$I$2/(1+EXP($I$3*(COUNT($I$9:Y$9)+$I$4))),TREND($E52:$F52,$E$9:$F$9,Y$9))</f>
        <v>0</v>
      </c>
      <c r="Z52">
        <f>IF($G52="s-curve",$E52+($F52-$E52)*$I$2/(1+EXP($I$3*(COUNT($I$9:Z$9)+$I$4))),TREND($E52:$F52,$E$9:$F$9,Z$9))</f>
        <v>0</v>
      </c>
      <c r="AA52">
        <f>IF($G52="s-curve",$E52+($F52-$E52)*$I$2/(1+EXP($I$3*(COUNT($I$9:AA$9)+$I$4))),TREND($E52:$F52,$E$9:$F$9,AA$9))</f>
        <v>0</v>
      </c>
      <c r="AB52">
        <f>IF($G52="s-curve",$E52+($F52-$E52)*$I$2/(1+EXP($I$3*(COUNT($I$9:AB$9)+$I$4))),TREND($E52:$F52,$E$9:$F$9,AB$9))</f>
        <v>0</v>
      </c>
      <c r="AC52">
        <f>IF($G52="s-curve",$E52+($F52-$E52)*$I$2/(1+EXP($I$3*(COUNT($I$9:AC$9)+$I$4))),TREND($E52:$F52,$E$9:$F$9,AC$9))</f>
        <v>0</v>
      </c>
      <c r="AD52">
        <f>IF($G52="s-curve",$E52+($F52-$E52)*$I$2/(1+EXP($I$3*(COUNT($I$9:AD$9)+$I$4))),TREND($E52:$F52,$E$9:$F$9,AD$9))</f>
        <v>0</v>
      </c>
      <c r="AE52">
        <f>IF($G52="s-curve",$E52+($F52-$E52)*$I$2/(1+EXP($I$3*(COUNT($I$9:AE$9)+$I$4))),TREND($E52:$F52,$E$9:$F$9,AE$9))</f>
        <v>0</v>
      </c>
      <c r="AF52">
        <f>IF($G52="s-curve",$E52+($F52-$E52)*$I$2/(1+EXP($I$3*(COUNT($I$9:AF$9)+$I$4))),TREND($E52:$F52,$E$9:$F$9,AF$9))</f>
        <v>0</v>
      </c>
      <c r="AG52">
        <f>IF($G52="s-curve",$E52+($F52-$E52)*$I$2/(1+EXP($I$3*(COUNT($I$9:AG$9)+$I$4))),TREND($E52:$F52,$E$9:$F$9,AG$9))</f>
        <v>0</v>
      </c>
      <c r="AH52">
        <f>IF($G52="s-curve",$E52+($F52-$E52)*$I$2/(1+EXP($I$3*(COUNT($I$9:AH$9)+$I$4))),TREND($E52:$F52,$E$9:$F$9,AH$9))</f>
        <v>0</v>
      </c>
      <c r="AI52">
        <f>IF($G52="s-curve",$E52+($F52-$E52)*$I$2/(1+EXP($I$3*(COUNT($I$9:AI$9)+$I$4))),TREND($E52:$F52,$E$9:$F$9,AI$9))</f>
        <v>0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1</v>
      </c>
      <c r="F55">
        <f>E55</f>
        <v>1</v>
      </c>
      <c r="G55" t="str">
        <f>IF(E55=F55,"n/a",IF(OR(C55="battery electric vehicle",C55="natural gas vehicle",C55="plugin hybrid vehicle"),"s-curve","linear"))</f>
        <v>n/a</v>
      </c>
      <c r="I55">
        <f t="shared" si="10"/>
        <v>1</v>
      </c>
      <c r="J55">
        <f>IF($G55="s-curve",$E55+($F55-$E55)*$I$2/(1+EXP($I$3*(COUNT($I$9:J$9)+$I$4))),TREND($E55:$F55,$E$9:$F$9,J$9))</f>
        <v>1</v>
      </c>
      <c r="K55">
        <f>IF($G55="s-curve",$E55+($F55-$E55)*$I$2/(1+EXP($I$3*(COUNT($I$9:K$9)+$I$4))),TREND($E55:$F55,$E$9:$F$9,K$9))</f>
        <v>1</v>
      </c>
      <c r="L55">
        <f>IF($G55="s-curve",$E55+($F55-$E55)*$I$2/(1+EXP($I$3*(COUNT($I$9:L$9)+$I$4))),TREND($E55:$F55,$E$9:$F$9,L$9))</f>
        <v>1</v>
      </c>
      <c r="M55">
        <f>IF($G55="s-curve",$E55+($F55-$E55)*$I$2/(1+EXP($I$3*(COUNT($I$9:M$9)+$I$4))),TREND($E55:$F55,$E$9:$F$9,M$9))</f>
        <v>1</v>
      </c>
      <c r="N55">
        <f>IF($G55="s-curve",$E55+($F55-$E55)*$I$2/(1+EXP($I$3*(COUNT($I$9:N$9)+$I$4))),TREND($E55:$F55,$E$9:$F$9,N$9))</f>
        <v>1</v>
      </c>
      <c r="O55">
        <f>IF($G55="s-curve",$E55+($F55-$E55)*$I$2/(1+EXP($I$3*(COUNT($I$9:O$9)+$I$4))),TREND($E55:$F55,$E$9:$F$9,O$9))</f>
        <v>1</v>
      </c>
      <c r="P55">
        <f>IF($G55="s-curve",$E55+($F55-$E55)*$I$2/(1+EXP($I$3*(COUNT($I$9:P$9)+$I$4))),TREND($E55:$F55,$E$9:$F$9,P$9))</f>
        <v>1</v>
      </c>
      <c r="Q55">
        <f>IF($G55="s-curve",$E55+($F55-$E55)*$I$2/(1+EXP($I$3*(COUNT($I$9:Q$9)+$I$4))),TREND($E55:$F55,$E$9:$F$9,Q$9))</f>
        <v>1</v>
      </c>
      <c r="R55">
        <f>IF($G55="s-curve",$E55+($F55-$E55)*$I$2/(1+EXP($I$3*(COUNT($I$9:R$9)+$I$4))),TREND($E55:$F55,$E$9:$F$9,R$9))</f>
        <v>1</v>
      </c>
      <c r="S55">
        <f>IF($G55="s-curve",$E55+($F55-$E55)*$I$2/(1+EXP($I$3*(COUNT($I$9:S$9)+$I$4))),TREND($E55:$F55,$E$9:$F$9,S$9))</f>
        <v>1</v>
      </c>
      <c r="T55">
        <f>IF($G55="s-curve",$E55+($F55-$E55)*$I$2/(1+EXP($I$3*(COUNT($I$9:T$9)+$I$4))),TREND($E55:$F55,$E$9:$F$9,T$9))</f>
        <v>1</v>
      </c>
      <c r="U55">
        <f>IF($G55="s-curve",$E55+($F55-$E55)*$I$2/(1+EXP($I$3*(COUNT($I$9:U$9)+$I$4))),TREND($E55:$F55,$E$9:$F$9,U$9))</f>
        <v>1</v>
      </c>
      <c r="V55">
        <f>IF($G55="s-curve",$E55+($F55-$E55)*$I$2/(1+EXP($I$3*(COUNT($I$9:V$9)+$I$4))),TREND($E55:$F55,$E$9:$F$9,V$9))</f>
        <v>1</v>
      </c>
      <c r="W55">
        <f>IF($G55="s-curve",$E55+($F55-$E55)*$I$2/(1+EXP($I$3*(COUNT($I$9:W$9)+$I$4))),TREND($E55:$F55,$E$9:$F$9,W$9))</f>
        <v>1</v>
      </c>
      <c r="X55">
        <f>IF($G55="s-curve",$E55+($F55-$E55)*$I$2/(1+EXP($I$3*(COUNT($I$9:X$9)+$I$4))),TREND($E55:$F55,$E$9:$F$9,X$9))</f>
        <v>1</v>
      </c>
      <c r="Y55">
        <f>IF($G55="s-curve",$E55+($F55-$E55)*$I$2/(1+EXP($I$3*(COUNT($I$9:Y$9)+$I$4))),TREND($E55:$F55,$E$9:$F$9,Y$9))</f>
        <v>1</v>
      </c>
      <c r="Z55">
        <f>IF($G55="s-curve",$E55+($F55-$E55)*$I$2/(1+EXP($I$3*(COUNT($I$9:Z$9)+$I$4))),TREND($E55:$F55,$E$9:$F$9,Z$9))</f>
        <v>1</v>
      </c>
      <c r="AA55">
        <f>IF($G55="s-curve",$E55+($F55-$E55)*$I$2/(1+EXP($I$3*(COUNT($I$9:AA$9)+$I$4))),TREND($E55:$F55,$E$9:$F$9,AA$9))</f>
        <v>1</v>
      </c>
      <c r="AB55">
        <f>IF($G55="s-curve",$E55+($F55-$E55)*$I$2/(1+EXP($I$3*(COUNT($I$9:AB$9)+$I$4))),TREND($E55:$F55,$E$9:$F$9,AB$9))</f>
        <v>1</v>
      </c>
      <c r="AC55">
        <f>IF($G55="s-curve",$E55+($F55-$E55)*$I$2/(1+EXP($I$3*(COUNT($I$9:AC$9)+$I$4))),TREND($E55:$F55,$E$9:$F$9,AC$9))</f>
        <v>1</v>
      </c>
      <c r="AD55">
        <f>IF($G55="s-curve",$E55+($F55-$E55)*$I$2/(1+EXP($I$3*(COUNT($I$9:AD$9)+$I$4))),TREND($E55:$F55,$E$9:$F$9,AD$9))</f>
        <v>1</v>
      </c>
      <c r="AE55">
        <f>IF($G55="s-curve",$E55+($F55-$E55)*$I$2/(1+EXP($I$3*(COUNT($I$9:AE$9)+$I$4))),TREND($E55:$F55,$E$9:$F$9,AE$9))</f>
        <v>1</v>
      </c>
      <c r="AF55">
        <f>IF($G55="s-curve",$E55+($F55-$E55)*$I$2/(1+EXP($I$3*(COUNT($I$9:AF$9)+$I$4))),TREND($E55:$F55,$E$9:$F$9,AF$9))</f>
        <v>1</v>
      </c>
      <c r="AG55">
        <f>IF($G55="s-curve",$E55+($F55-$E55)*$I$2/(1+EXP($I$3*(COUNT($I$9:AG$9)+$I$4))),TREND($E55:$F55,$E$9:$F$9,AG$9))</f>
        <v>1</v>
      </c>
      <c r="AH55">
        <f>IF($G55="s-curve",$E55+($F55-$E55)*$I$2/(1+EXP($I$3*(COUNT($I$9:AH$9)+$I$4))),TREND($E55:$F55,$E$9:$F$9,AH$9))</f>
        <v>1</v>
      </c>
      <c r="AI55">
        <f>IF($G55="s-curve",$E55+($F55-$E55)*$I$2/(1+EXP($I$3*(COUNT($I$9:AI$9)+$I$4))),TREND($E55:$F55,$E$9:$F$9,AI$9))</f>
        <v>1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9.2125264583003991E-2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9.2125264583003991E-2</v>
      </c>
      <c r="J80" s="2">
        <f>$E80</f>
        <v>9.2125264583003991E-2</v>
      </c>
      <c r="K80" s="2">
        <f t="shared" ref="K80:AI80" si="13">IF($G80="s-curve",$E80+($F80-$E80)*K$98,TREND($E80:$F80,$E$9:$F$9,K$9))</f>
        <v>0.10345840189905875</v>
      </c>
      <c r="L80" s="2">
        <f t="shared" si="13"/>
        <v>0.11832187357022678</v>
      </c>
      <c r="M80" s="2">
        <f t="shared" si="13"/>
        <v>0.13763254441571471</v>
      </c>
      <c r="N80" s="2">
        <f t="shared" si="13"/>
        <v>0.162416137753078</v>
      </c>
      <c r="O80" s="2">
        <f t="shared" si="13"/>
        <v>0.19372935914032025</v>
      </c>
      <c r="P80" s="2">
        <f t="shared" si="13"/>
        <v>0.23251874551219762</v>
      </c>
      <c r="Q80" s="2">
        <f t="shared" si="13"/>
        <v>0.27941049792638728</v>
      </c>
      <c r="R80" s="2">
        <f t="shared" si="13"/>
        <v>0.33445275543307851</v>
      </c>
      <c r="S80" s="2">
        <f t="shared" si="13"/>
        <v>0.39687337892086216</v>
      </c>
      <c r="T80" s="2">
        <f t="shared" si="13"/>
        <v>0.46495411904851214</v>
      </c>
      <c r="U80" s="2">
        <f t="shared" si="13"/>
        <v>0.53612153877434288</v>
      </c>
      <c r="V80" s="2">
        <f t="shared" si="13"/>
        <v>0.60728895850017373</v>
      </c>
      <c r="W80" s="2">
        <f t="shared" si="13"/>
        <v>0.6753696986278237</v>
      </c>
      <c r="X80" s="2">
        <f t="shared" si="13"/>
        <v>0.73779032211560724</v>
      </c>
      <c r="Y80" s="2">
        <f t="shared" si="13"/>
        <v>0.79283257962229847</v>
      </c>
      <c r="Z80" s="2">
        <f t="shared" si="13"/>
        <v>0.83972433203648822</v>
      </c>
      <c r="AA80" s="2">
        <f t="shared" si="13"/>
        <v>0.87851371840836567</v>
      </c>
      <c r="AB80" s="2">
        <f t="shared" si="13"/>
        <v>0.90982693979560791</v>
      </c>
      <c r="AC80" s="2">
        <f t="shared" si="13"/>
        <v>0.93461053313297116</v>
      </c>
      <c r="AD80" s="2">
        <f t="shared" si="13"/>
        <v>0.95392120397845914</v>
      </c>
      <c r="AE80" s="2">
        <f t="shared" si="13"/>
        <v>0.96878467564962722</v>
      </c>
      <c r="AF80" s="2">
        <f t="shared" si="13"/>
        <v>0.9801178129656819</v>
      </c>
      <c r="AG80" s="2">
        <f t="shared" si="13"/>
        <v>0.98869718909556836</v>
      </c>
      <c r="AH80" s="2">
        <f t="shared" si="13"/>
        <v>0.99515661658753141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9.8662431120855477E-3</v>
      </c>
      <c r="F84">
        <f t="shared" si="12"/>
        <v>0.10709595415268693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9.8662431120855477E-3</v>
      </c>
      <c r="J84" s="2">
        <f>$E84</f>
        <v>9.8662431120855477E-3</v>
      </c>
      <c r="K84" s="2">
        <f t="shared" ref="K84:AI84" si="14">IF($G84="s-curve",$E84+($F84-$E84)*K$97,TREND($E84:$F84,$E$9:$F$9,K$9))</f>
        <v>1.0161886824299925E-2</v>
      </c>
      <c r="L84" s="2">
        <f t="shared" si="14"/>
        <v>1.0558303895468846E-2</v>
      </c>
      <c r="M84" s="2">
        <f t="shared" si="14"/>
        <v>1.1088620844385189E-2</v>
      </c>
      <c r="N84" s="2">
        <f t="shared" si="14"/>
        <v>1.1795883430796465E-2</v>
      </c>
      <c r="O84" s="2">
        <f t="shared" si="14"/>
        <v>1.2735265714902713E-2</v>
      </c>
      <c r="P84" s="2">
        <f t="shared" si="14"/>
        <v>1.3976165782328244E-2</v>
      </c>
      <c r="Q84" s="2">
        <f t="shared" si="14"/>
        <v>1.5603613018214252E-2</v>
      </c>
      <c r="R84" s="2">
        <f t="shared" si="14"/>
        <v>1.7717997772050444E-2</v>
      </c>
      <c r="S84" s="2">
        <f t="shared" si="14"/>
        <v>2.043162964517832E-2</v>
      </c>
      <c r="T84" s="2">
        <f t="shared" si="14"/>
        <v>2.3860210579752756E-2</v>
      </c>
      <c r="U84" s="2">
        <f t="shared" si="14"/>
        <v>2.8107379816471552E-2</v>
      </c>
      <c r="V84" s="2">
        <f t="shared" si="14"/>
        <v>3.324170203544255E-2</v>
      </c>
      <c r="W84" s="2">
        <f t="shared" si="14"/>
        <v>3.9268448129355017E-2</v>
      </c>
      <c r="X84" s="2">
        <f t="shared" si="14"/>
        <v>4.6103074211667296E-2</v>
      </c>
      <c r="Y84" s="2">
        <f t="shared" si="14"/>
        <v>5.3557443876376357E-2</v>
      </c>
      <c r="Z84" s="2">
        <f t="shared" si="14"/>
        <v>6.1349783585450589E-2</v>
      </c>
      <c r="AA84" s="2">
        <f t="shared" si="14"/>
        <v>6.9142123294524821E-2</v>
      </c>
      <c r="AB84" s="2">
        <f t="shared" si="14"/>
        <v>7.6596492959233875E-2</v>
      </c>
      <c r="AC84" s="2">
        <f t="shared" si="14"/>
        <v>8.3431119041546167E-2</v>
      </c>
      <c r="AD84" s="2">
        <f t="shared" si="14"/>
        <v>8.9457865135458628E-2</v>
      </c>
      <c r="AE84" s="2">
        <f t="shared" si="14"/>
        <v>9.4592187354429619E-2</v>
      </c>
      <c r="AF84" s="2">
        <f t="shared" si="14"/>
        <v>9.8839356591148425E-2</v>
      </c>
      <c r="AG84" s="2">
        <f t="shared" si="14"/>
        <v>0.10226793752572286</v>
      </c>
      <c r="AH84" s="2">
        <f t="shared" si="14"/>
        <v>0.10498156939885074</v>
      </c>
      <c r="AI84" s="2">
        <f t="shared" si="14"/>
        <v>0.10709595415268693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9.2125264583003991E-2</v>
      </c>
      <c r="C2">
        <f>Data!K10</f>
        <v>0.10345840189905875</v>
      </c>
      <c r="D2">
        <f>Data!L10</f>
        <v>0.11832187357022678</v>
      </c>
      <c r="E2">
        <f>Data!M10</f>
        <v>0.13763254441571471</v>
      </c>
      <c r="F2">
        <f>Data!N10</f>
        <v>0.162416137753078</v>
      </c>
      <c r="G2">
        <f>Data!O10</f>
        <v>0.19372935914032025</v>
      </c>
      <c r="H2">
        <f>Data!P10</f>
        <v>0.23251874551219762</v>
      </c>
      <c r="I2">
        <f>Data!Q10</f>
        <v>0.27941049792638728</v>
      </c>
      <c r="J2">
        <f>Data!R10</f>
        <v>0.33445275543307851</v>
      </c>
      <c r="K2">
        <f>Data!S10</f>
        <v>0.39687337892086216</v>
      </c>
      <c r="L2">
        <f>Data!T10</f>
        <v>0.46495411904851214</v>
      </c>
      <c r="M2">
        <f>Data!U10</f>
        <v>0.53612153877434288</v>
      </c>
      <c r="N2">
        <f>Data!V10</f>
        <v>0.60728895850017373</v>
      </c>
      <c r="O2">
        <f>Data!W10</f>
        <v>0.6753696986278237</v>
      </c>
      <c r="P2">
        <f>Data!X10</f>
        <v>0.73779032211560724</v>
      </c>
      <c r="Q2">
        <f>Data!Y10</f>
        <v>0.79283257962229847</v>
      </c>
      <c r="R2">
        <f>Data!Z10</f>
        <v>0.83972433203648822</v>
      </c>
      <c r="S2">
        <f>Data!AA10</f>
        <v>0.87851371840836567</v>
      </c>
      <c r="T2">
        <f>Data!AB10</f>
        <v>0.90982693979560791</v>
      </c>
      <c r="U2">
        <f>Data!AC10</f>
        <v>0.93461053313297116</v>
      </c>
      <c r="V2">
        <f>Data!AD10</f>
        <v>0.95392120397845914</v>
      </c>
      <c r="W2">
        <f>Data!AE10</f>
        <v>0.96878467564962722</v>
      </c>
      <c r="X2">
        <f>Data!AF10</f>
        <v>0.9801178129656819</v>
      </c>
      <c r="Y2">
        <f>Data!AG10</f>
        <v>0.98869718909556836</v>
      </c>
      <c r="Z2">
        <f>Data!AH10</f>
        <v>0.99515661658753141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9.8662431120855477E-3</v>
      </c>
      <c r="C6">
        <f>Data!K14</f>
        <v>1.0444943684526619E-2</v>
      </c>
      <c r="D6">
        <f>Data!L14</f>
        <v>1.1295619141659462E-2</v>
      </c>
      <c r="E6">
        <f>Data!M14</f>
        <v>1.2537307465631626E-2</v>
      </c>
      <c r="F6">
        <f>Data!N14</f>
        <v>1.4331215091756873E-2</v>
      </c>
      <c r="G6">
        <f>Data!O14</f>
        <v>1.6884838903145766E-2</v>
      </c>
      <c r="H6">
        <f>Data!P14</f>
        <v>2.0444332433932885E-2</v>
      </c>
      <c r="I6">
        <f>Data!Q14</f>
        <v>2.5263270952162527E-2</v>
      </c>
      <c r="J6">
        <f>Data!R14</f>
        <v>3.1535922897928635E-2</v>
      </c>
      <c r="K6">
        <f>Data!S14</f>
        <v>3.9296054538336803E-2</v>
      </c>
      <c r="L6">
        <f>Data!T14</f>
        <v>4.8314450734478015E-2</v>
      </c>
      <c r="M6">
        <f>Data!U14</f>
        <v>5.8063989700419295E-2</v>
      </c>
      <c r="N6">
        <f>Data!V14</f>
        <v>6.781352866636059E-2</v>
      </c>
      <c r="O6">
        <f>Data!W14</f>
        <v>7.6831924862501816E-2</v>
      </c>
      <c r="P6">
        <f>Data!X14</f>
        <v>8.4592056502909976E-2</v>
      </c>
      <c r="Q6">
        <f>Data!Y14</f>
        <v>9.0864708448676085E-2</v>
      </c>
      <c r="R6">
        <f>Data!Z14</f>
        <v>9.5683646966905705E-2</v>
      </c>
      <c r="S6">
        <f>Data!AA14</f>
        <v>9.9243140497692839E-2</v>
      </c>
      <c r="T6">
        <f>Data!AB14</f>
        <v>0.10179676430908173</v>
      </c>
      <c r="U6">
        <f>Data!AC14</f>
        <v>0.10359067193520698</v>
      </c>
      <c r="V6">
        <f>Data!AD14</f>
        <v>0.10483236025917914</v>
      </c>
      <c r="W6">
        <f>Data!AE14</f>
        <v>0.10568303571631199</v>
      </c>
      <c r="X6">
        <f>Data!AF14</f>
        <v>0.10626173628875304</v>
      </c>
      <c r="Y6">
        <f>Data!AG14</f>
        <v>0.10665353141198335</v>
      </c>
      <c r="Z6">
        <f>Data!AH14</f>
        <v>0.10691792536550575</v>
      </c>
      <c r="AA6">
        <f>Data!AI14</f>
        <v>0.10709595415268693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</v>
      </c>
      <c r="C2">
        <f>Data!K52</f>
        <v>0</v>
      </c>
      <c r="D2">
        <f>Data!L52</f>
        <v>0</v>
      </c>
      <c r="E2">
        <f>Data!M52</f>
        <v>0</v>
      </c>
      <c r="F2">
        <f>Data!N52</f>
        <v>0</v>
      </c>
      <c r="G2">
        <f>Data!O52</f>
        <v>0</v>
      </c>
      <c r="H2">
        <f>Data!P52</f>
        <v>0</v>
      </c>
      <c r="I2">
        <f>Data!Q52</f>
        <v>0</v>
      </c>
      <c r="J2">
        <f>Data!R52</f>
        <v>0</v>
      </c>
      <c r="K2">
        <f>Data!S52</f>
        <v>0</v>
      </c>
      <c r="L2">
        <f>Data!T52</f>
        <v>0</v>
      </c>
      <c r="M2">
        <f>Data!U52</f>
        <v>0</v>
      </c>
      <c r="N2">
        <f>Data!V52</f>
        <v>0</v>
      </c>
      <c r="O2">
        <f>Data!W52</f>
        <v>0</v>
      </c>
      <c r="P2">
        <f>Data!X52</f>
        <v>0</v>
      </c>
      <c r="Q2">
        <f>Data!Y52</f>
        <v>0</v>
      </c>
      <c r="R2">
        <f>Data!Z52</f>
        <v>0</v>
      </c>
      <c r="S2">
        <f>Data!AA52</f>
        <v>0</v>
      </c>
      <c r="T2">
        <f>Data!AB52</f>
        <v>0</v>
      </c>
      <c r="U2">
        <f>Data!AC52</f>
        <v>0</v>
      </c>
      <c r="V2">
        <f>Data!AD52</f>
        <v>0</v>
      </c>
      <c r="W2">
        <f>Data!AE52</f>
        <v>0</v>
      </c>
      <c r="X2">
        <f>Data!AF52</f>
        <v>0</v>
      </c>
      <c r="Y2">
        <f>Data!AG52</f>
        <v>0</v>
      </c>
      <c r="Z2">
        <f>Data!AH52</f>
        <v>0</v>
      </c>
      <c r="AA2">
        <f>Data!AI52</f>
        <v>0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1</v>
      </c>
      <c r="C5">
        <f>Data!K55</f>
        <v>1</v>
      </c>
      <c r="D5">
        <f>Data!L55</f>
        <v>1</v>
      </c>
      <c r="E5">
        <f>Data!M55</f>
        <v>1</v>
      </c>
      <c r="F5">
        <f>Data!N55</f>
        <v>1</v>
      </c>
      <c r="G5">
        <f>Data!O55</f>
        <v>1</v>
      </c>
      <c r="H5">
        <f>Data!P55</f>
        <v>1</v>
      </c>
      <c r="I5">
        <f>Data!Q55</f>
        <v>1</v>
      </c>
      <c r="J5">
        <f>Data!R55</f>
        <v>1</v>
      </c>
      <c r="K5">
        <f>Data!S55</f>
        <v>1</v>
      </c>
      <c r="L5">
        <f>Data!T55</f>
        <v>1</v>
      </c>
      <c r="M5">
        <f>Data!U55</f>
        <v>1</v>
      </c>
      <c r="N5">
        <f>Data!V55</f>
        <v>1</v>
      </c>
      <c r="O5">
        <f>Data!W55</f>
        <v>1</v>
      </c>
      <c r="P5">
        <f>Data!X55</f>
        <v>1</v>
      </c>
      <c r="Q5">
        <f>Data!Y55</f>
        <v>1</v>
      </c>
      <c r="R5">
        <f>Data!Z55</f>
        <v>1</v>
      </c>
      <c r="S5">
        <f>Data!AA55</f>
        <v>1</v>
      </c>
      <c r="T5">
        <f>Data!AB55</f>
        <v>1</v>
      </c>
      <c r="U5">
        <f>Data!AC55</f>
        <v>1</v>
      </c>
      <c r="V5">
        <f>Data!AD55</f>
        <v>1</v>
      </c>
      <c r="W5">
        <f>Data!AE55</f>
        <v>1</v>
      </c>
      <c r="X5">
        <f>Data!AF55</f>
        <v>1</v>
      </c>
      <c r="Y5">
        <f>Data!AG55</f>
        <v>1</v>
      </c>
      <c r="Z5">
        <f>Data!AH55</f>
        <v>1</v>
      </c>
      <c r="AA5">
        <f>Data!AI55</f>
        <v>1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9.2125264583003991E-2</v>
      </c>
      <c r="C2">
        <f>Data!K80</f>
        <v>0.10345840189905875</v>
      </c>
      <c r="D2">
        <f>Data!L80</f>
        <v>0.11832187357022678</v>
      </c>
      <c r="E2">
        <f>Data!M80</f>
        <v>0.13763254441571471</v>
      </c>
      <c r="F2">
        <f>Data!N80</f>
        <v>0.162416137753078</v>
      </c>
      <c r="G2">
        <f>Data!O80</f>
        <v>0.19372935914032025</v>
      </c>
      <c r="H2">
        <f>Data!P80</f>
        <v>0.23251874551219762</v>
      </c>
      <c r="I2">
        <f>Data!Q80</f>
        <v>0.27941049792638728</v>
      </c>
      <c r="J2">
        <f>Data!R80</f>
        <v>0.33445275543307851</v>
      </c>
      <c r="K2">
        <f>Data!S80</f>
        <v>0.39687337892086216</v>
      </c>
      <c r="L2">
        <f>Data!T80</f>
        <v>0.46495411904851214</v>
      </c>
      <c r="M2">
        <f>Data!U80</f>
        <v>0.53612153877434288</v>
      </c>
      <c r="N2">
        <f>Data!V80</f>
        <v>0.60728895850017373</v>
      </c>
      <c r="O2">
        <f>Data!W80</f>
        <v>0.6753696986278237</v>
      </c>
      <c r="P2">
        <f>Data!X80</f>
        <v>0.73779032211560724</v>
      </c>
      <c r="Q2">
        <f>Data!Y80</f>
        <v>0.79283257962229847</v>
      </c>
      <c r="R2">
        <f>Data!Z80</f>
        <v>0.83972433203648822</v>
      </c>
      <c r="S2">
        <f>Data!AA80</f>
        <v>0.87851371840836567</v>
      </c>
      <c r="T2">
        <f>Data!AB80</f>
        <v>0.90982693979560791</v>
      </c>
      <c r="U2">
        <f>Data!AC80</f>
        <v>0.93461053313297116</v>
      </c>
      <c r="V2">
        <f>Data!AD80</f>
        <v>0.95392120397845914</v>
      </c>
      <c r="W2">
        <f>Data!AE80</f>
        <v>0.96878467564962722</v>
      </c>
      <c r="X2">
        <f>Data!AF80</f>
        <v>0.9801178129656819</v>
      </c>
      <c r="Y2">
        <f>Data!AG80</f>
        <v>0.98869718909556836</v>
      </c>
      <c r="Z2">
        <f>Data!AH80</f>
        <v>0.99515661658753141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9.8662431120855477E-3</v>
      </c>
      <c r="C6">
        <f>Data!K84</f>
        <v>1.0161886824299925E-2</v>
      </c>
      <c r="D6">
        <f>Data!L84</f>
        <v>1.0558303895468846E-2</v>
      </c>
      <c r="E6">
        <f>Data!M84</f>
        <v>1.1088620844385189E-2</v>
      </c>
      <c r="F6">
        <f>Data!N84</f>
        <v>1.1795883430796465E-2</v>
      </c>
      <c r="G6">
        <f>Data!O84</f>
        <v>1.2735265714902713E-2</v>
      </c>
      <c r="H6">
        <f>Data!P84</f>
        <v>1.3976165782328244E-2</v>
      </c>
      <c r="I6">
        <f>Data!Q84</f>
        <v>1.5603613018214252E-2</v>
      </c>
      <c r="J6">
        <f>Data!R84</f>
        <v>1.7717997772050444E-2</v>
      </c>
      <c r="K6">
        <f>Data!S84</f>
        <v>2.043162964517832E-2</v>
      </c>
      <c r="L6">
        <f>Data!T84</f>
        <v>2.3860210579752756E-2</v>
      </c>
      <c r="M6">
        <f>Data!U84</f>
        <v>2.8107379816471552E-2</v>
      </c>
      <c r="N6">
        <f>Data!V84</f>
        <v>3.324170203544255E-2</v>
      </c>
      <c r="O6">
        <f>Data!W84</f>
        <v>3.9268448129355017E-2</v>
      </c>
      <c r="P6">
        <f>Data!X84</f>
        <v>4.6103074211667296E-2</v>
      </c>
      <c r="Q6">
        <f>Data!Y84</f>
        <v>5.3557443876376357E-2</v>
      </c>
      <c r="R6">
        <f>Data!Z84</f>
        <v>6.1349783585450589E-2</v>
      </c>
      <c r="S6">
        <f>Data!AA84</f>
        <v>6.9142123294524821E-2</v>
      </c>
      <c r="T6">
        <f>Data!AB84</f>
        <v>7.6596492959233875E-2</v>
      </c>
      <c r="U6">
        <f>Data!AC84</f>
        <v>8.3431119041546167E-2</v>
      </c>
      <c r="V6">
        <f>Data!AD84</f>
        <v>8.9457865135458628E-2</v>
      </c>
      <c r="W6">
        <f>Data!AE84</f>
        <v>9.4592187354429619E-2</v>
      </c>
      <c r="X6">
        <f>Data!AF84</f>
        <v>9.8839356591148425E-2</v>
      </c>
      <c r="Y6">
        <f>Data!AG84</f>
        <v>0.10226793752572286</v>
      </c>
      <c r="Z6">
        <f>Data!AH84</f>
        <v>0.10498156939885074</v>
      </c>
      <c r="AA6">
        <f>Data!AI84</f>
        <v>0.10709595415268693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2026-08-03T19:40:47Z</dcterms:modified>
</cp:coreProperties>
</file>