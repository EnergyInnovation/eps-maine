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E\trans\BCDTRtSY\"/>
    </mc:Choice>
  </mc:AlternateContent>
  <xr:revisionPtr revIDLastSave="0" documentId="8_{62BB78DA-7F7D-4CBF-8155-13713DF753C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<sst xmlns="http://schemas.openxmlformats.org/spreadsheetml/2006/main" count="6428" uniqueCount="3038">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</sst>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2904</v>
      </c>
      <c r="C1" s="77">
        <v>46248</v>
      </c>
      <c r="H1" t="s">
        <v>2981</v>
      </c>
      <c r="I1" t="s">
        <v>2982</v>
      </c>
    </row>
    <row r="2" spans="1:9">
      <c r="B2" t="str">
        <f>VLOOKUP(B1,H2:I52,2)</f>
        <v>ME</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Maine</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0.99881500489774533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0.99900300472602943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0.99612375173794632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0.99283906656320597</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0.98883607291051834</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0.98766110054031808</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0.98664407758044748</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0.9842956501613529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0.98252612343449863</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0.97995930131526954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0.97806167485899276</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0.97657683914007154</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0.97514729821331447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0.97315818067347182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0.97136239403039937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0.9685241884022957</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0.96557566836032371</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0.96232076290355295</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0.95928012385121408</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0.95604360563233537</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0.95257020571240691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0.94839251242753808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0.94434285345613023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0.94009727795001641</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0.93622093896261149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1.0105379765265905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1.0151590439394012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1.0162697679119828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1.0161323335643124</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1.0145869305232833</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1.0149194997406692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1.0148411598303817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1.0152175801341945</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1.0151417308186901</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1.0153665291236358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1.0148497950714261</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1.0144532888192508</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1.0135871538111367</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1.0127011689977996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1.0117665740517559</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1.0098510523263997</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1.0078895385399766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1.0056206659230336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1.0032425515760699</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1.0007631533872177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0.99793669231927307</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0.99501211527972822</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0.99175198686149024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0.9883417848900623</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0.98487627774784536</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1.0238582633858284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1.0349190779980424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1.0352209895679554</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1.0401536854070512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1.0489549286561493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1.0602986268515737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1.0757441902469185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1.0928829088697598</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1.112136037576458</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1.133666869495533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1.1484975279937562</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1.1632938942349011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1.1777536174227357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1.1911879185237704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1.2049455788172236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1.2169976491294867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1.2299470000193893</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1.2440052320297288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1.2578677530489379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1.2717313081527657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1.2845517934767909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1.2954786012902384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1.3064692366826649</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1.3164041445335342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1.3266857647034158</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1.0559838556885048</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1.0949795445366881</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1.1220926087603829</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1.1440927648109658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1.1612651020640665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1.1780342594827122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1.1925831769003543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1.2078470019311836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1.2182036494100721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1.2284517818790659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1.2351193561377538</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1.2425501760829436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1.2487084659460754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1.252298410734844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1.2561880607657576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1.2583009018209381</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1.2604026934954544</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1.2610408055492257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1.2623986623280283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1.2643244544877759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1.2647335822537802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1.2657748258434984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1.2647044631000519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1.2632485879644773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1.261508238618918</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0.99466553920084733</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0.98237636399427686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0.96438080576663576</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0.94896125294107614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0.93591879985467219</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0.92572008962670449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0.91781625295393909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0.91109789653967554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0.90559434037498687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0.90134581392093471</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0.89432510510113328</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0.88738145853589245</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0.88032585923738293</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0.87324666126735617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0.86629558160269871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0.85846512011397202</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0.85106784291735549</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0.84398092463898733</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0.83693244478751339</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0.82989252670315328</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0.82246703175261315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0.81449820325869171</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0.80644846202295517</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0.79810989263988086</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0.79006203109648998</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0.99858107979760213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0.99929548677950197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0.99707554764381212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0.99463559429407145</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0.99118602325061744</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0.99120316840246336</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0.99126261498399126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0.98985201230562081</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0.98878462123066635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0.98685781307028964</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0.98569862150375187</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0.9849656874813173</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0.9842049179372353</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0.98276691516245707</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0.98154717730681207</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0.97954214804488071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0.97728932636800381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0.97482270248414626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0.97266854472078446</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0.97039368896342304</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0.96769620387078292</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0.96433499005482914</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0.96093557306491795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0.9574040684526367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0.95424331290623099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0.98884998029711801</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0.98319184110322921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0.9772016613090293</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0.9723832808287014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0.97220268096047324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0.97394814929301421</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0.97741557493931241</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0.97962629570602378</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0.98368033805158628</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0.98839573119404256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0.99341765315458164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0.99962367132389374</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1.006977105080973</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1.0146492399635012</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1.0227777481653</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1.0296639583049665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1.0359324247022526</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1.0397546614362907</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1.0432991904839561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1.0480912246220127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1.053289279924142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1.0590913645869948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1.0636744609761426</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1.06894875531653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1.0734907081424139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1.0033877493113783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1.0108544803766892</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1.0173181605366035</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1.021114844010113</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1.0270995884609775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1.0321973856627367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1.0381463686568082</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1.0419615648870191</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1.0469594352682079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1.0518010310607684</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1.0558518389994804</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1.0592158399946032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1.0616000270667998</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1.0634298362442347</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1.0654160076036818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1.0668592389553624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1.0677835520269179</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1.0677356060005547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1.067971604657578</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1.069945599743565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1.0720933263590458</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1.0741291792476804</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1.0741713183213761</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1.0741297358014119</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1.0735548460558941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1.0193406954736559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1.0306987115055755</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1.0355179914214971</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1.0438111849448897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1.0548121222829576</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1.0688695366319902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1.0858325974022343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1.1041013219271207</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1.1239584997621523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1.1455016350851883</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1.1626483405719792</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1.1798750846500958</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1.1969683675001761</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1.2134438473780056</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1.2302382218400829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1.2458127079496428</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1.2620687273431683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1.27915820545605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1.296184487354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1.3132799162810997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1.3297215488668876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1.3449067614479326</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1.3602066024867829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1.3748371497511751</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1.3897984360057638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0.97014284113369942</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0.99410325813108247</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0.96659841569742655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0.95195710064334416</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0.95128804076680185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0.92326355253460346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0.92351670010148235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0.92390385759943183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0.91769741772789681</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0.91711950540820419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0.91572899556259257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0.91563876537297728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0.91247244558582197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0.91078677375144246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0.90818278019911458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0.90363238720178918</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0.89713962794343605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0.89126829956222642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0.88769600378844471</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0.88359084608676686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0.88179607302250762</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0.88333919988534082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0.88248818106127291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0.87634833721440963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0.87083863461844468</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0.98490571491693446</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0.99658328041437583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1.0100172820060129</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1.0199291123783469</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1.0305312605644998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1.0430897608896963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1.0575115118109304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1.0720993797588645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1.0872571124998682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1.1032528566160988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1.115323613782683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1.1241393045907855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1.1328708713924991</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1.1404186458146743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1.1479761065316283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1.154794242821382</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1.1625273262126417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1.1697894047473232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1.1768360497147217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1.1850492242027566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1.1933199813315452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1.2016791952984378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1.2092510697953849</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1.2164621573570764</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1.2248932950889668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0.99881500489774533</v>
      </c>
      <c r="E2">
        <f>'BCDTRtSY-state-adjusted'!E5</f>
        <v>0.99900300472602943</v>
      </c>
      <c r="F2">
        <f>'BCDTRtSY-state-adjusted'!F5</f>
        <v>0.99612375173794632</v>
      </c>
      <c r="G2">
        <f>'BCDTRtSY-state-adjusted'!G5</f>
        <v>0.99283906656320597</v>
      </c>
      <c r="H2">
        <f>'BCDTRtSY-state-adjusted'!H5</f>
        <v>0.98883607291051834</v>
      </c>
      <c r="I2">
        <f>'BCDTRtSY-state-adjusted'!I5</f>
        <v>0.98766110054031808</v>
      </c>
      <c r="J2">
        <f>'BCDTRtSY-state-adjusted'!J5</f>
        <v>0.98664407758044748</v>
      </c>
      <c r="K2">
        <f>'BCDTRtSY-state-adjusted'!K5</f>
        <v>0.9842956501613529</v>
      </c>
      <c r="L2">
        <f>'BCDTRtSY-state-adjusted'!L5</f>
        <v>0.98252612343449863</v>
      </c>
      <c r="M2">
        <f>'BCDTRtSY-state-adjusted'!M5</f>
        <v>0.97995930131526954</v>
      </c>
      <c r="N2">
        <f>'BCDTRtSY-state-adjusted'!N5</f>
        <v>0.97806167485899276</v>
      </c>
      <c r="O2">
        <f>'BCDTRtSY-state-adjusted'!O5</f>
        <v>0.97657683914007154</v>
      </c>
      <c r="P2">
        <f>'BCDTRtSY-state-adjusted'!P5</f>
        <v>0.97514729821331447</v>
      </c>
      <c r="Q2">
        <f>'BCDTRtSY-state-adjusted'!Q5</f>
        <v>0.97315818067347182</v>
      </c>
      <c r="R2">
        <f>'BCDTRtSY-state-adjusted'!R5</f>
        <v>0.97136239403039937</v>
      </c>
      <c r="S2">
        <f>'BCDTRtSY-state-adjusted'!S5</f>
        <v>0.9685241884022957</v>
      </c>
      <c r="T2">
        <f>'BCDTRtSY-state-adjusted'!T5</f>
        <v>0.96557566836032371</v>
      </c>
      <c r="U2">
        <f>'BCDTRtSY-state-adjusted'!U5</f>
        <v>0.96232076290355295</v>
      </c>
      <c r="V2">
        <f>'BCDTRtSY-state-adjusted'!V5</f>
        <v>0.95928012385121408</v>
      </c>
      <c r="W2">
        <f>'BCDTRtSY-state-adjusted'!W5</f>
        <v>0.95604360563233537</v>
      </c>
      <c r="X2">
        <f>'BCDTRtSY-state-adjusted'!X5</f>
        <v>0.95257020571240691</v>
      </c>
      <c r="Y2">
        <f>'BCDTRtSY-state-adjusted'!Y5</f>
        <v>0.94839251242753808</v>
      </c>
      <c r="Z2">
        <f>'BCDTRtSY-state-adjusted'!Z5</f>
        <v>0.94434285345613023</v>
      </c>
      <c r="AA2">
        <f>'BCDTRtSY-state-adjusted'!AA5</f>
        <v>0.94009727795001641</v>
      </c>
      <c r="AB2">
        <f>'BCDTRtSY-state-adjusted'!AB5</f>
        <v>0.93622093896261149</v>
      </c>
    </row>
    <row r="3" spans="1:28">
      <c r="A3" t="s">
        <v>118</v>
      </c>
      <c r="B3">
        <f>'BCDTRtSY-state-adjusted'!B6</f>
        <v>1</v>
      </c>
      <c r="C3">
        <f>'BCDTRtSY-state-adjusted'!C6</f>
        <v>1</v>
      </c>
      <c r="D3">
        <f>'BCDTRtSY-state-adjusted'!D6</f>
        <v>1.0105379765265905</v>
      </c>
      <c r="E3">
        <f>'BCDTRtSY-state-adjusted'!E6</f>
        <v>1.0151590439394012</v>
      </c>
      <c r="F3">
        <f>'BCDTRtSY-state-adjusted'!F6</f>
        <v>1.0162697679119828</v>
      </c>
      <c r="G3">
        <f>'BCDTRtSY-state-adjusted'!G6</f>
        <v>1.0161323335643124</v>
      </c>
      <c r="H3">
        <f>'BCDTRtSY-state-adjusted'!H6</f>
        <v>1.0145869305232833</v>
      </c>
      <c r="I3">
        <f>'BCDTRtSY-state-adjusted'!I6</f>
        <v>1.0149194997406692</v>
      </c>
      <c r="J3">
        <f>'BCDTRtSY-state-adjusted'!J6</f>
        <v>1.0148411598303817</v>
      </c>
      <c r="K3">
        <f>'BCDTRtSY-state-adjusted'!K6</f>
        <v>1.0152175801341945</v>
      </c>
      <c r="L3">
        <f>'BCDTRtSY-state-adjusted'!L6</f>
        <v>1.0151417308186901</v>
      </c>
      <c r="M3">
        <f>'BCDTRtSY-state-adjusted'!M6</f>
        <v>1.0153665291236358</v>
      </c>
      <c r="N3">
        <f>'BCDTRtSY-state-adjusted'!N6</f>
        <v>1.0148497950714261</v>
      </c>
      <c r="O3">
        <f>'BCDTRtSY-state-adjusted'!O6</f>
        <v>1.0144532888192508</v>
      </c>
      <c r="P3">
        <f>'BCDTRtSY-state-adjusted'!P6</f>
        <v>1.0135871538111367</v>
      </c>
      <c r="Q3">
        <f>'BCDTRtSY-state-adjusted'!Q6</f>
        <v>1.0127011689977996</v>
      </c>
      <c r="R3">
        <f>'BCDTRtSY-state-adjusted'!R6</f>
        <v>1.0117665740517559</v>
      </c>
      <c r="S3">
        <f>'BCDTRtSY-state-adjusted'!S6</f>
        <v>1.0098510523263997</v>
      </c>
      <c r="T3">
        <f>'BCDTRtSY-state-adjusted'!T6</f>
        <v>1.0078895385399766</v>
      </c>
      <c r="U3">
        <f>'BCDTRtSY-state-adjusted'!U6</f>
        <v>1.0056206659230336</v>
      </c>
      <c r="V3">
        <f>'BCDTRtSY-state-adjusted'!V6</f>
        <v>1.0032425515760699</v>
      </c>
      <c r="W3">
        <f>'BCDTRtSY-state-adjusted'!W6</f>
        <v>1.0007631533872177</v>
      </c>
      <c r="X3">
        <f>'BCDTRtSY-state-adjusted'!X6</f>
        <v>0.99793669231927307</v>
      </c>
      <c r="Y3">
        <f>'BCDTRtSY-state-adjusted'!Y6</f>
        <v>0.99501211527972822</v>
      </c>
      <c r="Z3">
        <f>'BCDTRtSY-state-adjusted'!Z6</f>
        <v>0.99175198686149024</v>
      </c>
      <c r="AA3">
        <f>'BCDTRtSY-state-adjusted'!AA6</f>
        <v>0.9883417848900623</v>
      </c>
      <c r="AB3">
        <f>'BCDTRtSY-state-adjusted'!AB6</f>
        <v>0.98487627774784536</v>
      </c>
    </row>
    <row r="4" spans="1:28">
      <c r="A4" t="s">
        <v>116</v>
      </c>
      <c r="B4">
        <f>'BCDTRtSY-state-adjusted'!B7</f>
        <v>1</v>
      </c>
      <c r="C4">
        <f>'BCDTRtSY-state-adjusted'!C7</f>
        <v>1</v>
      </c>
      <c r="D4">
        <f>'BCDTRtSY-state-adjusted'!D7</f>
        <v>1.0238582633858284</v>
      </c>
      <c r="E4">
        <f>'BCDTRtSY-state-adjusted'!E7</f>
        <v>1.0349190779980424</v>
      </c>
      <c r="F4">
        <f>'BCDTRtSY-state-adjusted'!F7</f>
        <v>1.0352209895679554</v>
      </c>
      <c r="G4">
        <f>'BCDTRtSY-state-adjusted'!G7</f>
        <v>1.0401536854070512</v>
      </c>
      <c r="H4">
        <f>'BCDTRtSY-state-adjusted'!H7</f>
        <v>1.0489549286561493</v>
      </c>
      <c r="I4">
        <f>'BCDTRtSY-state-adjusted'!I7</f>
        <v>1.0602986268515737</v>
      </c>
      <c r="J4">
        <f>'BCDTRtSY-state-adjusted'!J7</f>
        <v>1.0757441902469185</v>
      </c>
      <c r="K4">
        <f>'BCDTRtSY-state-adjusted'!K7</f>
        <v>1.0928829088697598</v>
      </c>
      <c r="L4">
        <f>'BCDTRtSY-state-adjusted'!L7</f>
        <v>1.112136037576458</v>
      </c>
      <c r="M4">
        <f>'BCDTRtSY-state-adjusted'!M7</f>
        <v>1.133666869495533</v>
      </c>
      <c r="N4">
        <f>'BCDTRtSY-state-adjusted'!N7</f>
        <v>1.1484975279937562</v>
      </c>
      <c r="O4">
        <f>'BCDTRtSY-state-adjusted'!O7</f>
        <v>1.1632938942349011</v>
      </c>
      <c r="P4">
        <f>'BCDTRtSY-state-adjusted'!P7</f>
        <v>1.1777536174227357</v>
      </c>
      <c r="Q4">
        <f>'BCDTRtSY-state-adjusted'!Q7</f>
        <v>1.1911879185237704</v>
      </c>
      <c r="R4">
        <f>'BCDTRtSY-state-adjusted'!R7</f>
        <v>1.2049455788172236</v>
      </c>
      <c r="S4">
        <f>'BCDTRtSY-state-adjusted'!S7</f>
        <v>1.2169976491294867</v>
      </c>
      <c r="T4">
        <f>'BCDTRtSY-state-adjusted'!T7</f>
        <v>1.2299470000193893</v>
      </c>
      <c r="U4">
        <f>'BCDTRtSY-state-adjusted'!U7</f>
        <v>1.2440052320297288</v>
      </c>
      <c r="V4">
        <f>'BCDTRtSY-state-adjusted'!V7</f>
        <v>1.2578677530489379</v>
      </c>
      <c r="W4">
        <f>'BCDTRtSY-state-adjusted'!W7</f>
        <v>1.2717313081527657</v>
      </c>
      <c r="X4">
        <f>'BCDTRtSY-state-adjusted'!X7</f>
        <v>1.2845517934767909</v>
      </c>
      <c r="Y4">
        <f>'BCDTRtSY-state-adjusted'!Y7</f>
        <v>1.2954786012902384</v>
      </c>
      <c r="Z4">
        <f>'BCDTRtSY-state-adjusted'!Z7</f>
        <v>1.3064692366826649</v>
      </c>
      <c r="AA4">
        <f>'BCDTRtSY-state-adjusted'!AA7</f>
        <v>1.3164041445335342</v>
      </c>
      <c r="AB4">
        <f>'BCDTRtSY-state-adjusted'!AB7</f>
        <v>1.3266857647034158</v>
      </c>
    </row>
    <row r="5" spans="1:28">
      <c r="A5" t="s">
        <v>121</v>
      </c>
      <c r="B5">
        <f>'BCDTRtSY-state-adjusted'!B8</f>
        <v>1</v>
      </c>
      <c r="C5">
        <f>'BCDTRtSY-state-adjusted'!C8</f>
        <v>1</v>
      </c>
      <c r="D5">
        <f>'BCDTRtSY-state-adjusted'!D8</f>
        <v>1.0559838556885048</v>
      </c>
      <c r="E5">
        <f>'BCDTRtSY-state-adjusted'!E8</f>
        <v>1.0949795445366881</v>
      </c>
      <c r="F5">
        <f>'BCDTRtSY-state-adjusted'!F8</f>
        <v>1.1220926087603829</v>
      </c>
      <c r="G5">
        <f>'BCDTRtSY-state-adjusted'!G8</f>
        <v>1.1440927648109658</v>
      </c>
      <c r="H5">
        <f>'BCDTRtSY-state-adjusted'!H8</f>
        <v>1.1612651020640665</v>
      </c>
      <c r="I5">
        <f>'BCDTRtSY-state-adjusted'!I8</f>
        <v>1.1780342594827122</v>
      </c>
      <c r="J5">
        <f>'BCDTRtSY-state-adjusted'!J8</f>
        <v>1.1925831769003543</v>
      </c>
      <c r="K5">
        <f>'BCDTRtSY-state-adjusted'!K8</f>
        <v>1.2078470019311836</v>
      </c>
      <c r="L5">
        <f>'BCDTRtSY-state-adjusted'!L8</f>
        <v>1.2182036494100721</v>
      </c>
      <c r="M5">
        <f>'BCDTRtSY-state-adjusted'!M8</f>
        <v>1.2284517818790659</v>
      </c>
      <c r="N5">
        <f>'BCDTRtSY-state-adjusted'!N8</f>
        <v>1.2351193561377538</v>
      </c>
      <c r="O5">
        <f>'BCDTRtSY-state-adjusted'!O8</f>
        <v>1.2425501760829436</v>
      </c>
      <c r="P5">
        <f>'BCDTRtSY-state-adjusted'!P8</f>
        <v>1.2487084659460754</v>
      </c>
      <c r="Q5">
        <f>'BCDTRtSY-state-adjusted'!Q8</f>
        <v>1.252298410734844</v>
      </c>
      <c r="R5">
        <f>'BCDTRtSY-state-adjusted'!R8</f>
        <v>1.2561880607657576</v>
      </c>
      <c r="S5">
        <f>'BCDTRtSY-state-adjusted'!S8</f>
        <v>1.2583009018209381</v>
      </c>
      <c r="T5">
        <f>'BCDTRtSY-state-adjusted'!T8</f>
        <v>1.2604026934954544</v>
      </c>
      <c r="U5">
        <f>'BCDTRtSY-state-adjusted'!U8</f>
        <v>1.2610408055492257</v>
      </c>
      <c r="V5">
        <f>'BCDTRtSY-state-adjusted'!V8</f>
        <v>1.2623986623280283</v>
      </c>
      <c r="W5">
        <f>'BCDTRtSY-state-adjusted'!W8</f>
        <v>1.2643244544877759</v>
      </c>
      <c r="X5">
        <f>'BCDTRtSY-state-adjusted'!X8</f>
        <v>1.2647335822537802</v>
      </c>
      <c r="Y5">
        <f>'BCDTRtSY-state-adjusted'!Y8</f>
        <v>1.2657748258434984</v>
      </c>
      <c r="Z5">
        <f>'BCDTRtSY-state-adjusted'!Z8</f>
        <v>1.2647044631000519</v>
      </c>
      <c r="AA5">
        <f>'BCDTRtSY-state-adjusted'!AA8</f>
        <v>1.2632485879644773</v>
      </c>
      <c r="AB5">
        <f>'BCDTRtSY-state-adjusted'!AB8</f>
        <v>1.261508238618918</v>
      </c>
    </row>
    <row r="6" spans="1:28">
      <c r="A6" t="s">
        <v>122</v>
      </c>
      <c r="B6">
        <f>'BCDTRtSY-state-adjusted'!B9</f>
        <v>1</v>
      </c>
      <c r="C6">
        <f>'BCDTRtSY-state-adjusted'!C9</f>
        <v>1</v>
      </c>
      <c r="D6">
        <f>'BCDTRtSY-state-adjusted'!D9</f>
        <v>0.99466553920084733</v>
      </c>
      <c r="E6">
        <f>'BCDTRtSY-state-adjusted'!E9</f>
        <v>0.98237636399427686</v>
      </c>
      <c r="F6">
        <f>'BCDTRtSY-state-adjusted'!F9</f>
        <v>0.96438080576663576</v>
      </c>
      <c r="G6">
        <f>'BCDTRtSY-state-adjusted'!G9</f>
        <v>0.94896125294107614</v>
      </c>
      <c r="H6">
        <f>'BCDTRtSY-state-adjusted'!H9</f>
        <v>0.93591879985467219</v>
      </c>
      <c r="I6">
        <f>'BCDTRtSY-state-adjusted'!I9</f>
        <v>0.92572008962670449</v>
      </c>
      <c r="J6">
        <f>'BCDTRtSY-state-adjusted'!J9</f>
        <v>0.91781625295393909</v>
      </c>
      <c r="K6">
        <f>'BCDTRtSY-state-adjusted'!K9</f>
        <v>0.91109789653967554</v>
      </c>
      <c r="L6">
        <f>'BCDTRtSY-state-adjusted'!L9</f>
        <v>0.90559434037498687</v>
      </c>
      <c r="M6">
        <f>'BCDTRtSY-state-adjusted'!M9</f>
        <v>0.90134581392093471</v>
      </c>
      <c r="N6">
        <f>'BCDTRtSY-state-adjusted'!N9</f>
        <v>0.89432510510113328</v>
      </c>
      <c r="O6">
        <f>'BCDTRtSY-state-adjusted'!O9</f>
        <v>0.88738145853589245</v>
      </c>
      <c r="P6">
        <f>'BCDTRtSY-state-adjusted'!P9</f>
        <v>0.88032585923738293</v>
      </c>
      <c r="Q6">
        <f>'BCDTRtSY-state-adjusted'!Q9</f>
        <v>0.87324666126735617</v>
      </c>
      <c r="R6">
        <f>'BCDTRtSY-state-adjusted'!R9</f>
        <v>0.86629558160269871</v>
      </c>
      <c r="S6">
        <f>'BCDTRtSY-state-adjusted'!S9</f>
        <v>0.85846512011397202</v>
      </c>
      <c r="T6">
        <f>'BCDTRtSY-state-adjusted'!T9</f>
        <v>0.85106784291735549</v>
      </c>
      <c r="U6">
        <f>'BCDTRtSY-state-adjusted'!U9</f>
        <v>0.84398092463898733</v>
      </c>
      <c r="V6">
        <f>'BCDTRtSY-state-adjusted'!V9</f>
        <v>0.83693244478751339</v>
      </c>
      <c r="W6">
        <f>'BCDTRtSY-state-adjusted'!W9</f>
        <v>0.82989252670315328</v>
      </c>
      <c r="X6">
        <f>'BCDTRtSY-state-adjusted'!X9</f>
        <v>0.82246703175261315</v>
      </c>
      <c r="Y6">
        <f>'BCDTRtSY-state-adjusted'!Y9</f>
        <v>0.81449820325869171</v>
      </c>
      <c r="Z6">
        <f>'BCDTRtSY-state-adjusted'!Z9</f>
        <v>0.80644846202295517</v>
      </c>
      <c r="AA6">
        <f>'BCDTRtSY-state-adjusted'!AA9</f>
        <v>0.79810989263988086</v>
      </c>
      <c r="AB6">
        <f>'BCDTRtSY-state-adjusted'!AB9</f>
        <v>0.79006203109648998</v>
      </c>
    </row>
    <row r="7" spans="1:28">
      <c r="A7" t="s">
        <v>123</v>
      </c>
      <c r="B7">
        <f>'BCDTRtSY-state-adjusted'!B10</f>
        <v>1</v>
      </c>
      <c r="C7">
        <f>'BCDTRtSY-state-adjusted'!C10</f>
        <v>1</v>
      </c>
      <c r="D7">
        <f>'BCDTRtSY-state-adjusted'!D10</f>
        <v>0.99858107979760213</v>
      </c>
      <c r="E7">
        <f>'BCDTRtSY-state-adjusted'!E10</f>
        <v>0.99929548677950197</v>
      </c>
      <c r="F7">
        <f>'BCDTRtSY-state-adjusted'!F10</f>
        <v>0.99707554764381212</v>
      </c>
      <c r="G7">
        <f>'BCDTRtSY-state-adjusted'!G10</f>
        <v>0.99463559429407145</v>
      </c>
      <c r="H7">
        <f>'BCDTRtSY-state-adjusted'!H10</f>
        <v>0.99118602325061744</v>
      </c>
      <c r="I7">
        <f>'BCDTRtSY-state-adjusted'!I10</f>
        <v>0.99120316840246336</v>
      </c>
      <c r="J7">
        <f>'BCDTRtSY-state-adjusted'!J10</f>
        <v>0.99126261498399126</v>
      </c>
      <c r="K7">
        <f>'BCDTRtSY-state-adjusted'!K10</f>
        <v>0.98985201230562081</v>
      </c>
      <c r="L7">
        <f>'BCDTRtSY-state-adjusted'!L10</f>
        <v>0.98878462123066635</v>
      </c>
      <c r="M7">
        <f>'BCDTRtSY-state-adjusted'!M10</f>
        <v>0.98685781307028964</v>
      </c>
      <c r="N7">
        <f>'BCDTRtSY-state-adjusted'!N10</f>
        <v>0.98569862150375187</v>
      </c>
      <c r="O7">
        <f>'BCDTRtSY-state-adjusted'!O10</f>
        <v>0.9849656874813173</v>
      </c>
      <c r="P7">
        <f>'BCDTRtSY-state-adjusted'!P10</f>
        <v>0.9842049179372353</v>
      </c>
      <c r="Q7">
        <f>'BCDTRtSY-state-adjusted'!Q10</f>
        <v>0.98276691516245707</v>
      </c>
      <c r="R7">
        <f>'BCDTRtSY-state-adjusted'!R10</f>
        <v>0.98154717730681207</v>
      </c>
      <c r="S7">
        <f>'BCDTRtSY-state-adjusted'!S10</f>
        <v>0.97954214804488071</v>
      </c>
      <c r="T7">
        <f>'BCDTRtSY-state-adjusted'!T10</f>
        <v>0.97728932636800381</v>
      </c>
      <c r="U7">
        <f>'BCDTRtSY-state-adjusted'!U10</f>
        <v>0.97482270248414626</v>
      </c>
      <c r="V7">
        <f>'BCDTRtSY-state-adjusted'!V10</f>
        <v>0.97266854472078446</v>
      </c>
      <c r="W7">
        <f>'BCDTRtSY-state-adjusted'!W10</f>
        <v>0.97039368896342304</v>
      </c>
      <c r="X7">
        <f>'BCDTRtSY-state-adjusted'!X10</f>
        <v>0.96769620387078292</v>
      </c>
      <c r="Y7">
        <f>'BCDTRtSY-state-adjusted'!Y10</f>
        <v>0.96433499005482914</v>
      </c>
      <c r="Z7">
        <f>'BCDTRtSY-state-adjusted'!Z10</f>
        <v>0.96093557306491795</v>
      </c>
      <c r="AA7">
        <f>'BCDTRtSY-state-adjusted'!AA10</f>
        <v>0.9574040684526367</v>
      </c>
      <c r="AB7">
        <f>'BCDTRtSY-state-adjusted'!AB10</f>
        <v>0.95424331290623099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0.98884998029711801</v>
      </c>
      <c r="E2">
        <f>'BCDTRtSY-state-adjusted'!E13</f>
        <v>0.98319184110322921</v>
      </c>
      <c r="F2">
        <f>'BCDTRtSY-state-adjusted'!F13</f>
        <v>0.9772016613090293</v>
      </c>
      <c r="G2">
        <f>'BCDTRtSY-state-adjusted'!G13</f>
        <v>0.9723832808287014</v>
      </c>
      <c r="H2">
        <f>'BCDTRtSY-state-adjusted'!H13</f>
        <v>0.97220268096047324</v>
      </c>
      <c r="I2">
        <f>'BCDTRtSY-state-adjusted'!I13</f>
        <v>0.97394814929301421</v>
      </c>
      <c r="J2">
        <f>'BCDTRtSY-state-adjusted'!J13</f>
        <v>0.97741557493931241</v>
      </c>
      <c r="K2">
        <f>'BCDTRtSY-state-adjusted'!K13</f>
        <v>0.97962629570602378</v>
      </c>
      <c r="L2">
        <f>'BCDTRtSY-state-adjusted'!L13</f>
        <v>0.98368033805158628</v>
      </c>
      <c r="M2">
        <f>'BCDTRtSY-state-adjusted'!M13</f>
        <v>0.98839573119404256</v>
      </c>
      <c r="N2">
        <f>'BCDTRtSY-state-adjusted'!N13</f>
        <v>0.99341765315458164</v>
      </c>
      <c r="O2">
        <f>'BCDTRtSY-state-adjusted'!O13</f>
        <v>0.99962367132389374</v>
      </c>
      <c r="P2">
        <f>'BCDTRtSY-state-adjusted'!P13</f>
        <v>1.006977105080973</v>
      </c>
      <c r="Q2">
        <f>'BCDTRtSY-state-adjusted'!Q13</f>
        <v>1.0146492399635012</v>
      </c>
      <c r="R2">
        <f>'BCDTRtSY-state-adjusted'!R13</f>
        <v>1.0227777481653</v>
      </c>
      <c r="S2">
        <f>'BCDTRtSY-state-adjusted'!S13</f>
        <v>1.0296639583049665</v>
      </c>
      <c r="T2">
        <f>'BCDTRtSY-state-adjusted'!T13</f>
        <v>1.0359324247022526</v>
      </c>
      <c r="U2">
        <f>'BCDTRtSY-state-adjusted'!U13</f>
        <v>1.0397546614362907</v>
      </c>
      <c r="V2">
        <f>'BCDTRtSY-state-adjusted'!V13</f>
        <v>1.0432991904839561</v>
      </c>
      <c r="W2">
        <f>'BCDTRtSY-state-adjusted'!W13</f>
        <v>1.0480912246220127</v>
      </c>
      <c r="X2">
        <f>'BCDTRtSY-state-adjusted'!X13</f>
        <v>1.053289279924142</v>
      </c>
      <c r="Y2">
        <f>'BCDTRtSY-state-adjusted'!Y13</f>
        <v>1.0590913645869948</v>
      </c>
      <c r="Z2">
        <f>'BCDTRtSY-state-adjusted'!Z13</f>
        <v>1.0636744609761426</v>
      </c>
      <c r="AA2">
        <f>'BCDTRtSY-state-adjusted'!AA13</f>
        <v>1.06894875531653</v>
      </c>
      <c r="AB2">
        <f>'BCDTRtSY-state-adjusted'!AB13</f>
        <v>1.0734907081424139</v>
      </c>
    </row>
    <row r="3" spans="1:28">
      <c r="A3" t="s">
        <v>118</v>
      </c>
      <c r="B3">
        <f>'BCDTRtSY-state-adjusted'!B14</f>
        <v>1</v>
      </c>
      <c r="C3">
        <f>'BCDTRtSY-state-adjusted'!C14</f>
        <v>1</v>
      </c>
      <c r="D3">
        <f>'BCDTRtSY-state-adjusted'!D14</f>
        <v>1.0033877493113783</v>
      </c>
      <c r="E3">
        <f>'BCDTRtSY-state-adjusted'!E14</f>
        <v>1.0108544803766892</v>
      </c>
      <c r="F3">
        <f>'BCDTRtSY-state-adjusted'!F14</f>
        <v>1.0173181605366035</v>
      </c>
      <c r="G3">
        <f>'BCDTRtSY-state-adjusted'!G14</f>
        <v>1.021114844010113</v>
      </c>
      <c r="H3">
        <f>'BCDTRtSY-state-adjusted'!H14</f>
        <v>1.0270995884609775</v>
      </c>
      <c r="I3">
        <f>'BCDTRtSY-state-adjusted'!I14</f>
        <v>1.0321973856627367</v>
      </c>
      <c r="J3">
        <f>'BCDTRtSY-state-adjusted'!J14</f>
        <v>1.0381463686568082</v>
      </c>
      <c r="K3">
        <f>'BCDTRtSY-state-adjusted'!K14</f>
        <v>1.0419615648870191</v>
      </c>
      <c r="L3">
        <f>'BCDTRtSY-state-adjusted'!L14</f>
        <v>1.0469594352682079</v>
      </c>
      <c r="M3">
        <f>'BCDTRtSY-state-adjusted'!M14</f>
        <v>1.0518010310607684</v>
      </c>
      <c r="N3">
        <f>'BCDTRtSY-state-adjusted'!N14</f>
        <v>1.0558518389994804</v>
      </c>
      <c r="O3">
        <f>'BCDTRtSY-state-adjusted'!O14</f>
        <v>1.0592158399946032</v>
      </c>
      <c r="P3">
        <f>'BCDTRtSY-state-adjusted'!P14</f>
        <v>1.0616000270667998</v>
      </c>
      <c r="Q3">
        <f>'BCDTRtSY-state-adjusted'!Q14</f>
        <v>1.0634298362442347</v>
      </c>
      <c r="R3">
        <f>'BCDTRtSY-state-adjusted'!R14</f>
        <v>1.0654160076036818</v>
      </c>
      <c r="S3">
        <f>'BCDTRtSY-state-adjusted'!S14</f>
        <v>1.0668592389553624</v>
      </c>
      <c r="T3">
        <f>'BCDTRtSY-state-adjusted'!T14</f>
        <v>1.0677835520269179</v>
      </c>
      <c r="U3">
        <f>'BCDTRtSY-state-adjusted'!U14</f>
        <v>1.0677356060005547</v>
      </c>
      <c r="V3">
        <f>'BCDTRtSY-state-adjusted'!V14</f>
        <v>1.067971604657578</v>
      </c>
      <c r="W3">
        <f>'BCDTRtSY-state-adjusted'!W14</f>
        <v>1.069945599743565</v>
      </c>
      <c r="X3">
        <f>'BCDTRtSY-state-adjusted'!X14</f>
        <v>1.0720933263590458</v>
      </c>
      <c r="Y3">
        <f>'BCDTRtSY-state-adjusted'!Y14</f>
        <v>1.0741291792476804</v>
      </c>
      <c r="Z3">
        <f>'BCDTRtSY-state-adjusted'!Z14</f>
        <v>1.0741713183213761</v>
      </c>
      <c r="AA3">
        <f>'BCDTRtSY-state-adjusted'!AA14</f>
        <v>1.0741297358014119</v>
      </c>
      <c r="AB3">
        <f>'BCDTRtSY-state-adjusted'!AB14</f>
        <v>1.0735548460558941</v>
      </c>
    </row>
    <row r="4" spans="1:28">
      <c r="A4" t="s">
        <v>116</v>
      </c>
      <c r="B4">
        <f>'BCDTRtSY-state-adjusted'!B15</f>
        <v>1</v>
      </c>
      <c r="C4">
        <f>'BCDTRtSY-state-adjusted'!C15</f>
        <v>1</v>
      </c>
      <c r="D4">
        <f>'BCDTRtSY-state-adjusted'!D15</f>
        <v>1.0193406954736559</v>
      </c>
      <c r="E4">
        <f>'BCDTRtSY-state-adjusted'!E15</f>
        <v>1.0306987115055755</v>
      </c>
      <c r="F4">
        <f>'BCDTRtSY-state-adjusted'!F15</f>
        <v>1.0355179914214971</v>
      </c>
      <c r="G4">
        <f>'BCDTRtSY-state-adjusted'!G15</f>
        <v>1.0438111849448897</v>
      </c>
      <c r="H4">
        <f>'BCDTRtSY-state-adjusted'!H15</f>
        <v>1.0548121222829576</v>
      </c>
      <c r="I4">
        <f>'BCDTRtSY-state-adjusted'!I15</f>
        <v>1.0688695366319902</v>
      </c>
      <c r="J4">
        <f>'BCDTRtSY-state-adjusted'!J15</f>
        <v>1.0858325974022343</v>
      </c>
      <c r="K4">
        <f>'BCDTRtSY-state-adjusted'!K15</f>
        <v>1.1041013219271207</v>
      </c>
      <c r="L4">
        <f>'BCDTRtSY-state-adjusted'!L15</f>
        <v>1.1239584997621523</v>
      </c>
      <c r="M4">
        <f>'BCDTRtSY-state-adjusted'!M15</f>
        <v>1.1455016350851883</v>
      </c>
      <c r="N4">
        <f>'BCDTRtSY-state-adjusted'!N15</f>
        <v>1.1626483405719792</v>
      </c>
      <c r="O4">
        <f>'BCDTRtSY-state-adjusted'!O15</f>
        <v>1.1798750846500958</v>
      </c>
      <c r="P4">
        <f>'BCDTRtSY-state-adjusted'!P15</f>
        <v>1.1969683675001761</v>
      </c>
      <c r="Q4">
        <f>'BCDTRtSY-state-adjusted'!Q15</f>
        <v>1.2134438473780056</v>
      </c>
      <c r="R4">
        <f>'BCDTRtSY-state-adjusted'!R15</f>
        <v>1.2302382218400829</v>
      </c>
      <c r="S4">
        <f>'BCDTRtSY-state-adjusted'!S15</f>
        <v>1.2458127079496428</v>
      </c>
      <c r="T4">
        <f>'BCDTRtSY-state-adjusted'!T15</f>
        <v>1.2620687273431683</v>
      </c>
      <c r="U4">
        <f>'BCDTRtSY-state-adjusted'!U15</f>
        <v>1.27915820545605</v>
      </c>
      <c r="V4">
        <f>'BCDTRtSY-state-adjusted'!V15</f>
        <v>1.296184487354</v>
      </c>
      <c r="W4">
        <f>'BCDTRtSY-state-adjusted'!W15</f>
        <v>1.3132799162810997</v>
      </c>
      <c r="X4">
        <f>'BCDTRtSY-state-adjusted'!X15</f>
        <v>1.3297215488668876</v>
      </c>
      <c r="Y4">
        <f>'BCDTRtSY-state-adjusted'!Y15</f>
        <v>1.3449067614479326</v>
      </c>
      <c r="Z4">
        <f>'BCDTRtSY-state-adjusted'!Z15</f>
        <v>1.3602066024867829</v>
      </c>
      <c r="AA4">
        <f>'BCDTRtSY-state-adjusted'!AA15</f>
        <v>1.3748371497511751</v>
      </c>
      <c r="AB4">
        <f>'BCDTRtSY-state-adjusted'!AB15</f>
        <v>1.3897984360057638</v>
      </c>
    </row>
    <row r="5" spans="1:28">
      <c r="A5" t="s">
        <v>121</v>
      </c>
      <c r="B5">
        <f>'BCDTRtSY-state-adjusted'!B16</f>
        <v>1</v>
      </c>
      <c r="C5">
        <f>'BCDTRtSY-state-adjusted'!C16</f>
        <v>1</v>
      </c>
      <c r="D5">
        <f>'BCDTRtSY-state-adjusted'!D16</f>
        <v>0.97014284113369942</v>
      </c>
      <c r="E5">
        <f>'BCDTRtSY-state-adjusted'!E16</f>
        <v>0.99410325813108247</v>
      </c>
      <c r="F5">
        <f>'BCDTRtSY-state-adjusted'!F16</f>
        <v>0.96659841569742655</v>
      </c>
      <c r="G5">
        <f>'BCDTRtSY-state-adjusted'!G16</f>
        <v>0.95195710064334416</v>
      </c>
      <c r="H5">
        <f>'BCDTRtSY-state-adjusted'!H16</f>
        <v>0.95128804076680185</v>
      </c>
      <c r="I5">
        <f>'BCDTRtSY-state-adjusted'!I16</f>
        <v>0.92326355253460346</v>
      </c>
      <c r="J5">
        <f>'BCDTRtSY-state-adjusted'!J16</f>
        <v>0.92351670010148235</v>
      </c>
      <c r="K5">
        <f>'BCDTRtSY-state-adjusted'!K16</f>
        <v>0.92390385759943183</v>
      </c>
      <c r="L5">
        <f>'BCDTRtSY-state-adjusted'!L16</f>
        <v>0.91769741772789681</v>
      </c>
      <c r="M5">
        <f>'BCDTRtSY-state-adjusted'!M16</f>
        <v>0.91711950540820419</v>
      </c>
      <c r="N5">
        <f>'BCDTRtSY-state-adjusted'!N16</f>
        <v>0.91572899556259257</v>
      </c>
      <c r="O5">
        <f>'BCDTRtSY-state-adjusted'!O16</f>
        <v>0.91563876537297728</v>
      </c>
      <c r="P5">
        <f>'BCDTRtSY-state-adjusted'!P16</f>
        <v>0.91247244558582197</v>
      </c>
      <c r="Q5">
        <f>'BCDTRtSY-state-adjusted'!Q16</f>
        <v>0.91078677375144246</v>
      </c>
      <c r="R5">
        <f>'BCDTRtSY-state-adjusted'!R16</f>
        <v>0.90818278019911458</v>
      </c>
      <c r="S5">
        <f>'BCDTRtSY-state-adjusted'!S16</f>
        <v>0.90363238720178918</v>
      </c>
      <c r="T5">
        <f>'BCDTRtSY-state-adjusted'!T16</f>
        <v>0.89713962794343605</v>
      </c>
      <c r="U5">
        <f>'BCDTRtSY-state-adjusted'!U16</f>
        <v>0.89126829956222642</v>
      </c>
      <c r="V5">
        <f>'BCDTRtSY-state-adjusted'!V16</f>
        <v>0.88769600378844471</v>
      </c>
      <c r="W5">
        <f>'BCDTRtSY-state-adjusted'!W16</f>
        <v>0.88359084608676686</v>
      </c>
      <c r="X5">
        <f>'BCDTRtSY-state-adjusted'!X16</f>
        <v>0.88179607302250762</v>
      </c>
      <c r="Y5">
        <f>'BCDTRtSY-state-adjusted'!Y16</f>
        <v>0.88333919988534082</v>
      </c>
      <c r="Z5">
        <f>'BCDTRtSY-state-adjusted'!Z16</f>
        <v>0.88248818106127291</v>
      </c>
      <c r="AA5">
        <f>'BCDTRtSY-state-adjusted'!AA16</f>
        <v>0.87634833721440963</v>
      </c>
      <c r="AB5">
        <f>'BCDTRtSY-state-adjusted'!AB16</f>
        <v>0.87083863461844468</v>
      </c>
    </row>
    <row r="6" spans="1:28">
      <c r="A6" t="s">
        <v>122</v>
      </c>
      <c r="B6">
        <f>'BCDTRtSY-state-adjusted'!B17</f>
        <v>1</v>
      </c>
      <c r="C6">
        <f>'BCDTRtSY-state-adjusted'!C17</f>
        <v>1</v>
      </c>
      <c r="D6">
        <f>'BCDTRtSY-state-adjusted'!D17</f>
        <v>0.98490571491693446</v>
      </c>
      <c r="E6">
        <f>'BCDTRtSY-state-adjusted'!E17</f>
        <v>0.99658328041437583</v>
      </c>
      <c r="F6">
        <f>'BCDTRtSY-state-adjusted'!F17</f>
        <v>1.0100172820060129</v>
      </c>
      <c r="G6">
        <f>'BCDTRtSY-state-adjusted'!G17</f>
        <v>1.0199291123783469</v>
      </c>
      <c r="H6">
        <f>'BCDTRtSY-state-adjusted'!H17</f>
        <v>1.0305312605644998</v>
      </c>
      <c r="I6">
        <f>'BCDTRtSY-state-adjusted'!I17</f>
        <v>1.0430897608896963</v>
      </c>
      <c r="J6">
        <f>'BCDTRtSY-state-adjusted'!J17</f>
        <v>1.0575115118109304</v>
      </c>
      <c r="K6">
        <f>'BCDTRtSY-state-adjusted'!K17</f>
        <v>1.0720993797588645</v>
      </c>
      <c r="L6">
        <f>'BCDTRtSY-state-adjusted'!L17</f>
        <v>1.0872571124998682</v>
      </c>
      <c r="M6">
        <f>'BCDTRtSY-state-adjusted'!M17</f>
        <v>1.1032528566160988</v>
      </c>
      <c r="N6">
        <f>'BCDTRtSY-state-adjusted'!N17</f>
        <v>1.115323613782683</v>
      </c>
      <c r="O6">
        <f>'BCDTRtSY-state-adjusted'!O17</f>
        <v>1.1241393045907855</v>
      </c>
      <c r="P6">
        <f>'BCDTRtSY-state-adjusted'!P17</f>
        <v>1.1328708713924991</v>
      </c>
      <c r="Q6">
        <f>'BCDTRtSY-state-adjusted'!Q17</f>
        <v>1.1404186458146743</v>
      </c>
      <c r="R6">
        <f>'BCDTRtSY-state-adjusted'!R17</f>
        <v>1.1479761065316283</v>
      </c>
      <c r="S6">
        <f>'BCDTRtSY-state-adjusted'!S17</f>
        <v>1.154794242821382</v>
      </c>
      <c r="T6">
        <f>'BCDTRtSY-state-adjusted'!T17</f>
        <v>1.1625273262126417</v>
      </c>
      <c r="U6">
        <f>'BCDTRtSY-state-adjusted'!U17</f>
        <v>1.1697894047473232</v>
      </c>
      <c r="V6">
        <f>'BCDTRtSY-state-adjusted'!V17</f>
        <v>1.1768360497147217</v>
      </c>
      <c r="W6">
        <f>'BCDTRtSY-state-adjusted'!W17</f>
        <v>1.1850492242027566</v>
      </c>
      <c r="X6">
        <f>'BCDTRtSY-state-adjusted'!X17</f>
        <v>1.1933199813315452</v>
      </c>
      <c r="Y6">
        <f>'BCDTRtSY-state-adjusted'!Y17</f>
        <v>1.2016791952984378</v>
      </c>
      <c r="Z6">
        <f>'BCDTRtSY-state-adjusted'!Z17</f>
        <v>1.2092510697953849</v>
      </c>
      <c r="AA6">
        <f>'BCDTRtSY-state-adjusted'!AA17</f>
        <v>1.2164621573570764</v>
      </c>
      <c r="AB6">
        <f>'BCDTRtSY-state-adjusted'!AB17</f>
        <v>1.2248932950889668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2026-08-14T21:49:02Z</dcterms:modified>
</cp:coreProperties>
</file>