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E\trans\BPHEVSP\"/>
    </mc:Choice>
  </mc:AlternateContent>
  <xr:revisionPtr revIDLastSave="0" documentId="8_{90A2C769-81DD-4682-8048-5847C0704FBF}"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G33" i="14"/>
  <c r="H33" i="14"/>
  <c r="I33" i="14"/>
  <c r="C33" i="14"/>
  <c r="C38" i="14" s="1"/>
  <c r="E33" i="14"/>
  <c r="F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<sst xmlns="http://schemas.openxmlformats.org/spreadsheetml/2006/main" count="374" uniqueCount="193">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</sst>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137</v>
      </c>
      <c r="C1" s="32">
        <v>45051</v>
      </c>
      <c r="F1" s="29" t="s">
        <v>8</v>
      </c>
      <c r="G1" s="29" t="s">
        <v>8</v>
      </c>
    </row>
    <row r="2" spans="1:7" x14ac:dyDescent="0.75">
      <c r="B2" s="30" t="str">
        <f>LOOKUP(B1,F2:G51,G2:G51)</f>
        <v>ME</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ME</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2000</v>
      </c>
      <c r="D33" s="2">
        <f t="shared" ref="D33:I33" si="1">SUMIFS(E$13:E$26,$A$13:$A$26,$B$31)</f>
        <v>2000</v>
      </c>
      <c r="E33" s="2">
        <f t="shared" si="1"/>
        <v>2000</v>
      </c>
      <c r="F33" s="2">
        <f t="shared" si="1"/>
        <v>2000</v>
      </c>
      <c r="G33" s="2">
        <f t="shared" si="1"/>
        <v>2000</v>
      </c>
      <c r="H33" s="2">
        <f t="shared" si="1"/>
        <v>2000</v>
      </c>
      <c r="I33" s="2">
        <f t="shared" si="1"/>
        <v>2000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8419.7464908815437</v>
      </c>
      <c r="D38" s="2">
        <f>(B3+D33)*About!$B$33</f>
        <v>8426.9398598869684</v>
      </c>
      <c r="E38" s="2">
        <f>(C3+E33)*About!$B$33</f>
        <v>5391.2720359666437</v>
      </c>
      <c r="F38" s="2">
        <f>(D3+F33)*About!$B$33</f>
        <v>3197.0834404160064</v>
      </c>
      <c r="G38" s="2">
        <f>(E3+G33)*About!$B$33</f>
        <v>2612.6859722845547</v>
      </c>
      <c r="H38" s="2">
        <f>(F3+H33)*About!$B$33</f>
        <v>2195.3097142761012</v>
      </c>
      <c r="I38" s="2">
        <f>(G3+I33)*About!$B$33</f>
        <v>2074.7448613394881</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0.22826401591068546</v>
      </c>
      <c r="D45" s="7">
        <f t="shared" ref="D45:AG45" si="3">D38/C41</f>
        <v>0.22569943648088941</v>
      </c>
      <c r="E45" s="7">
        <f t="shared" si="3"/>
        <v>0.144425836105083</v>
      </c>
      <c r="F45" s="7">
        <f t="shared" si="3"/>
        <v>8.5248738512012548E-2</v>
      </c>
      <c r="G45" s="7">
        <f t="shared" si="3"/>
        <v>6.9634487534236539E-2</v>
      </c>
      <c r="H45" s="7">
        <f t="shared" si="3"/>
        <v>5.8333148596378309E-2</v>
      </c>
      <c r="I45" s="7">
        <f t="shared" si="3"/>
        <v>5.5073923904743263E-2</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8419.7464908815437</v>
      </c>
      <c r="C2" s="9">
        <f>Summary!D38</f>
        <v>8426.9398598869684</v>
      </c>
      <c r="D2" s="9">
        <f>Summary!E38</f>
        <v>5391.2720359666437</v>
      </c>
      <c r="E2" s="9">
        <f>Summary!F38</f>
        <v>3197.0834404160064</v>
      </c>
      <c r="F2" s="9">
        <f>Summary!G38</f>
        <v>2612.6859722845547</v>
      </c>
      <c r="G2" s="9">
        <f>Summary!H38</f>
        <v>2195.3097142761012</v>
      </c>
      <c r="H2" s="9">
        <f>Summary!I38</f>
        <v>2074.7448613394881</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2023-05-05T22:31:17Z</dcterms:modified>
</cp:coreProperties>
</file>