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E\trans\SYVbT\"/>
    </mc:Choice>
  </mc:AlternateContent>
  <xr:revisionPtr revIDLastSave="0" documentId="8_{DFEF1E63-6FB6-42F4-ABD9-46DDB2EEAFF0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README" sheetId="1" r:id="rId1"/>
    <sheet name="About" sheetId="2" r:id="rId2"/>
    <sheet name="Methodology" sheetId="3" r:id="rId3"/>
    <sheet name="Keys" sheetId="4" r:id="rId4"/>
    <sheet name="SSYVbT-passenger-LDVs" sheetId="5" r:id="rId5"/>
    <sheet name="SSYVbT-passenger-HDVs" sheetId="6" r:id="rId6"/>
    <sheet name="SSYVbT-passenger-aircraft" sheetId="7" r:id="rId7"/>
    <sheet name="SSYVbT-passenger-rail" sheetId="8" r:id="rId8"/>
    <sheet name="SSYVbT-passenger-ships" sheetId="9" r:id="rId9"/>
    <sheet name="SSYVbT-passenger-motorbikes" sheetId="10" r:id="rId10"/>
    <sheet name="SSYVbT-freight-LDVs" sheetId="11" r:id="rId11"/>
    <sheet name="SSYVbT-freight-HDVs" sheetId="12" r:id="rId12"/>
    <sheet name="SSYVbT-freight-aircraft" sheetId="13" r:id="rId13"/>
    <sheet name="SSYVbT-freight-rail" sheetId="14" r:id="rId14"/>
    <sheet name="SSYVbT-freight-ships" sheetId="15" r:id="rId15"/>
    <sheet name="SSYVbT-freight-motorbikes" sheetId="16" r:id="rId16"/>
    <sheet name="State_lookup" sheetId="17" r:id="rId17"/>
    <sheet name="National_totals" sheetId="18" r:id="rId18"/>
    <sheet name="AFDC_state_fuels_lookup" sheetId="19" r:id="rId19"/>
    <sheet name="Geography" sheetId="20" r:id="rId20"/>
    <sheet name="FHWA_MV1" sheetId="21" r:id="rId21"/>
    <sheet name="AFDC_EV_state" sheetId="22" r:id="rId22"/>
    <sheet name="AFDC_state_fuel_2024" sheetId="23" r:id="rId23"/>
    <sheet name="State_shares_nonroad" sheetId="24" r:id="rId24"/>
    <sheet name="US_syvbt_psgr_totals" sheetId="25" r:id="rId25"/>
    <sheet name="US_syvbt_frgt_totals" sheetId="26" r:id="rId26"/>
    <sheet name="SYVbT-passenger" sheetId="27" r:id="rId27"/>
    <sheet name="SYVbT-freight" sheetId="28" r:id="rId28"/>
  </sheets>
  <definedNames>
    <definedName name="_xlnm._FilterDatabase" localSheetId="19" hidden="1">Geography!$A$1:$I$49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0" i="19" l="1"/>
  <c r="J50" i="19"/>
  <c r="I50" i="19"/>
  <c r="H50" i="5" s="1"/>
  <c r="H50" i="19"/>
  <c r="F50" i="19"/>
  <c r="E50" i="19"/>
  <c r="C50" i="5" s="1"/>
  <c r="D50" i="19"/>
  <c r="C50" i="19"/>
  <c r="B50" i="19"/>
  <c r="M49" i="19"/>
  <c r="L49" i="19"/>
  <c r="K49" i="19"/>
  <c r="J49" i="19"/>
  <c r="D49" i="19"/>
  <c r="C49" i="19"/>
  <c r="B49" i="19"/>
  <c r="F48" i="19"/>
  <c r="C48" i="19"/>
  <c r="B48" i="19"/>
  <c r="B47" i="19"/>
  <c r="M46" i="19"/>
  <c r="L46" i="19"/>
  <c r="D46" i="19" s="1"/>
  <c r="F46" i="5" s="1"/>
  <c r="K46" i="19"/>
  <c r="F46" i="19"/>
  <c r="C46" i="19"/>
  <c r="B46" i="19"/>
  <c r="B45" i="19"/>
  <c r="M44" i="19"/>
  <c r="L44" i="19"/>
  <c r="D44" i="19" s="1"/>
  <c r="K44" i="19"/>
  <c r="J44" i="19"/>
  <c r="I44" i="19"/>
  <c r="H44" i="19"/>
  <c r="F44" i="19"/>
  <c r="E44" i="19"/>
  <c r="C44" i="19"/>
  <c r="B44" i="19"/>
  <c r="J43" i="19"/>
  <c r="I43" i="19"/>
  <c r="H43" i="5" s="1"/>
  <c r="H43" i="19"/>
  <c r="B43" i="19"/>
  <c r="M42" i="19"/>
  <c r="L42" i="19"/>
  <c r="K42" i="19"/>
  <c r="J42" i="19"/>
  <c r="I42" i="19"/>
  <c r="H42" i="19"/>
  <c r="F42" i="19"/>
  <c r="B42" i="19"/>
  <c r="E42" i="19" s="1"/>
  <c r="J41" i="19"/>
  <c r="H41" i="19"/>
  <c r="F41" i="19"/>
  <c r="E41" i="19"/>
  <c r="C41" i="5" s="1"/>
  <c r="B41" i="19"/>
  <c r="B40" i="19"/>
  <c r="B39" i="19"/>
  <c r="K38" i="19"/>
  <c r="C38" i="19"/>
  <c r="B38" i="19"/>
  <c r="M37" i="19"/>
  <c r="B37" i="19"/>
  <c r="M36" i="19"/>
  <c r="L36" i="19"/>
  <c r="F36" i="19"/>
  <c r="E36" i="19"/>
  <c r="D36" i="19"/>
  <c r="C36" i="19"/>
  <c r="B36" i="19"/>
  <c r="M35" i="19"/>
  <c r="L35" i="19"/>
  <c r="D35" i="19" s="1"/>
  <c r="K35" i="19"/>
  <c r="J35" i="19"/>
  <c r="I35" i="19"/>
  <c r="H35" i="19"/>
  <c r="F35" i="19"/>
  <c r="E35" i="19"/>
  <c r="B35" i="19"/>
  <c r="C35" i="19" s="1"/>
  <c r="B34" i="19"/>
  <c r="M33" i="19"/>
  <c r="L33" i="19"/>
  <c r="D33" i="19" s="1"/>
  <c r="K33" i="19"/>
  <c r="J33" i="19"/>
  <c r="I33" i="19"/>
  <c r="H33" i="5" s="1"/>
  <c r="H33" i="19"/>
  <c r="G33" i="5" s="1"/>
  <c r="F33" i="19"/>
  <c r="E33" i="19"/>
  <c r="C33" i="19"/>
  <c r="B33" i="19"/>
  <c r="E32" i="19"/>
  <c r="C32" i="19"/>
  <c r="B32" i="19"/>
  <c r="M31" i="19"/>
  <c r="L31" i="19"/>
  <c r="K31" i="19"/>
  <c r="J31" i="19"/>
  <c r="I31" i="19"/>
  <c r="H31" i="5" s="1"/>
  <c r="H31" i="19"/>
  <c r="G31" i="5" s="1"/>
  <c r="F31" i="19"/>
  <c r="B31" i="19"/>
  <c r="E31" i="19" s="1"/>
  <c r="L30" i="19"/>
  <c r="K30" i="19"/>
  <c r="J30" i="19"/>
  <c r="E30" i="19"/>
  <c r="C30" i="5" s="1"/>
  <c r="D30" i="19"/>
  <c r="F30" i="5" s="1"/>
  <c r="C30" i="19"/>
  <c r="B30" i="5" s="1"/>
  <c r="B30" i="19"/>
  <c r="M29" i="19"/>
  <c r="L29" i="19"/>
  <c r="K29" i="19"/>
  <c r="J29" i="19"/>
  <c r="I29" i="19"/>
  <c r="B29" i="19"/>
  <c r="B28" i="19"/>
  <c r="B27" i="19"/>
  <c r="M26" i="19"/>
  <c r="L26" i="19"/>
  <c r="K26" i="19"/>
  <c r="J26" i="19"/>
  <c r="I26" i="19"/>
  <c r="H26" i="19"/>
  <c r="F26" i="19"/>
  <c r="E26" i="19"/>
  <c r="D26" i="19"/>
  <c r="C26" i="19"/>
  <c r="B26" i="19"/>
  <c r="F25" i="19"/>
  <c r="E25" i="19"/>
  <c r="C25" i="5" s="1"/>
  <c r="C25" i="19"/>
  <c r="B25" i="19"/>
  <c r="M24" i="19"/>
  <c r="L24" i="19"/>
  <c r="D24" i="19" s="1"/>
  <c r="K24" i="19"/>
  <c r="J24" i="19"/>
  <c r="I24" i="19"/>
  <c r="H24" i="5" s="1"/>
  <c r="H24" i="19"/>
  <c r="G24" i="5" s="1"/>
  <c r="F24" i="19"/>
  <c r="E24" i="19"/>
  <c r="B24" i="19"/>
  <c r="C24" i="19" s="1"/>
  <c r="B23" i="19"/>
  <c r="M22" i="19"/>
  <c r="L22" i="19"/>
  <c r="K22" i="19"/>
  <c r="J22" i="19"/>
  <c r="I22" i="19"/>
  <c r="H22" i="19"/>
  <c r="G22" i="5" s="1"/>
  <c r="F22" i="19"/>
  <c r="E22" i="19"/>
  <c r="D22" i="19"/>
  <c r="C22" i="19"/>
  <c r="B22" i="19"/>
  <c r="J21" i="19"/>
  <c r="I21" i="19"/>
  <c r="H21" i="19"/>
  <c r="B21" i="19"/>
  <c r="M20" i="19"/>
  <c r="L20" i="19"/>
  <c r="K20" i="19"/>
  <c r="J20" i="19"/>
  <c r="I20" i="19"/>
  <c r="H20" i="19"/>
  <c r="F20" i="19"/>
  <c r="B20" i="19"/>
  <c r="E20" i="19" s="1"/>
  <c r="L19" i="19"/>
  <c r="D19" i="19" s="1"/>
  <c r="K19" i="19"/>
  <c r="J19" i="19"/>
  <c r="I19" i="19"/>
  <c r="H19" i="19"/>
  <c r="F19" i="19"/>
  <c r="E19" i="19"/>
  <c r="C19" i="5" s="1"/>
  <c r="C19" i="19"/>
  <c r="B19" i="19"/>
  <c r="M19" i="19" s="1"/>
  <c r="L18" i="19"/>
  <c r="K18" i="19"/>
  <c r="J18" i="19"/>
  <c r="B18" i="19"/>
  <c r="J17" i="19"/>
  <c r="B17" i="19"/>
  <c r="B16" i="19"/>
  <c r="M15" i="19"/>
  <c r="L15" i="19"/>
  <c r="K15" i="19"/>
  <c r="F15" i="19"/>
  <c r="E15" i="19"/>
  <c r="D15" i="19"/>
  <c r="C15" i="19"/>
  <c r="B15" i="5" s="1"/>
  <c r="B15" i="19"/>
  <c r="M14" i="19"/>
  <c r="L14" i="19"/>
  <c r="D14" i="19" s="1"/>
  <c r="F14" i="19"/>
  <c r="E14" i="19"/>
  <c r="B14" i="19"/>
  <c r="M13" i="19"/>
  <c r="L13" i="19"/>
  <c r="K13" i="19"/>
  <c r="J13" i="19"/>
  <c r="I13" i="19"/>
  <c r="H13" i="19"/>
  <c r="G13" i="5" s="1"/>
  <c r="F13" i="19"/>
  <c r="E13" i="19"/>
  <c r="B13" i="19"/>
  <c r="D13" i="19" s="1"/>
  <c r="H12" i="19"/>
  <c r="F12" i="19"/>
  <c r="E12" i="19"/>
  <c r="C12" i="19"/>
  <c r="B12" i="19"/>
  <c r="M11" i="19"/>
  <c r="L11" i="19"/>
  <c r="K11" i="19"/>
  <c r="J11" i="19"/>
  <c r="I11" i="19"/>
  <c r="H11" i="19"/>
  <c r="G11" i="5" s="1"/>
  <c r="F11" i="19"/>
  <c r="E11" i="19"/>
  <c r="D11" i="19"/>
  <c r="C11" i="19"/>
  <c r="B11" i="19"/>
  <c r="F10" i="19"/>
  <c r="E10" i="19"/>
  <c r="B10" i="19"/>
  <c r="M9" i="19"/>
  <c r="L9" i="19"/>
  <c r="K9" i="19"/>
  <c r="J9" i="19"/>
  <c r="I9" i="19"/>
  <c r="H9" i="19"/>
  <c r="F9" i="19"/>
  <c r="B9" i="19"/>
  <c r="E9" i="19" s="1"/>
  <c r="L8" i="19"/>
  <c r="K8" i="19"/>
  <c r="C8" i="19"/>
  <c r="B8" i="5" s="1"/>
  <c r="B8" i="19"/>
  <c r="L7" i="19"/>
  <c r="B7" i="19"/>
  <c r="M6" i="19"/>
  <c r="L6" i="19"/>
  <c r="K6" i="19"/>
  <c r="J6" i="19"/>
  <c r="I6" i="19"/>
  <c r="H6" i="19"/>
  <c r="F6" i="19"/>
  <c r="E6" i="19"/>
  <c r="D6" i="19"/>
  <c r="F6" i="5" s="1"/>
  <c r="C6" i="19"/>
  <c r="B6" i="19"/>
  <c r="M5" i="19"/>
  <c r="L5" i="19"/>
  <c r="K5" i="19"/>
  <c r="J5" i="19"/>
  <c r="D5" i="19"/>
  <c r="C5" i="19"/>
  <c r="B5" i="19"/>
  <c r="K4" i="19"/>
  <c r="J4" i="19"/>
  <c r="I4" i="19"/>
  <c r="H4" i="5" s="1"/>
  <c r="H4" i="19"/>
  <c r="F4" i="19"/>
  <c r="E4" i="19"/>
  <c r="C4" i="19"/>
  <c r="B4" i="19"/>
  <c r="M3" i="19"/>
  <c r="L3" i="19"/>
  <c r="D3" i="19" s="1"/>
  <c r="F3" i="19"/>
  <c r="E3" i="19"/>
  <c r="B3" i="19"/>
  <c r="I13" i="18"/>
  <c r="H52" i="16" s="1"/>
  <c r="H13" i="18"/>
  <c r="G13" i="18"/>
  <c r="F13" i="18"/>
  <c r="E52" i="16" s="1"/>
  <c r="E13" i="18"/>
  <c r="D52" i="16" s="1"/>
  <c r="D13" i="18"/>
  <c r="C13" i="18"/>
  <c r="I12" i="18"/>
  <c r="H12" i="18"/>
  <c r="G12" i="18"/>
  <c r="F12" i="18"/>
  <c r="E52" i="15" s="1"/>
  <c r="E12" i="18"/>
  <c r="D12" i="18"/>
  <c r="C52" i="15" s="1"/>
  <c r="C12" i="18"/>
  <c r="I11" i="18"/>
  <c r="H11" i="18"/>
  <c r="G44" i="14" s="1"/>
  <c r="G11" i="18"/>
  <c r="F11" i="18"/>
  <c r="E11" i="18"/>
  <c r="D11" i="18"/>
  <c r="C11" i="18"/>
  <c r="I10" i="18"/>
  <c r="H10" i="18"/>
  <c r="G10" i="18"/>
  <c r="F10" i="18"/>
  <c r="E10" i="18"/>
  <c r="D10" i="18"/>
  <c r="C10" i="18"/>
  <c r="I9" i="18"/>
  <c r="H9" i="18"/>
  <c r="G9" i="18"/>
  <c r="F9" i="18"/>
  <c r="E9" i="18"/>
  <c r="D9" i="18"/>
  <c r="H28" i="12" s="1"/>
  <c r="C9" i="18"/>
  <c r="I8" i="18"/>
  <c r="H8" i="18"/>
  <c r="G8" i="18"/>
  <c r="H46" i="11" s="1"/>
  <c r="F8" i="18"/>
  <c r="E8" i="18"/>
  <c r="D8" i="18"/>
  <c r="C8" i="18"/>
  <c r="I7" i="18"/>
  <c r="H52" i="10" s="1"/>
  <c r="H7" i="18"/>
  <c r="G7" i="18"/>
  <c r="F7" i="18"/>
  <c r="E7" i="18"/>
  <c r="D7" i="18"/>
  <c r="D14" i="10" s="1"/>
  <c r="C7" i="18"/>
  <c r="F46" i="10" s="1"/>
  <c r="I6" i="18"/>
  <c r="H6" i="18"/>
  <c r="G6" i="18"/>
  <c r="F6" i="18"/>
  <c r="E6" i="18"/>
  <c r="D6" i="18"/>
  <c r="C6" i="18"/>
  <c r="I5" i="18"/>
  <c r="H5" i="18"/>
  <c r="G5" i="18"/>
  <c r="F5" i="18"/>
  <c r="E5" i="18"/>
  <c r="D5" i="18"/>
  <c r="C5" i="18"/>
  <c r="I4" i="18"/>
  <c r="H4" i="18"/>
  <c r="G4" i="18"/>
  <c r="F4" i="18"/>
  <c r="E4" i="18"/>
  <c r="D4" i="18"/>
  <c r="C4" i="18"/>
  <c r="I3" i="18"/>
  <c r="H3" i="18"/>
  <c r="G3" i="18"/>
  <c r="F3" i="18"/>
  <c r="E3" i="18"/>
  <c r="D3" i="18"/>
  <c r="C3" i="18"/>
  <c r="I2" i="18"/>
  <c r="H2" i="18"/>
  <c r="G2" i="18"/>
  <c r="F2" i="18"/>
  <c r="E2" i="18"/>
  <c r="D2" i="18"/>
  <c r="C2" i="18"/>
  <c r="X50" i="17"/>
  <c r="W49" i="17"/>
  <c r="N49" i="17"/>
  <c r="M49" i="17"/>
  <c r="L49" i="17"/>
  <c r="K49" i="17"/>
  <c r="J49" i="17"/>
  <c r="I49" i="17"/>
  <c r="H49" i="17"/>
  <c r="B49" i="17"/>
  <c r="A50" i="8" s="1"/>
  <c r="U48" i="17"/>
  <c r="T48" i="17"/>
  <c r="N48" i="17"/>
  <c r="M48" i="17"/>
  <c r="L48" i="17"/>
  <c r="K48" i="17"/>
  <c r="J48" i="17"/>
  <c r="I48" i="17"/>
  <c r="H48" i="17"/>
  <c r="H49" i="7" s="1"/>
  <c r="G48" i="17"/>
  <c r="F48" i="17"/>
  <c r="E48" i="17"/>
  <c r="D48" i="17"/>
  <c r="C48" i="17"/>
  <c r="O48" i="17" s="1"/>
  <c r="B48" i="17"/>
  <c r="A49" i="13" s="1"/>
  <c r="T47" i="17"/>
  <c r="N47" i="17"/>
  <c r="M47" i="17"/>
  <c r="L47" i="17"/>
  <c r="K47" i="17"/>
  <c r="J47" i="17"/>
  <c r="I47" i="17"/>
  <c r="H47" i="17"/>
  <c r="B47" i="17"/>
  <c r="T46" i="17"/>
  <c r="N46" i="17"/>
  <c r="M46" i="17"/>
  <c r="L46" i="17"/>
  <c r="K46" i="17"/>
  <c r="J46" i="17"/>
  <c r="I46" i="17"/>
  <c r="H46" i="17"/>
  <c r="B46" i="17"/>
  <c r="W45" i="17"/>
  <c r="V45" i="17"/>
  <c r="U45" i="17"/>
  <c r="E45" i="17" s="1"/>
  <c r="T45" i="17"/>
  <c r="S45" i="17"/>
  <c r="N45" i="17"/>
  <c r="M45" i="17"/>
  <c r="L45" i="17"/>
  <c r="K45" i="17"/>
  <c r="J45" i="17"/>
  <c r="I45" i="17"/>
  <c r="H45" i="17"/>
  <c r="G45" i="17"/>
  <c r="F45" i="17"/>
  <c r="D45" i="17"/>
  <c r="B45" i="17"/>
  <c r="A46" i="14" s="1"/>
  <c r="N44" i="17"/>
  <c r="M44" i="17"/>
  <c r="L44" i="17"/>
  <c r="K44" i="17"/>
  <c r="J44" i="17"/>
  <c r="I44" i="17"/>
  <c r="H44" i="17"/>
  <c r="B44" i="17"/>
  <c r="N43" i="17"/>
  <c r="M43" i="17"/>
  <c r="L43" i="17"/>
  <c r="K43" i="17"/>
  <c r="J43" i="17"/>
  <c r="I43" i="17"/>
  <c r="H43" i="17"/>
  <c r="D43" i="17"/>
  <c r="B43" i="17"/>
  <c r="W42" i="17"/>
  <c r="V42" i="17"/>
  <c r="U42" i="17"/>
  <c r="T42" i="17"/>
  <c r="N42" i="17"/>
  <c r="M42" i="17"/>
  <c r="L42" i="17"/>
  <c r="K42" i="17"/>
  <c r="J42" i="17"/>
  <c r="I42" i="17"/>
  <c r="H42" i="17"/>
  <c r="E42" i="17"/>
  <c r="D42" i="17"/>
  <c r="P42" i="17" s="1"/>
  <c r="B42" i="17"/>
  <c r="W41" i="17"/>
  <c r="V41" i="17"/>
  <c r="U41" i="17"/>
  <c r="T41" i="17"/>
  <c r="S41" i="17"/>
  <c r="N41" i="17"/>
  <c r="M41" i="17"/>
  <c r="L41" i="17"/>
  <c r="K41" i="17"/>
  <c r="J41" i="17"/>
  <c r="I41" i="17"/>
  <c r="H41" i="17"/>
  <c r="G41" i="17"/>
  <c r="F41" i="17"/>
  <c r="B41" i="17"/>
  <c r="W40" i="17"/>
  <c r="U40" i="17"/>
  <c r="T40" i="17"/>
  <c r="N40" i="17"/>
  <c r="M40" i="17"/>
  <c r="L40" i="17"/>
  <c r="K40" i="17"/>
  <c r="J40" i="17"/>
  <c r="I40" i="17"/>
  <c r="H40" i="17"/>
  <c r="G40" i="17"/>
  <c r="F40" i="17"/>
  <c r="E40" i="17"/>
  <c r="D40" i="17"/>
  <c r="P40" i="17" s="1"/>
  <c r="C40" i="17"/>
  <c r="B40" i="17"/>
  <c r="V40" i="17" s="1"/>
  <c r="N39" i="17"/>
  <c r="M39" i="17"/>
  <c r="L39" i="17"/>
  <c r="K39" i="17"/>
  <c r="J39" i="17"/>
  <c r="I39" i="17"/>
  <c r="H39" i="17"/>
  <c r="B39" i="17"/>
  <c r="T39" i="17" s="1"/>
  <c r="W38" i="17"/>
  <c r="V38" i="17"/>
  <c r="U38" i="17"/>
  <c r="E38" i="17" s="1"/>
  <c r="T38" i="17"/>
  <c r="S38" i="17"/>
  <c r="N38" i="17"/>
  <c r="M38" i="17"/>
  <c r="L38" i="17"/>
  <c r="K38" i="17"/>
  <c r="J38" i="17"/>
  <c r="I38" i="17"/>
  <c r="H38" i="17"/>
  <c r="G38" i="17"/>
  <c r="F38" i="17"/>
  <c r="B38" i="17"/>
  <c r="A39" i="13" s="1"/>
  <c r="W37" i="17"/>
  <c r="T37" i="17"/>
  <c r="N37" i="17"/>
  <c r="M37" i="17"/>
  <c r="L37" i="17"/>
  <c r="K37" i="17"/>
  <c r="J37" i="17"/>
  <c r="I37" i="17"/>
  <c r="H37" i="17"/>
  <c r="G37" i="17"/>
  <c r="F37" i="17"/>
  <c r="B37" i="17"/>
  <c r="T36" i="17"/>
  <c r="C36" i="17" s="1"/>
  <c r="N36" i="17"/>
  <c r="M36" i="17"/>
  <c r="L36" i="17"/>
  <c r="K36" i="17"/>
  <c r="J36" i="17"/>
  <c r="I36" i="17"/>
  <c r="H36" i="17"/>
  <c r="G36" i="17"/>
  <c r="F36" i="17"/>
  <c r="B36" i="17"/>
  <c r="W35" i="17"/>
  <c r="V35" i="17"/>
  <c r="N35" i="17"/>
  <c r="M35" i="17"/>
  <c r="L35" i="17"/>
  <c r="K35" i="17"/>
  <c r="J35" i="17"/>
  <c r="I35" i="17"/>
  <c r="H35" i="17"/>
  <c r="G35" i="17"/>
  <c r="F35" i="17"/>
  <c r="S35" i="17" s="1"/>
  <c r="D35" i="17"/>
  <c r="B35" i="17"/>
  <c r="W34" i="17"/>
  <c r="V34" i="17"/>
  <c r="U34" i="17"/>
  <c r="E34" i="17" s="1"/>
  <c r="N34" i="17"/>
  <c r="M34" i="17"/>
  <c r="L34" i="17"/>
  <c r="K34" i="17"/>
  <c r="J34" i="17"/>
  <c r="I34" i="17"/>
  <c r="H34" i="17"/>
  <c r="G34" i="17"/>
  <c r="F34" i="17"/>
  <c r="D34" i="17"/>
  <c r="B34" i="17"/>
  <c r="A35" i="15" s="1"/>
  <c r="N33" i="17"/>
  <c r="M33" i="17"/>
  <c r="L33" i="17"/>
  <c r="K33" i="17"/>
  <c r="J33" i="17"/>
  <c r="I33" i="17"/>
  <c r="H33" i="17"/>
  <c r="G33" i="17"/>
  <c r="F33" i="17"/>
  <c r="D33" i="17"/>
  <c r="B33" i="17"/>
  <c r="W32" i="17"/>
  <c r="V32" i="17"/>
  <c r="N32" i="17"/>
  <c r="M32" i="17"/>
  <c r="L32" i="17"/>
  <c r="K32" i="17"/>
  <c r="J32" i="17"/>
  <c r="I32" i="17"/>
  <c r="H32" i="17"/>
  <c r="B32" i="17"/>
  <c r="W31" i="17"/>
  <c r="V31" i="17"/>
  <c r="U31" i="17"/>
  <c r="T31" i="17"/>
  <c r="N31" i="17"/>
  <c r="F32" i="15" s="1"/>
  <c r="M31" i="17"/>
  <c r="L31" i="17"/>
  <c r="K31" i="17"/>
  <c r="J31" i="17"/>
  <c r="I31" i="17"/>
  <c r="H31" i="17"/>
  <c r="G31" i="17"/>
  <c r="B31" i="17"/>
  <c r="W30" i="17"/>
  <c r="V30" i="17"/>
  <c r="U30" i="17"/>
  <c r="E30" i="17" s="1"/>
  <c r="D31" i="11" s="1"/>
  <c r="T30" i="17"/>
  <c r="N30" i="17"/>
  <c r="M30" i="17"/>
  <c r="L30" i="17"/>
  <c r="K30" i="17"/>
  <c r="J30" i="17"/>
  <c r="I30" i="17"/>
  <c r="H30" i="17"/>
  <c r="G30" i="17"/>
  <c r="F30" i="17"/>
  <c r="D30" i="17"/>
  <c r="P30" i="17" s="1"/>
  <c r="C30" i="17"/>
  <c r="B30" i="17"/>
  <c r="A31" i="15" s="1"/>
  <c r="U29" i="17"/>
  <c r="E29" i="17" s="1"/>
  <c r="N29" i="17"/>
  <c r="M29" i="17"/>
  <c r="L29" i="17"/>
  <c r="K29" i="17"/>
  <c r="J29" i="17"/>
  <c r="I29" i="17"/>
  <c r="H29" i="17"/>
  <c r="F29" i="17"/>
  <c r="D29" i="17"/>
  <c r="B29" i="17"/>
  <c r="V28" i="17"/>
  <c r="N28" i="17"/>
  <c r="M28" i="17"/>
  <c r="L28" i="17"/>
  <c r="K28" i="17"/>
  <c r="J28" i="17"/>
  <c r="I28" i="17"/>
  <c r="H28" i="17"/>
  <c r="G28" i="17"/>
  <c r="D28" i="17"/>
  <c r="B28" i="17"/>
  <c r="W27" i="17"/>
  <c r="V27" i="17"/>
  <c r="U27" i="17"/>
  <c r="E27" i="17" s="1"/>
  <c r="G28" i="11" s="1"/>
  <c r="T27" i="17"/>
  <c r="C27" i="17" s="1"/>
  <c r="S27" i="17"/>
  <c r="N27" i="17"/>
  <c r="M27" i="17"/>
  <c r="L27" i="17"/>
  <c r="K27" i="17"/>
  <c r="J27" i="17"/>
  <c r="I27" i="17"/>
  <c r="H27" i="17"/>
  <c r="G27" i="17"/>
  <c r="F27" i="17"/>
  <c r="D27" i="17"/>
  <c r="B27" i="17"/>
  <c r="W26" i="17"/>
  <c r="V26" i="17"/>
  <c r="U26" i="17"/>
  <c r="E26" i="17" s="1"/>
  <c r="T26" i="17"/>
  <c r="C26" i="17" s="1"/>
  <c r="O26" i="17" s="1"/>
  <c r="N26" i="17"/>
  <c r="M26" i="17"/>
  <c r="L26" i="17"/>
  <c r="K26" i="17"/>
  <c r="J26" i="17"/>
  <c r="I26" i="17"/>
  <c r="H26" i="17"/>
  <c r="G26" i="17"/>
  <c r="F26" i="17"/>
  <c r="B26" i="17"/>
  <c r="A27" i="14" s="1"/>
  <c r="V25" i="17"/>
  <c r="N25" i="17"/>
  <c r="M25" i="17"/>
  <c r="L25" i="17"/>
  <c r="K25" i="17"/>
  <c r="J25" i="17"/>
  <c r="I25" i="17"/>
  <c r="H25" i="17"/>
  <c r="F25" i="17"/>
  <c r="D25" i="17"/>
  <c r="B25" i="17"/>
  <c r="N24" i="17"/>
  <c r="M24" i="17"/>
  <c r="L24" i="17"/>
  <c r="K24" i="17"/>
  <c r="J24" i="17"/>
  <c r="I24" i="17"/>
  <c r="H24" i="17"/>
  <c r="B24" i="17"/>
  <c r="W23" i="17"/>
  <c r="V23" i="17"/>
  <c r="U23" i="17"/>
  <c r="E23" i="17" s="1"/>
  <c r="T23" i="17"/>
  <c r="S23" i="17"/>
  <c r="N23" i="17"/>
  <c r="M23" i="17"/>
  <c r="L23" i="17"/>
  <c r="K23" i="17"/>
  <c r="J23" i="17"/>
  <c r="I23" i="17"/>
  <c r="H23" i="17"/>
  <c r="G23" i="17"/>
  <c r="F23" i="17"/>
  <c r="D23" i="17"/>
  <c r="P23" i="17" s="1"/>
  <c r="B23" i="17"/>
  <c r="A24" i="14" s="1"/>
  <c r="V22" i="17"/>
  <c r="U22" i="17"/>
  <c r="E22" i="17" s="1"/>
  <c r="T22" i="17"/>
  <c r="N22" i="17"/>
  <c r="M22" i="17"/>
  <c r="L22" i="17"/>
  <c r="K22" i="17"/>
  <c r="J22" i="17"/>
  <c r="I22" i="17"/>
  <c r="H22" i="17"/>
  <c r="G22" i="17"/>
  <c r="D22" i="17"/>
  <c r="P22" i="17" s="1"/>
  <c r="B22" i="17"/>
  <c r="W21" i="17"/>
  <c r="N21" i="17"/>
  <c r="M21" i="17"/>
  <c r="L21" i="17"/>
  <c r="K21" i="17"/>
  <c r="J21" i="17"/>
  <c r="I21" i="17"/>
  <c r="H21" i="17"/>
  <c r="G21" i="17"/>
  <c r="F21" i="17"/>
  <c r="D21" i="17"/>
  <c r="B21" i="17"/>
  <c r="N20" i="17"/>
  <c r="M20" i="17"/>
  <c r="L20" i="17"/>
  <c r="K20" i="17"/>
  <c r="J20" i="17"/>
  <c r="I20" i="17"/>
  <c r="H20" i="17"/>
  <c r="B20" i="17"/>
  <c r="W19" i="17"/>
  <c r="V19" i="17"/>
  <c r="U19" i="17"/>
  <c r="T19" i="17"/>
  <c r="N19" i="17"/>
  <c r="M19" i="17"/>
  <c r="L19" i="17"/>
  <c r="K19" i="17"/>
  <c r="J19" i="17"/>
  <c r="I19" i="17"/>
  <c r="H19" i="17"/>
  <c r="B19" i="17"/>
  <c r="A20" i="9" s="1"/>
  <c r="N18" i="17"/>
  <c r="M18" i="17"/>
  <c r="L18" i="17"/>
  <c r="K18" i="17"/>
  <c r="J18" i="17"/>
  <c r="I18" i="17"/>
  <c r="H18" i="17"/>
  <c r="B18" i="17"/>
  <c r="W17" i="17"/>
  <c r="V17" i="17"/>
  <c r="U17" i="17"/>
  <c r="T17" i="17"/>
  <c r="C17" i="17" s="1"/>
  <c r="N17" i="17"/>
  <c r="M17" i="17"/>
  <c r="L17" i="17"/>
  <c r="K17" i="17"/>
  <c r="J17" i="17"/>
  <c r="I17" i="17"/>
  <c r="H17" i="17"/>
  <c r="D17" i="17"/>
  <c r="D18" i="6" s="1"/>
  <c r="B17" i="17"/>
  <c r="W16" i="17"/>
  <c r="V16" i="17"/>
  <c r="U16" i="17"/>
  <c r="T16" i="17"/>
  <c r="N16" i="17"/>
  <c r="M16" i="17"/>
  <c r="L16" i="17"/>
  <c r="K16" i="17"/>
  <c r="J16" i="17"/>
  <c r="I16" i="17"/>
  <c r="H16" i="17"/>
  <c r="G16" i="17"/>
  <c r="F16" i="17"/>
  <c r="S16" i="17" s="1"/>
  <c r="E16" i="17"/>
  <c r="B16" i="17"/>
  <c r="A17" i="13" s="1"/>
  <c r="T15" i="17"/>
  <c r="N15" i="17"/>
  <c r="M15" i="17"/>
  <c r="L15" i="17"/>
  <c r="K15" i="17"/>
  <c r="J15" i="17"/>
  <c r="I15" i="17"/>
  <c r="H15" i="17"/>
  <c r="B15" i="17"/>
  <c r="T14" i="17"/>
  <c r="C14" i="17" s="1"/>
  <c r="N14" i="17"/>
  <c r="M14" i="17"/>
  <c r="L14" i="17"/>
  <c r="K14" i="17"/>
  <c r="J14" i="17"/>
  <c r="I14" i="17"/>
  <c r="H14" i="17"/>
  <c r="G14" i="17"/>
  <c r="F14" i="17"/>
  <c r="D14" i="17"/>
  <c r="P14" i="17" s="1"/>
  <c r="B14" i="17"/>
  <c r="W13" i="17"/>
  <c r="N13" i="17"/>
  <c r="M13" i="17"/>
  <c r="L13" i="17"/>
  <c r="K13" i="17"/>
  <c r="J13" i="17"/>
  <c r="I13" i="17"/>
  <c r="H13" i="17"/>
  <c r="F13" i="17"/>
  <c r="B13" i="17"/>
  <c r="U12" i="17"/>
  <c r="N12" i="17"/>
  <c r="M12" i="17"/>
  <c r="L12" i="17"/>
  <c r="K12" i="17"/>
  <c r="J12" i="17"/>
  <c r="I12" i="17"/>
  <c r="H12" i="17"/>
  <c r="B32" i="7" s="1"/>
  <c r="G12" i="17"/>
  <c r="E12" i="17"/>
  <c r="F13" i="11" s="1"/>
  <c r="B12" i="17"/>
  <c r="A13" i="15" s="1"/>
  <c r="V11" i="17"/>
  <c r="N11" i="17"/>
  <c r="M11" i="17"/>
  <c r="L11" i="17"/>
  <c r="K11" i="17"/>
  <c r="J11" i="17"/>
  <c r="I11" i="17"/>
  <c r="H11" i="17"/>
  <c r="B11" i="17"/>
  <c r="V10" i="17"/>
  <c r="U10" i="17"/>
  <c r="E10" i="17" s="1"/>
  <c r="C11" i="12" s="1"/>
  <c r="S10" i="17"/>
  <c r="N10" i="17"/>
  <c r="H16" i="15" s="1"/>
  <c r="M10" i="17"/>
  <c r="L10" i="17"/>
  <c r="K10" i="17"/>
  <c r="J10" i="17"/>
  <c r="I10" i="17"/>
  <c r="H10" i="17"/>
  <c r="F10" i="17"/>
  <c r="D10" i="17"/>
  <c r="P10" i="17" s="1"/>
  <c r="B10" i="17"/>
  <c r="N9" i="17"/>
  <c r="M9" i="17"/>
  <c r="L9" i="17"/>
  <c r="K9" i="17"/>
  <c r="J9" i="17"/>
  <c r="I9" i="17"/>
  <c r="H9" i="17"/>
  <c r="B9" i="17"/>
  <c r="A10" i="5" s="1"/>
  <c r="W8" i="17"/>
  <c r="V8" i="17"/>
  <c r="U8" i="17"/>
  <c r="T8" i="17"/>
  <c r="S8" i="17"/>
  <c r="N8" i="17"/>
  <c r="M8" i="17"/>
  <c r="L8" i="17"/>
  <c r="K8" i="17"/>
  <c r="J8" i="17"/>
  <c r="I8" i="17"/>
  <c r="H8" i="17"/>
  <c r="G8" i="17"/>
  <c r="F8" i="17"/>
  <c r="D8" i="17"/>
  <c r="B8" i="17"/>
  <c r="A9" i="15" s="1"/>
  <c r="V7" i="17"/>
  <c r="U7" i="17"/>
  <c r="T7" i="17"/>
  <c r="S7" i="17"/>
  <c r="N7" i="17"/>
  <c r="B24" i="15" s="1"/>
  <c r="M7" i="17"/>
  <c r="L7" i="17"/>
  <c r="K7" i="17"/>
  <c r="J7" i="17"/>
  <c r="I7" i="17"/>
  <c r="H7" i="17"/>
  <c r="F7" i="17"/>
  <c r="B7" i="17"/>
  <c r="W6" i="17"/>
  <c r="V6" i="17"/>
  <c r="N6" i="17"/>
  <c r="M6" i="17"/>
  <c r="L6" i="17"/>
  <c r="K6" i="17"/>
  <c r="J6" i="17"/>
  <c r="I6" i="17"/>
  <c r="H6" i="17"/>
  <c r="G6" i="17"/>
  <c r="F6" i="17"/>
  <c r="B6" i="17"/>
  <c r="T5" i="17"/>
  <c r="N5" i="17"/>
  <c r="M5" i="17"/>
  <c r="L5" i="17"/>
  <c r="K5" i="17"/>
  <c r="J5" i="17"/>
  <c r="I5" i="17"/>
  <c r="H5" i="17"/>
  <c r="F5" i="17"/>
  <c r="S5" i="17" s="1"/>
  <c r="B5" i="17"/>
  <c r="W4" i="17"/>
  <c r="U4" i="17"/>
  <c r="N4" i="17"/>
  <c r="M4" i="17"/>
  <c r="L4" i="17"/>
  <c r="K4" i="17"/>
  <c r="J4" i="17"/>
  <c r="I4" i="17"/>
  <c r="H4" i="17"/>
  <c r="C50" i="7" s="1"/>
  <c r="G4" i="17"/>
  <c r="F4" i="17"/>
  <c r="S4" i="17" s="1"/>
  <c r="E4" i="17"/>
  <c r="B4" i="17"/>
  <c r="A5" i="10" s="1"/>
  <c r="V3" i="17"/>
  <c r="N3" i="17"/>
  <c r="M3" i="17"/>
  <c r="L3" i="17"/>
  <c r="K3" i="17"/>
  <c r="J3" i="17"/>
  <c r="I3" i="17"/>
  <c r="H3" i="17"/>
  <c r="D3" i="17"/>
  <c r="B3" i="17"/>
  <c r="N2" i="17"/>
  <c r="M2" i="17"/>
  <c r="M50" i="17" s="1"/>
  <c r="L2" i="17"/>
  <c r="L50" i="17" s="1"/>
  <c r="K2" i="17"/>
  <c r="K50" i="17" s="1"/>
  <c r="J2" i="17"/>
  <c r="J50" i="17" s="1"/>
  <c r="I2" i="17"/>
  <c r="G47" i="13" s="1"/>
  <c r="H2" i="17"/>
  <c r="B2" i="17"/>
  <c r="G52" i="16"/>
  <c r="F52" i="16"/>
  <c r="C52" i="16"/>
  <c r="B52" i="16"/>
  <c r="G51" i="16"/>
  <c r="G53" i="16" s="1"/>
  <c r="F51" i="16"/>
  <c r="F53" i="16" s="1"/>
  <c r="D51" i="16"/>
  <c r="D53" i="16" s="1"/>
  <c r="H50" i="16"/>
  <c r="G50" i="16"/>
  <c r="F50" i="16"/>
  <c r="E50" i="16"/>
  <c r="D50" i="16"/>
  <c r="C50" i="16"/>
  <c r="B50" i="16"/>
  <c r="A50" i="16"/>
  <c r="H49" i="16"/>
  <c r="G49" i="16"/>
  <c r="F49" i="16"/>
  <c r="E49" i="16"/>
  <c r="D49" i="16"/>
  <c r="C49" i="16"/>
  <c r="B49" i="16"/>
  <c r="A49" i="16"/>
  <c r="H48" i="16"/>
  <c r="G48" i="16"/>
  <c r="F48" i="16"/>
  <c r="E48" i="16"/>
  <c r="D48" i="16"/>
  <c r="C48" i="16"/>
  <c r="B48" i="16"/>
  <c r="H47" i="16"/>
  <c r="G47" i="16"/>
  <c r="F47" i="16"/>
  <c r="E47" i="16"/>
  <c r="D47" i="16"/>
  <c r="C47" i="16"/>
  <c r="B47" i="16"/>
  <c r="H46" i="16"/>
  <c r="G46" i="16"/>
  <c r="F46" i="16"/>
  <c r="E46" i="16"/>
  <c r="D46" i="16"/>
  <c r="C46" i="16"/>
  <c r="B46" i="16"/>
  <c r="A46" i="16"/>
  <c r="H45" i="16"/>
  <c r="G45" i="16"/>
  <c r="F45" i="16"/>
  <c r="E45" i="16"/>
  <c r="D45" i="16"/>
  <c r="C45" i="16"/>
  <c r="B45" i="16"/>
  <c r="H44" i="16"/>
  <c r="G44" i="16"/>
  <c r="F44" i="16"/>
  <c r="E44" i="16"/>
  <c r="D44" i="16"/>
  <c r="C44" i="16"/>
  <c r="B44" i="16"/>
  <c r="H43" i="16"/>
  <c r="G43" i="16"/>
  <c r="F43" i="16"/>
  <c r="E43" i="16"/>
  <c r="D43" i="16"/>
  <c r="C43" i="16"/>
  <c r="B43" i="16"/>
  <c r="A43" i="16"/>
  <c r="H42" i="16"/>
  <c r="G42" i="16"/>
  <c r="F42" i="16"/>
  <c r="E42" i="16"/>
  <c r="D42" i="16"/>
  <c r="C42" i="16"/>
  <c r="B42" i="16"/>
  <c r="H41" i="16"/>
  <c r="G41" i="16"/>
  <c r="F41" i="16"/>
  <c r="E41" i="16"/>
  <c r="D41" i="16"/>
  <c r="C41" i="16"/>
  <c r="B41" i="16"/>
  <c r="H40" i="16"/>
  <c r="G40" i="16"/>
  <c r="F40" i="16"/>
  <c r="E40" i="16"/>
  <c r="D40" i="16"/>
  <c r="C40" i="16"/>
  <c r="B40" i="16"/>
  <c r="H39" i="16"/>
  <c r="G39" i="16"/>
  <c r="F39" i="16"/>
  <c r="E39" i="16"/>
  <c r="D39" i="16"/>
  <c r="C39" i="16"/>
  <c r="B39" i="16"/>
  <c r="A39" i="16"/>
  <c r="H38" i="16"/>
  <c r="G38" i="16"/>
  <c r="F38" i="16"/>
  <c r="E38" i="16"/>
  <c r="D38" i="16"/>
  <c r="C38" i="16"/>
  <c r="B38" i="16"/>
  <c r="H37" i="16"/>
  <c r="G37" i="16"/>
  <c r="F37" i="16"/>
  <c r="E37" i="16"/>
  <c r="D37" i="16"/>
  <c r="C37" i="16"/>
  <c r="B37" i="16"/>
  <c r="A37" i="16"/>
  <c r="H36" i="16"/>
  <c r="G36" i="16"/>
  <c r="F36" i="16"/>
  <c r="E36" i="16"/>
  <c r="D36" i="16"/>
  <c r="C36" i="16"/>
  <c r="B36" i="16"/>
  <c r="A36" i="16"/>
  <c r="H35" i="16"/>
  <c r="G35" i="16"/>
  <c r="F35" i="16"/>
  <c r="E35" i="16"/>
  <c r="D35" i="16"/>
  <c r="C35" i="16"/>
  <c r="B35" i="16"/>
  <c r="A35" i="16"/>
  <c r="H34" i="16"/>
  <c r="G34" i="16"/>
  <c r="F34" i="16"/>
  <c r="E34" i="16"/>
  <c r="D34" i="16"/>
  <c r="C34" i="16"/>
  <c r="B34" i="16"/>
  <c r="H33" i="16"/>
  <c r="G33" i="16"/>
  <c r="F33" i="16"/>
  <c r="E33" i="16"/>
  <c r="D33" i="16"/>
  <c r="C33" i="16"/>
  <c r="B33" i="16"/>
  <c r="H32" i="16"/>
  <c r="G32" i="16"/>
  <c r="F32" i="16"/>
  <c r="E32" i="16"/>
  <c r="D32" i="16"/>
  <c r="C32" i="16"/>
  <c r="B32" i="16"/>
  <c r="A32" i="16"/>
  <c r="H31" i="16"/>
  <c r="G31" i="16"/>
  <c r="F31" i="16"/>
  <c r="E31" i="16"/>
  <c r="D31" i="16"/>
  <c r="C31" i="16"/>
  <c r="B31" i="16"/>
  <c r="A31" i="16"/>
  <c r="H30" i="16"/>
  <c r="G30" i="16"/>
  <c r="F30" i="16"/>
  <c r="E30" i="16"/>
  <c r="D30" i="16"/>
  <c r="C30" i="16"/>
  <c r="B30" i="16"/>
  <c r="H29" i="16"/>
  <c r="G29" i="16"/>
  <c r="F29" i="16"/>
  <c r="E29" i="16"/>
  <c r="D29" i="16"/>
  <c r="C29" i="16"/>
  <c r="B29" i="16"/>
  <c r="A29" i="16"/>
  <c r="H28" i="16"/>
  <c r="G28" i="16"/>
  <c r="F28" i="16"/>
  <c r="E28" i="16"/>
  <c r="D28" i="16"/>
  <c r="C28" i="16"/>
  <c r="B28" i="16"/>
  <c r="H27" i="16"/>
  <c r="G27" i="16"/>
  <c r="F27" i="16"/>
  <c r="E27" i="16"/>
  <c r="D27" i="16"/>
  <c r="C27" i="16"/>
  <c r="B27" i="16"/>
  <c r="A27" i="16"/>
  <c r="H26" i="16"/>
  <c r="G26" i="16"/>
  <c r="F26" i="16"/>
  <c r="E26" i="16"/>
  <c r="D26" i="16"/>
  <c r="C26" i="16"/>
  <c r="B26" i="16"/>
  <c r="A26" i="16"/>
  <c r="H25" i="16"/>
  <c r="G25" i="16"/>
  <c r="F25" i="16"/>
  <c r="E25" i="16"/>
  <c r="D25" i="16"/>
  <c r="C25" i="16"/>
  <c r="B25" i="16"/>
  <c r="H24" i="16"/>
  <c r="G24" i="16"/>
  <c r="F24" i="16"/>
  <c r="E24" i="16"/>
  <c r="D24" i="16"/>
  <c r="C24" i="16"/>
  <c r="B24" i="16"/>
  <c r="A24" i="16"/>
  <c r="H23" i="16"/>
  <c r="G23" i="16"/>
  <c r="F23" i="16"/>
  <c r="E23" i="16"/>
  <c r="D23" i="16"/>
  <c r="C23" i="16"/>
  <c r="B23" i="16"/>
  <c r="A23" i="16"/>
  <c r="H22" i="16"/>
  <c r="G22" i="16"/>
  <c r="F22" i="16"/>
  <c r="E22" i="16"/>
  <c r="D22" i="16"/>
  <c r="C22" i="16"/>
  <c r="B22" i="16"/>
  <c r="H21" i="16"/>
  <c r="G21" i="16"/>
  <c r="F21" i="16"/>
  <c r="E21" i="16"/>
  <c r="D21" i="16"/>
  <c r="C21" i="16"/>
  <c r="B21" i="16"/>
  <c r="H20" i="16"/>
  <c r="G20" i="16"/>
  <c r="F20" i="16"/>
  <c r="E20" i="16"/>
  <c r="D20" i="16"/>
  <c r="C20" i="16"/>
  <c r="B20" i="16"/>
  <c r="H19" i="16"/>
  <c r="G19" i="16"/>
  <c r="F19" i="16"/>
  <c r="E19" i="16"/>
  <c r="D19" i="16"/>
  <c r="C19" i="16"/>
  <c r="B19" i="16"/>
  <c r="H18" i="16"/>
  <c r="G18" i="16"/>
  <c r="F18" i="16"/>
  <c r="E18" i="16"/>
  <c r="D18" i="16"/>
  <c r="C18" i="16"/>
  <c r="B18" i="16"/>
  <c r="A18" i="16"/>
  <c r="H17" i="16"/>
  <c r="G17" i="16"/>
  <c r="F17" i="16"/>
  <c r="E17" i="16"/>
  <c r="D17" i="16"/>
  <c r="C17" i="16"/>
  <c r="B17" i="16"/>
  <c r="A17" i="16"/>
  <c r="H16" i="16"/>
  <c r="G16" i="16"/>
  <c r="F16" i="16"/>
  <c r="E16" i="16"/>
  <c r="D16" i="16"/>
  <c r="C16" i="16"/>
  <c r="B16" i="16"/>
  <c r="H15" i="16"/>
  <c r="G15" i="16"/>
  <c r="F15" i="16"/>
  <c r="E15" i="16"/>
  <c r="D15" i="16"/>
  <c r="C15" i="16"/>
  <c r="B15" i="16"/>
  <c r="A15" i="16"/>
  <c r="H14" i="16"/>
  <c r="G14" i="16"/>
  <c r="F14" i="16"/>
  <c r="E14" i="16"/>
  <c r="D14" i="16"/>
  <c r="C14" i="16"/>
  <c r="B14" i="16"/>
  <c r="H13" i="16"/>
  <c r="G13" i="16"/>
  <c r="F13" i="16"/>
  <c r="E13" i="16"/>
  <c r="D13" i="16"/>
  <c r="C13" i="16"/>
  <c r="B13" i="16"/>
  <c r="H12" i="16"/>
  <c r="G12" i="16"/>
  <c r="F12" i="16"/>
  <c r="E12" i="16"/>
  <c r="D12" i="16"/>
  <c r="C12" i="16"/>
  <c r="B12" i="16"/>
  <c r="H11" i="16"/>
  <c r="G11" i="16"/>
  <c r="F11" i="16"/>
  <c r="E11" i="16"/>
  <c r="D11" i="16"/>
  <c r="C11" i="16"/>
  <c r="B11" i="16"/>
  <c r="H10" i="16"/>
  <c r="G10" i="16"/>
  <c r="F10" i="16"/>
  <c r="E10" i="16"/>
  <c r="D10" i="16"/>
  <c r="C10" i="16"/>
  <c r="B10" i="16"/>
  <c r="H9" i="16"/>
  <c r="G9" i="16"/>
  <c r="F9" i="16"/>
  <c r="E9" i="16"/>
  <c r="D9" i="16"/>
  <c r="C9" i="16"/>
  <c r="B9" i="16"/>
  <c r="A9" i="16"/>
  <c r="H8" i="16"/>
  <c r="G8" i="16"/>
  <c r="F8" i="16"/>
  <c r="E8" i="16"/>
  <c r="D8" i="16"/>
  <c r="C8" i="16"/>
  <c r="B8" i="16"/>
  <c r="H7" i="16"/>
  <c r="G7" i="16"/>
  <c r="F7" i="16"/>
  <c r="E7" i="16"/>
  <c r="D7" i="16"/>
  <c r="C7" i="16"/>
  <c r="B7" i="16"/>
  <c r="A7" i="16"/>
  <c r="H6" i="16"/>
  <c r="G6" i="16"/>
  <c r="F6" i="16"/>
  <c r="E6" i="16"/>
  <c r="D6" i="16"/>
  <c r="C6" i="16"/>
  <c r="B6" i="16"/>
  <c r="A6" i="16"/>
  <c r="H5" i="16"/>
  <c r="G5" i="16"/>
  <c r="F5" i="16"/>
  <c r="E5" i="16"/>
  <c r="D5" i="16"/>
  <c r="C5" i="16"/>
  <c r="B5" i="16"/>
  <c r="H4" i="16"/>
  <c r="G4" i="16"/>
  <c r="F4" i="16"/>
  <c r="E4" i="16"/>
  <c r="D4" i="16"/>
  <c r="C4" i="16"/>
  <c r="B4" i="16"/>
  <c r="H3" i="16"/>
  <c r="G3" i="16"/>
  <c r="F3" i="16"/>
  <c r="E3" i="16"/>
  <c r="D3" i="16"/>
  <c r="C3" i="16"/>
  <c r="B3" i="16"/>
  <c r="H52" i="15"/>
  <c r="G52" i="15"/>
  <c r="F52" i="15"/>
  <c r="B52" i="15"/>
  <c r="A46" i="15"/>
  <c r="C43" i="15"/>
  <c r="B43" i="15"/>
  <c r="A43" i="15"/>
  <c r="A39" i="15"/>
  <c r="A38" i="15"/>
  <c r="A37" i="15"/>
  <c r="A36" i="15"/>
  <c r="A33" i="15"/>
  <c r="A28" i="15"/>
  <c r="A27" i="15"/>
  <c r="C26" i="15"/>
  <c r="A24" i="15"/>
  <c r="A17" i="15"/>
  <c r="A15" i="15"/>
  <c r="A11" i="15"/>
  <c r="A10" i="15"/>
  <c r="B8" i="15"/>
  <c r="A8" i="15"/>
  <c r="A7" i="15"/>
  <c r="F52" i="14"/>
  <c r="E52" i="14"/>
  <c r="D52" i="14"/>
  <c r="C52" i="14"/>
  <c r="H50" i="14"/>
  <c r="F50" i="14"/>
  <c r="E50" i="14"/>
  <c r="D50" i="14"/>
  <c r="C50" i="14"/>
  <c r="B50" i="14"/>
  <c r="A50" i="14"/>
  <c r="F49" i="14"/>
  <c r="E49" i="14"/>
  <c r="D49" i="14"/>
  <c r="C49" i="14"/>
  <c r="E48" i="14"/>
  <c r="D48" i="14"/>
  <c r="C48" i="14"/>
  <c r="H47" i="14"/>
  <c r="F47" i="14"/>
  <c r="E47" i="14"/>
  <c r="D47" i="14"/>
  <c r="C47" i="14"/>
  <c r="B47" i="14"/>
  <c r="H46" i="14"/>
  <c r="G46" i="14"/>
  <c r="F46" i="14"/>
  <c r="E46" i="14"/>
  <c r="D46" i="14"/>
  <c r="G45" i="14"/>
  <c r="E45" i="14"/>
  <c r="D45" i="14"/>
  <c r="C45" i="14"/>
  <c r="H44" i="14"/>
  <c r="F44" i="14"/>
  <c r="E44" i="14"/>
  <c r="D44" i="14"/>
  <c r="C44" i="14"/>
  <c r="H43" i="14"/>
  <c r="F43" i="14"/>
  <c r="A43" i="14"/>
  <c r="H42" i="14"/>
  <c r="F42" i="14"/>
  <c r="E42" i="14"/>
  <c r="D42" i="14"/>
  <c r="C42" i="14"/>
  <c r="B42" i="14"/>
  <c r="A42" i="14"/>
  <c r="H41" i="14"/>
  <c r="F41" i="14"/>
  <c r="E41" i="14"/>
  <c r="D41" i="14"/>
  <c r="C41" i="14"/>
  <c r="A41" i="14"/>
  <c r="H40" i="14"/>
  <c r="C40" i="14"/>
  <c r="H39" i="14"/>
  <c r="F39" i="14"/>
  <c r="E39" i="14"/>
  <c r="D39" i="14"/>
  <c r="C39" i="14"/>
  <c r="B39" i="14"/>
  <c r="A39" i="14"/>
  <c r="H38" i="14"/>
  <c r="G38" i="14"/>
  <c r="F38" i="14"/>
  <c r="E38" i="14"/>
  <c r="D38" i="14"/>
  <c r="C38" i="14"/>
  <c r="B38" i="14"/>
  <c r="E37" i="14"/>
  <c r="D37" i="14"/>
  <c r="C37" i="14"/>
  <c r="A37" i="14"/>
  <c r="H36" i="14"/>
  <c r="F36" i="14"/>
  <c r="E36" i="14"/>
  <c r="D36" i="14"/>
  <c r="C36" i="14"/>
  <c r="A36" i="14"/>
  <c r="H35" i="14"/>
  <c r="G35" i="14"/>
  <c r="F35" i="14"/>
  <c r="E35" i="14"/>
  <c r="D35" i="14"/>
  <c r="G34" i="14"/>
  <c r="F34" i="14"/>
  <c r="E34" i="14"/>
  <c r="D34" i="14"/>
  <c r="C34" i="14"/>
  <c r="B34" i="14"/>
  <c r="H33" i="14"/>
  <c r="G33" i="14"/>
  <c r="F33" i="14"/>
  <c r="E33" i="14"/>
  <c r="D33" i="14"/>
  <c r="C33" i="14"/>
  <c r="F32" i="14"/>
  <c r="A32" i="14"/>
  <c r="H31" i="14"/>
  <c r="G31" i="14"/>
  <c r="F31" i="14"/>
  <c r="E31" i="14"/>
  <c r="D31" i="14"/>
  <c r="C31" i="14"/>
  <c r="A31" i="14"/>
  <c r="H30" i="14"/>
  <c r="G30" i="14"/>
  <c r="F30" i="14"/>
  <c r="E30" i="14"/>
  <c r="D30" i="14"/>
  <c r="C30" i="14"/>
  <c r="B30" i="14"/>
  <c r="A30" i="14"/>
  <c r="H29" i="14"/>
  <c r="C29" i="14"/>
  <c r="H28" i="14"/>
  <c r="F28" i="14"/>
  <c r="E28" i="14"/>
  <c r="D28" i="14"/>
  <c r="C28" i="14"/>
  <c r="A28" i="14"/>
  <c r="H27" i="14"/>
  <c r="F27" i="14"/>
  <c r="E27" i="14"/>
  <c r="D27" i="14"/>
  <c r="C27" i="14"/>
  <c r="E26" i="14"/>
  <c r="D26" i="14"/>
  <c r="C26" i="14"/>
  <c r="B26" i="14"/>
  <c r="G25" i="14"/>
  <c r="F25" i="14"/>
  <c r="E25" i="14"/>
  <c r="D25" i="14"/>
  <c r="C25" i="14"/>
  <c r="H24" i="14"/>
  <c r="G24" i="14"/>
  <c r="F24" i="14"/>
  <c r="E24" i="14"/>
  <c r="D24" i="14"/>
  <c r="F23" i="14"/>
  <c r="E23" i="14"/>
  <c r="D23" i="14"/>
  <c r="C23" i="14"/>
  <c r="A23" i="14"/>
  <c r="H22" i="14"/>
  <c r="F22" i="14"/>
  <c r="E22" i="14"/>
  <c r="D22" i="14"/>
  <c r="C22" i="14"/>
  <c r="B22" i="14"/>
  <c r="A22" i="14"/>
  <c r="H21" i="14"/>
  <c r="F21" i="14"/>
  <c r="H20" i="14"/>
  <c r="F20" i="14"/>
  <c r="E20" i="14"/>
  <c r="D20" i="14"/>
  <c r="C20" i="14"/>
  <c r="A20" i="14"/>
  <c r="H19" i="14"/>
  <c r="F19" i="14"/>
  <c r="E19" i="14"/>
  <c r="D19" i="14"/>
  <c r="C19" i="14"/>
  <c r="B19" i="14"/>
  <c r="H18" i="14"/>
  <c r="C18" i="14"/>
  <c r="B18" i="14"/>
  <c r="A18" i="14"/>
  <c r="H17" i="14"/>
  <c r="F17" i="14"/>
  <c r="E17" i="14"/>
  <c r="D17" i="14"/>
  <c r="C17" i="14"/>
  <c r="A17" i="14"/>
  <c r="H16" i="14"/>
  <c r="F16" i="14"/>
  <c r="E16" i="14"/>
  <c r="D16" i="14"/>
  <c r="C16" i="14"/>
  <c r="E15" i="14"/>
  <c r="D15" i="14"/>
  <c r="C15" i="14"/>
  <c r="B15" i="14"/>
  <c r="A15" i="14"/>
  <c r="H14" i="14"/>
  <c r="G14" i="14"/>
  <c r="F14" i="14"/>
  <c r="E14" i="14"/>
  <c r="D14" i="14"/>
  <c r="C14" i="14"/>
  <c r="A14" i="14"/>
  <c r="H13" i="14"/>
  <c r="F13" i="14"/>
  <c r="E13" i="14"/>
  <c r="D13" i="14"/>
  <c r="G12" i="14"/>
  <c r="F12" i="14"/>
  <c r="E12" i="14"/>
  <c r="D12" i="14"/>
  <c r="C12" i="14"/>
  <c r="H11" i="14"/>
  <c r="G11" i="14"/>
  <c r="F11" i="14"/>
  <c r="E11" i="14"/>
  <c r="D11" i="14"/>
  <c r="C11" i="14"/>
  <c r="B11" i="14"/>
  <c r="A11" i="14"/>
  <c r="H10" i="14"/>
  <c r="F10" i="14"/>
  <c r="H9" i="14"/>
  <c r="F9" i="14"/>
  <c r="E9" i="14"/>
  <c r="D9" i="14"/>
  <c r="C9" i="14"/>
  <c r="A9" i="14"/>
  <c r="H8" i="14"/>
  <c r="G8" i="14"/>
  <c r="F8" i="14"/>
  <c r="E8" i="14"/>
  <c r="D8" i="14"/>
  <c r="C8" i="14"/>
  <c r="B8" i="14"/>
  <c r="A8" i="14"/>
  <c r="H7" i="14"/>
  <c r="C7" i="14"/>
  <c r="B7" i="14"/>
  <c r="A7" i="14"/>
  <c r="H6" i="14"/>
  <c r="F6" i="14"/>
  <c r="E6" i="14"/>
  <c r="D6" i="14"/>
  <c r="C6" i="14"/>
  <c r="B6" i="14"/>
  <c r="F5" i="14"/>
  <c r="E5" i="14"/>
  <c r="D5" i="14"/>
  <c r="C5" i="14"/>
  <c r="E4" i="14"/>
  <c r="D4" i="14"/>
  <c r="C4" i="14"/>
  <c r="H3" i="14"/>
  <c r="G3" i="14"/>
  <c r="F3" i="14"/>
  <c r="E3" i="14"/>
  <c r="D3" i="14"/>
  <c r="C3" i="14"/>
  <c r="E52" i="13"/>
  <c r="C52" i="13"/>
  <c r="B52" i="13"/>
  <c r="A48" i="13"/>
  <c r="A46" i="13"/>
  <c r="A42" i="13"/>
  <c r="A41" i="13"/>
  <c r="A38" i="13"/>
  <c r="A37" i="13"/>
  <c r="A33" i="13"/>
  <c r="A32" i="13"/>
  <c r="A31" i="13"/>
  <c r="A30" i="13"/>
  <c r="A27" i="13"/>
  <c r="B26" i="13"/>
  <c r="A26" i="13"/>
  <c r="H25" i="13"/>
  <c r="A24" i="13"/>
  <c r="A22" i="13"/>
  <c r="A18" i="13"/>
  <c r="A16" i="13"/>
  <c r="A15" i="13"/>
  <c r="A12" i="13"/>
  <c r="A11" i="13"/>
  <c r="A9" i="13"/>
  <c r="A7" i="13"/>
  <c r="A6" i="13"/>
  <c r="D5" i="13"/>
  <c r="C5" i="13"/>
  <c r="E3" i="13"/>
  <c r="H52" i="12"/>
  <c r="G52" i="12"/>
  <c r="F52" i="12"/>
  <c r="E52" i="12"/>
  <c r="D52" i="12"/>
  <c r="B52" i="12"/>
  <c r="A50" i="12"/>
  <c r="E49" i="12"/>
  <c r="B49" i="12"/>
  <c r="A49" i="12"/>
  <c r="A48" i="12"/>
  <c r="H46" i="12"/>
  <c r="A46" i="12"/>
  <c r="A44" i="12"/>
  <c r="H43" i="12"/>
  <c r="G43" i="12"/>
  <c r="F43" i="12"/>
  <c r="E43" i="12"/>
  <c r="D43" i="12"/>
  <c r="C43" i="12"/>
  <c r="B43" i="12"/>
  <c r="A43" i="12"/>
  <c r="A42" i="12"/>
  <c r="A41" i="12"/>
  <c r="F39" i="12"/>
  <c r="E39" i="12"/>
  <c r="D39" i="12"/>
  <c r="C39" i="12"/>
  <c r="A39" i="12"/>
  <c r="A38" i="12"/>
  <c r="A37" i="12"/>
  <c r="A35" i="12"/>
  <c r="A33" i="12"/>
  <c r="A32" i="12"/>
  <c r="G31" i="12"/>
  <c r="D31" i="12"/>
  <c r="C31" i="12"/>
  <c r="B31" i="12"/>
  <c r="A31" i="12"/>
  <c r="H30" i="12"/>
  <c r="A30" i="12"/>
  <c r="D28" i="12"/>
  <c r="B28" i="12"/>
  <c r="A28" i="12"/>
  <c r="H27" i="12"/>
  <c r="G27" i="12"/>
  <c r="E27" i="12"/>
  <c r="D27" i="12"/>
  <c r="C27" i="12"/>
  <c r="B27" i="12"/>
  <c r="A27" i="12"/>
  <c r="A25" i="12"/>
  <c r="G24" i="12"/>
  <c r="E24" i="12"/>
  <c r="B24" i="12"/>
  <c r="A24" i="12"/>
  <c r="F23" i="12"/>
  <c r="E23" i="12"/>
  <c r="A23" i="12"/>
  <c r="A22" i="12"/>
  <c r="A18" i="12"/>
  <c r="A17" i="12"/>
  <c r="A16" i="12"/>
  <c r="A15" i="12"/>
  <c r="A13" i="12"/>
  <c r="A12" i="12"/>
  <c r="A11" i="12"/>
  <c r="A9" i="12"/>
  <c r="A7" i="12"/>
  <c r="A6" i="12"/>
  <c r="H5" i="12"/>
  <c r="G5" i="12"/>
  <c r="H52" i="11"/>
  <c r="G52" i="11"/>
  <c r="F52" i="11"/>
  <c r="E52" i="11"/>
  <c r="D52" i="11"/>
  <c r="C52" i="11"/>
  <c r="B52" i="11"/>
  <c r="A50" i="11"/>
  <c r="H49" i="11"/>
  <c r="D49" i="11"/>
  <c r="A49" i="11"/>
  <c r="D46" i="11"/>
  <c r="A46" i="11"/>
  <c r="A45" i="11"/>
  <c r="A43" i="11"/>
  <c r="A42" i="11"/>
  <c r="E41" i="11"/>
  <c r="B41" i="11"/>
  <c r="A41" i="11"/>
  <c r="H39" i="11"/>
  <c r="C39" i="11"/>
  <c r="A39" i="11"/>
  <c r="A38" i="11"/>
  <c r="A37" i="11"/>
  <c r="A36" i="11"/>
  <c r="A35" i="11"/>
  <c r="A34" i="11"/>
  <c r="A33" i="11"/>
  <c r="A32" i="11"/>
  <c r="A31" i="11"/>
  <c r="A30" i="11"/>
  <c r="H28" i="11"/>
  <c r="F28" i="11"/>
  <c r="E28" i="11"/>
  <c r="C28" i="11"/>
  <c r="B28" i="11"/>
  <c r="A28" i="11"/>
  <c r="H27" i="11"/>
  <c r="G27" i="11"/>
  <c r="F27" i="11"/>
  <c r="E27" i="11"/>
  <c r="D27" i="11"/>
  <c r="C27" i="11"/>
  <c r="B27" i="11"/>
  <c r="A27" i="11"/>
  <c r="A26" i="11"/>
  <c r="H24" i="11"/>
  <c r="E24" i="11"/>
  <c r="A24" i="11"/>
  <c r="G23" i="11"/>
  <c r="D23" i="11"/>
  <c r="C23" i="11"/>
  <c r="B23" i="11"/>
  <c r="A23" i="11"/>
  <c r="A22" i="11"/>
  <c r="A20" i="11"/>
  <c r="A18" i="11"/>
  <c r="A17" i="11"/>
  <c r="A15" i="11"/>
  <c r="A14" i="11"/>
  <c r="A12" i="11"/>
  <c r="A11" i="11"/>
  <c r="A9" i="11"/>
  <c r="A8" i="11"/>
  <c r="A7" i="11"/>
  <c r="A6" i="11"/>
  <c r="A5" i="11"/>
  <c r="G52" i="10"/>
  <c r="F52" i="10"/>
  <c r="E52" i="10"/>
  <c r="D52" i="10"/>
  <c r="B52" i="10"/>
  <c r="A49" i="10"/>
  <c r="B46" i="10"/>
  <c r="A46" i="10"/>
  <c r="A45" i="10"/>
  <c r="A43" i="10"/>
  <c r="C42" i="10"/>
  <c r="A42" i="10"/>
  <c r="A41" i="10"/>
  <c r="G39" i="10"/>
  <c r="D39" i="10"/>
  <c r="A39" i="10"/>
  <c r="A38" i="10"/>
  <c r="F37" i="10"/>
  <c r="E37" i="10"/>
  <c r="D37" i="10"/>
  <c r="C37" i="10"/>
  <c r="A37" i="10"/>
  <c r="G36" i="10"/>
  <c r="D36" i="10"/>
  <c r="A36" i="10"/>
  <c r="H35" i="10"/>
  <c r="A35" i="10"/>
  <c r="A34" i="10"/>
  <c r="A33" i="10"/>
  <c r="A32" i="10"/>
  <c r="C31" i="10"/>
  <c r="A31" i="10"/>
  <c r="A30" i="10"/>
  <c r="A29" i="10"/>
  <c r="A28" i="10"/>
  <c r="A27" i="10"/>
  <c r="F26" i="10"/>
  <c r="A26" i="10"/>
  <c r="D24" i="10"/>
  <c r="A24" i="10"/>
  <c r="A23" i="10"/>
  <c r="H22" i="10"/>
  <c r="A22" i="10"/>
  <c r="A20" i="10"/>
  <c r="A18" i="10"/>
  <c r="H17" i="10"/>
  <c r="F17" i="10"/>
  <c r="C17" i="10"/>
  <c r="A17" i="10"/>
  <c r="A16" i="10"/>
  <c r="H15" i="10"/>
  <c r="G15" i="10"/>
  <c r="A15" i="10"/>
  <c r="A13" i="10"/>
  <c r="A11" i="10"/>
  <c r="A10" i="10"/>
  <c r="H9" i="10"/>
  <c r="G9" i="10"/>
  <c r="F9" i="10"/>
  <c r="A9" i="10"/>
  <c r="A8" i="10"/>
  <c r="C7" i="10"/>
  <c r="A7" i="10"/>
  <c r="A4" i="10"/>
  <c r="H52" i="9"/>
  <c r="G52" i="9"/>
  <c r="F52" i="9"/>
  <c r="E52" i="9"/>
  <c r="D52" i="9"/>
  <c r="B52" i="9"/>
  <c r="H50" i="9"/>
  <c r="G50" i="9"/>
  <c r="F50" i="9"/>
  <c r="E50" i="9"/>
  <c r="D50" i="9"/>
  <c r="C50" i="9"/>
  <c r="B50" i="9"/>
  <c r="A50" i="9"/>
  <c r="H49" i="9"/>
  <c r="G49" i="9"/>
  <c r="F49" i="9"/>
  <c r="E49" i="9"/>
  <c r="D49" i="9"/>
  <c r="C49" i="9"/>
  <c r="A49" i="9"/>
  <c r="H48" i="9"/>
  <c r="G48" i="9"/>
  <c r="F48" i="9"/>
  <c r="E48" i="9"/>
  <c r="D48" i="9"/>
  <c r="H47" i="9"/>
  <c r="G47" i="9"/>
  <c r="F47" i="9"/>
  <c r="E47" i="9"/>
  <c r="D47" i="9"/>
  <c r="C47" i="9"/>
  <c r="B47" i="9"/>
  <c r="A47" i="9"/>
  <c r="H46" i="9"/>
  <c r="G46" i="9"/>
  <c r="F46" i="9"/>
  <c r="E46" i="9"/>
  <c r="D46" i="9"/>
  <c r="C46" i="9"/>
  <c r="A46" i="9"/>
  <c r="H45" i="9"/>
  <c r="G45" i="9"/>
  <c r="F45" i="9"/>
  <c r="E45" i="9"/>
  <c r="D45" i="9"/>
  <c r="C45" i="9"/>
  <c r="H44" i="9"/>
  <c r="G44" i="9"/>
  <c r="F44" i="9"/>
  <c r="E44" i="9"/>
  <c r="D44" i="9"/>
  <c r="C44" i="9"/>
  <c r="B44" i="9"/>
  <c r="A44" i="9"/>
  <c r="H43" i="9"/>
  <c r="G43" i="9"/>
  <c r="F43" i="9"/>
  <c r="E43" i="9"/>
  <c r="D43" i="9"/>
  <c r="A43" i="9"/>
  <c r="H42" i="9"/>
  <c r="G42" i="9"/>
  <c r="F42" i="9"/>
  <c r="E42" i="9"/>
  <c r="D42" i="9"/>
  <c r="A42" i="9"/>
  <c r="H41" i="9"/>
  <c r="G41" i="9"/>
  <c r="F41" i="9"/>
  <c r="E41" i="9"/>
  <c r="D41" i="9"/>
  <c r="C41" i="9"/>
  <c r="B41" i="9"/>
  <c r="A41" i="9"/>
  <c r="H40" i="9"/>
  <c r="G40" i="9"/>
  <c r="F40" i="9"/>
  <c r="E40" i="9"/>
  <c r="D40" i="9"/>
  <c r="H39" i="9"/>
  <c r="G39" i="9"/>
  <c r="F39" i="9"/>
  <c r="E39" i="9"/>
  <c r="D39" i="9"/>
  <c r="C39" i="9"/>
  <c r="B39" i="9"/>
  <c r="A39" i="9"/>
  <c r="H38" i="9"/>
  <c r="G38" i="9"/>
  <c r="F38" i="9"/>
  <c r="E38" i="9"/>
  <c r="D38" i="9"/>
  <c r="C38" i="9"/>
  <c r="B38" i="9"/>
  <c r="A38" i="9"/>
  <c r="H37" i="9"/>
  <c r="G37" i="9"/>
  <c r="F37" i="9"/>
  <c r="E37" i="9"/>
  <c r="D37" i="9"/>
  <c r="A37" i="9"/>
  <c r="H36" i="9"/>
  <c r="G36" i="9"/>
  <c r="F36" i="9"/>
  <c r="E36" i="9"/>
  <c r="D36" i="9"/>
  <c r="C36" i="9"/>
  <c r="B36" i="9"/>
  <c r="A36" i="9"/>
  <c r="H35" i="9"/>
  <c r="G35" i="9"/>
  <c r="F35" i="9"/>
  <c r="E35" i="9"/>
  <c r="D35" i="9"/>
  <c r="C35" i="9"/>
  <c r="B35" i="9"/>
  <c r="A35" i="9"/>
  <c r="H34" i="9"/>
  <c r="G34" i="9"/>
  <c r="F34" i="9"/>
  <c r="E34" i="9"/>
  <c r="D34" i="9"/>
  <c r="B34" i="9"/>
  <c r="H33" i="9"/>
  <c r="G33" i="9"/>
  <c r="F33" i="9"/>
  <c r="E33" i="9"/>
  <c r="D33" i="9"/>
  <c r="C33" i="9"/>
  <c r="B33" i="9"/>
  <c r="A33" i="9"/>
  <c r="H32" i="9"/>
  <c r="G32" i="9"/>
  <c r="F32" i="9"/>
  <c r="E32" i="9"/>
  <c r="D32" i="9"/>
  <c r="C32" i="9"/>
  <c r="A32" i="9"/>
  <c r="H31" i="9"/>
  <c r="G31" i="9"/>
  <c r="F31" i="9"/>
  <c r="E31" i="9"/>
  <c r="D31" i="9"/>
  <c r="B31" i="9"/>
  <c r="A31" i="9"/>
  <c r="H30" i="9"/>
  <c r="G30" i="9"/>
  <c r="F30" i="9"/>
  <c r="E30" i="9"/>
  <c r="D30" i="9"/>
  <c r="C30" i="9"/>
  <c r="B30" i="9"/>
  <c r="A30" i="9"/>
  <c r="H29" i="9"/>
  <c r="G29" i="9"/>
  <c r="F29" i="9"/>
  <c r="E29" i="9"/>
  <c r="D29" i="9"/>
  <c r="H28" i="9"/>
  <c r="G28" i="9"/>
  <c r="F28" i="9"/>
  <c r="E28" i="9"/>
  <c r="D28" i="9"/>
  <c r="B28" i="9"/>
  <c r="A28" i="9"/>
  <c r="H27" i="9"/>
  <c r="G27" i="9"/>
  <c r="F27" i="9"/>
  <c r="E27" i="9"/>
  <c r="D27" i="9"/>
  <c r="C27" i="9"/>
  <c r="B27" i="9"/>
  <c r="A27" i="9"/>
  <c r="H26" i="9"/>
  <c r="G26" i="9"/>
  <c r="F26" i="9"/>
  <c r="E26" i="9"/>
  <c r="D26" i="9"/>
  <c r="A26" i="9"/>
  <c r="H25" i="9"/>
  <c r="G25" i="9"/>
  <c r="F25" i="9"/>
  <c r="E25" i="9"/>
  <c r="D25" i="9"/>
  <c r="B25" i="9"/>
  <c r="A25" i="9"/>
  <c r="H24" i="9"/>
  <c r="G24" i="9"/>
  <c r="F24" i="9"/>
  <c r="E24" i="9"/>
  <c r="D24" i="9"/>
  <c r="C24" i="9"/>
  <c r="B24" i="9"/>
  <c r="A24" i="9"/>
  <c r="H23" i="9"/>
  <c r="G23" i="9"/>
  <c r="F23" i="9"/>
  <c r="E23" i="9"/>
  <c r="D23" i="9"/>
  <c r="A23" i="9"/>
  <c r="H22" i="9"/>
  <c r="G22" i="9"/>
  <c r="F22" i="9"/>
  <c r="E22" i="9"/>
  <c r="D22" i="9"/>
  <c r="C22" i="9"/>
  <c r="B22" i="9"/>
  <c r="A22" i="9"/>
  <c r="H21" i="9"/>
  <c r="G21" i="9"/>
  <c r="F21" i="9"/>
  <c r="E21" i="9"/>
  <c r="D21" i="9"/>
  <c r="C21" i="9"/>
  <c r="B21" i="9"/>
  <c r="H20" i="9"/>
  <c r="G20" i="9"/>
  <c r="F20" i="9"/>
  <c r="E20" i="9"/>
  <c r="D20" i="9"/>
  <c r="H19" i="9"/>
  <c r="G19" i="9"/>
  <c r="F19" i="9"/>
  <c r="E19" i="9"/>
  <c r="D19" i="9"/>
  <c r="C19" i="9"/>
  <c r="B19" i="9"/>
  <c r="H18" i="9"/>
  <c r="G18" i="9"/>
  <c r="F18" i="9"/>
  <c r="E18" i="9"/>
  <c r="D18" i="9"/>
  <c r="C18" i="9"/>
  <c r="A18" i="9"/>
  <c r="H17" i="9"/>
  <c r="G17" i="9"/>
  <c r="F17" i="9"/>
  <c r="E17" i="9"/>
  <c r="D17" i="9"/>
  <c r="A17" i="9"/>
  <c r="H16" i="9"/>
  <c r="G16" i="9"/>
  <c r="F16" i="9"/>
  <c r="E16" i="9"/>
  <c r="D16" i="9"/>
  <c r="C16" i="9"/>
  <c r="B16" i="9"/>
  <c r="A16" i="9"/>
  <c r="H15" i="9"/>
  <c r="G15" i="9"/>
  <c r="F15" i="9"/>
  <c r="E15" i="9"/>
  <c r="D15" i="9"/>
  <c r="C15" i="9"/>
  <c r="A15" i="9"/>
  <c r="H14" i="9"/>
  <c r="G14" i="9"/>
  <c r="F14" i="9"/>
  <c r="E14" i="9"/>
  <c r="D14" i="9"/>
  <c r="A14" i="9"/>
  <c r="H13" i="9"/>
  <c r="G13" i="9"/>
  <c r="F13" i="9"/>
  <c r="E13" i="9"/>
  <c r="D13" i="9"/>
  <c r="C13" i="9"/>
  <c r="B13" i="9"/>
  <c r="A13" i="9"/>
  <c r="H12" i="9"/>
  <c r="G12" i="9"/>
  <c r="F12" i="9"/>
  <c r="E12" i="9"/>
  <c r="D12" i="9"/>
  <c r="C12" i="9"/>
  <c r="B12" i="9"/>
  <c r="H11" i="9"/>
  <c r="G11" i="9"/>
  <c r="F11" i="9"/>
  <c r="E11" i="9"/>
  <c r="D11" i="9"/>
  <c r="C11" i="9"/>
  <c r="A11" i="9"/>
  <c r="H10" i="9"/>
  <c r="G10" i="9"/>
  <c r="F10" i="9"/>
  <c r="E10" i="9"/>
  <c r="D10" i="9"/>
  <c r="C10" i="9"/>
  <c r="B10" i="9"/>
  <c r="H9" i="9"/>
  <c r="G9" i="9"/>
  <c r="F9" i="9"/>
  <c r="E9" i="9"/>
  <c r="D9" i="9"/>
  <c r="B9" i="9"/>
  <c r="A9" i="9"/>
  <c r="H8" i="9"/>
  <c r="G8" i="9"/>
  <c r="F8" i="9"/>
  <c r="E8" i="9"/>
  <c r="D8" i="9"/>
  <c r="A8" i="9"/>
  <c r="H7" i="9"/>
  <c r="G7" i="9"/>
  <c r="F7" i="9"/>
  <c r="E7" i="9"/>
  <c r="D7" i="9"/>
  <c r="C7" i="9"/>
  <c r="A7" i="9"/>
  <c r="H6" i="9"/>
  <c r="G6" i="9"/>
  <c r="F6" i="9"/>
  <c r="E6" i="9"/>
  <c r="D6" i="9"/>
  <c r="C6" i="9"/>
  <c r="B6" i="9"/>
  <c r="H5" i="9"/>
  <c r="G5" i="9"/>
  <c r="F5" i="9"/>
  <c r="E5" i="9"/>
  <c r="D5" i="9"/>
  <c r="B5" i="9"/>
  <c r="A5" i="9"/>
  <c r="H4" i="9"/>
  <c r="G4" i="9"/>
  <c r="F4" i="9"/>
  <c r="E4" i="9"/>
  <c r="D4" i="9"/>
  <c r="C4" i="9"/>
  <c r="H3" i="9"/>
  <c r="H51" i="9" s="1"/>
  <c r="H53" i="9" s="1"/>
  <c r="G3" i="9"/>
  <c r="F3" i="9"/>
  <c r="F51" i="9" s="1"/>
  <c r="F53" i="9" s="1"/>
  <c r="E3" i="9"/>
  <c r="D3" i="9"/>
  <c r="C3" i="9"/>
  <c r="H52" i="8"/>
  <c r="G52" i="8"/>
  <c r="F52" i="8"/>
  <c r="D52" i="8"/>
  <c r="C52" i="8"/>
  <c r="B52" i="8"/>
  <c r="H50" i="8"/>
  <c r="G50" i="8"/>
  <c r="F50" i="8"/>
  <c r="E50" i="8"/>
  <c r="D50" i="8"/>
  <c r="C50" i="8"/>
  <c r="B50" i="8"/>
  <c r="H49" i="8"/>
  <c r="G49" i="8"/>
  <c r="F49" i="8"/>
  <c r="D49" i="8"/>
  <c r="C49" i="8"/>
  <c r="B49" i="8"/>
  <c r="A49" i="8"/>
  <c r="H48" i="8"/>
  <c r="G48" i="8"/>
  <c r="F48" i="8"/>
  <c r="E48" i="8"/>
  <c r="D48" i="8"/>
  <c r="C48" i="8"/>
  <c r="B48" i="8"/>
  <c r="H47" i="8"/>
  <c r="G47" i="8"/>
  <c r="F47" i="8"/>
  <c r="E47" i="8"/>
  <c r="D47" i="8"/>
  <c r="C47" i="8"/>
  <c r="B47" i="8"/>
  <c r="A47" i="8"/>
  <c r="H46" i="8"/>
  <c r="G46" i="8"/>
  <c r="F46" i="8"/>
  <c r="D46" i="8"/>
  <c r="C46" i="8"/>
  <c r="B46" i="8"/>
  <c r="A46" i="8"/>
  <c r="H45" i="8"/>
  <c r="G45" i="8"/>
  <c r="F45" i="8"/>
  <c r="E45" i="8"/>
  <c r="D45" i="8"/>
  <c r="C45" i="8"/>
  <c r="B45" i="8"/>
  <c r="A45" i="8"/>
  <c r="H44" i="8"/>
  <c r="G44" i="8"/>
  <c r="F44" i="8"/>
  <c r="E44" i="8"/>
  <c r="D44" i="8"/>
  <c r="C44" i="8"/>
  <c r="B44" i="8"/>
  <c r="H43" i="8"/>
  <c r="G43" i="8"/>
  <c r="F43" i="8"/>
  <c r="E43" i="8"/>
  <c r="D43" i="8"/>
  <c r="C43" i="8"/>
  <c r="B43" i="8"/>
  <c r="A43" i="8"/>
  <c r="H42" i="8"/>
  <c r="G42" i="8"/>
  <c r="F42" i="8"/>
  <c r="E42" i="8"/>
  <c r="D42" i="8"/>
  <c r="C42" i="8"/>
  <c r="B42" i="8"/>
  <c r="A42" i="8"/>
  <c r="H41" i="8"/>
  <c r="G41" i="8"/>
  <c r="F41" i="8"/>
  <c r="E41" i="8"/>
  <c r="D41" i="8"/>
  <c r="C41" i="8"/>
  <c r="B41" i="8"/>
  <c r="A41" i="8"/>
  <c r="H40" i="8"/>
  <c r="G40" i="8"/>
  <c r="F40" i="8"/>
  <c r="E40" i="8"/>
  <c r="D40" i="8"/>
  <c r="C40" i="8"/>
  <c r="B40" i="8"/>
  <c r="H39" i="8"/>
  <c r="G39" i="8"/>
  <c r="F39" i="8"/>
  <c r="E39" i="8"/>
  <c r="D39" i="8"/>
  <c r="C39" i="8"/>
  <c r="B39" i="8"/>
  <c r="A39" i="8"/>
  <c r="H38" i="8"/>
  <c r="G38" i="8"/>
  <c r="F38" i="8"/>
  <c r="D38" i="8"/>
  <c r="C38" i="8"/>
  <c r="B38" i="8"/>
  <c r="A38" i="8"/>
  <c r="H37" i="8"/>
  <c r="G37" i="8"/>
  <c r="F37" i="8"/>
  <c r="E37" i="8"/>
  <c r="D37" i="8"/>
  <c r="C37" i="8"/>
  <c r="B37" i="8"/>
  <c r="A37" i="8"/>
  <c r="H36" i="8"/>
  <c r="G36" i="8"/>
  <c r="F36" i="8"/>
  <c r="E36" i="8"/>
  <c r="D36" i="8"/>
  <c r="C36" i="8"/>
  <c r="B36" i="8"/>
  <c r="A36" i="8"/>
  <c r="H35" i="8"/>
  <c r="G35" i="8"/>
  <c r="F35" i="8"/>
  <c r="D35" i="8"/>
  <c r="C35" i="8"/>
  <c r="B35" i="8"/>
  <c r="A35" i="8"/>
  <c r="H34" i="8"/>
  <c r="G34" i="8"/>
  <c r="F34" i="8"/>
  <c r="E34" i="8"/>
  <c r="D34" i="8"/>
  <c r="C34" i="8"/>
  <c r="B34" i="8"/>
  <c r="A34" i="8"/>
  <c r="H33" i="8"/>
  <c r="G33" i="8"/>
  <c r="F33" i="8"/>
  <c r="E33" i="8"/>
  <c r="D33" i="8"/>
  <c r="C33" i="8"/>
  <c r="B33" i="8"/>
  <c r="H32" i="8"/>
  <c r="G32" i="8"/>
  <c r="F32" i="8"/>
  <c r="E32" i="8"/>
  <c r="D32" i="8"/>
  <c r="C32" i="8"/>
  <c r="B32" i="8"/>
  <c r="A32" i="8"/>
  <c r="H31" i="8"/>
  <c r="G31" i="8"/>
  <c r="F31" i="8"/>
  <c r="E31" i="8"/>
  <c r="D31" i="8"/>
  <c r="C31" i="8"/>
  <c r="B31" i="8"/>
  <c r="A31" i="8"/>
  <c r="H30" i="8"/>
  <c r="G30" i="8"/>
  <c r="F30" i="8"/>
  <c r="E30" i="8"/>
  <c r="D30" i="8"/>
  <c r="C30" i="8"/>
  <c r="B30" i="8"/>
  <c r="H29" i="8"/>
  <c r="G29" i="8"/>
  <c r="F29" i="8"/>
  <c r="E29" i="8"/>
  <c r="D29" i="8"/>
  <c r="C29" i="8"/>
  <c r="B29" i="8"/>
  <c r="A29" i="8"/>
  <c r="H28" i="8"/>
  <c r="G28" i="8"/>
  <c r="F28" i="8"/>
  <c r="E28" i="8"/>
  <c r="D28" i="8"/>
  <c r="C28" i="8"/>
  <c r="B28" i="8"/>
  <c r="A28" i="8"/>
  <c r="H27" i="8"/>
  <c r="G27" i="8"/>
  <c r="F27" i="8"/>
  <c r="D27" i="8"/>
  <c r="C27" i="8"/>
  <c r="B27" i="8"/>
  <c r="A27" i="8"/>
  <c r="H26" i="8"/>
  <c r="G26" i="8"/>
  <c r="F26" i="8"/>
  <c r="E26" i="8"/>
  <c r="D26" i="8"/>
  <c r="C26" i="8"/>
  <c r="B26" i="8"/>
  <c r="A26" i="8"/>
  <c r="H25" i="8"/>
  <c r="G25" i="8"/>
  <c r="F25" i="8"/>
  <c r="E25" i="8"/>
  <c r="D25" i="8"/>
  <c r="C25" i="8"/>
  <c r="B25" i="8"/>
  <c r="H24" i="8"/>
  <c r="G24" i="8"/>
  <c r="F24" i="8"/>
  <c r="D24" i="8"/>
  <c r="C24" i="8"/>
  <c r="B24" i="8"/>
  <c r="A24" i="8"/>
  <c r="H23" i="8"/>
  <c r="G23" i="8"/>
  <c r="F23" i="8"/>
  <c r="E23" i="8"/>
  <c r="D23" i="8"/>
  <c r="C23" i="8"/>
  <c r="B23" i="8"/>
  <c r="A23" i="8"/>
  <c r="H22" i="8"/>
  <c r="G22" i="8"/>
  <c r="F22" i="8"/>
  <c r="E22" i="8"/>
  <c r="D22" i="8"/>
  <c r="C22" i="8"/>
  <c r="B22" i="8"/>
  <c r="A22" i="8"/>
  <c r="H21" i="8"/>
  <c r="G21" i="8"/>
  <c r="F21" i="8"/>
  <c r="E21" i="8"/>
  <c r="D21" i="8"/>
  <c r="C21" i="8"/>
  <c r="B21" i="8"/>
  <c r="A21" i="8"/>
  <c r="H20" i="8"/>
  <c r="G20" i="8"/>
  <c r="F20" i="8"/>
  <c r="E20" i="8"/>
  <c r="D20" i="8"/>
  <c r="C20" i="8"/>
  <c r="B20" i="8"/>
  <c r="A20" i="8"/>
  <c r="H19" i="8"/>
  <c r="G19" i="8"/>
  <c r="F19" i="8"/>
  <c r="E19" i="8"/>
  <c r="D19" i="8"/>
  <c r="C19" i="8"/>
  <c r="B19" i="8"/>
  <c r="H18" i="8"/>
  <c r="G18" i="8"/>
  <c r="F18" i="8"/>
  <c r="E18" i="8"/>
  <c r="D18" i="8"/>
  <c r="C18" i="8"/>
  <c r="B18" i="8"/>
  <c r="A18" i="8"/>
  <c r="H17" i="8"/>
  <c r="G17" i="8"/>
  <c r="F17" i="8"/>
  <c r="E17" i="8"/>
  <c r="D17" i="8"/>
  <c r="C17" i="8"/>
  <c r="B17" i="8"/>
  <c r="A17" i="8"/>
  <c r="H16" i="8"/>
  <c r="G16" i="8"/>
  <c r="F16" i="8"/>
  <c r="D16" i="8"/>
  <c r="C16" i="8"/>
  <c r="B16" i="8"/>
  <c r="H15" i="8"/>
  <c r="G15" i="8"/>
  <c r="F15" i="8"/>
  <c r="E15" i="8"/>
  <c r="D15" i="8"/>
  <c r="C15" i="8"/>
  <c r="B15" i="8"/>
  <c r="A15" i="8"/>
  <c r="H14" i="8"/>
  <c r="G14" i="8"/>
  <c r="F14" i="8"/>
  <c r="E14" i="8"/>
  <c r="D14" i="8"/>
  <c r="C14" i="8"/>
  <c r="B14" i="8"/>
  <c r="A14" i="8"/>
  <c r="H13" i="8"/>
  <c r="G13" i="8"/>
  <c r="F13" i="8"/>
  <c r="D13" i="8"/>
  <c r="C13" i="8"/>
  <c r="B13" i="8"/>
  <c r="A13" i="8"/>
  <c r="H12" i="8"/>
  <c r="G12" i="8"/>
  <c r="F12" i="8"/>
  <c r="E12" i="8"/>
  <c r="D12" i="8"/>
  <c r="C12" i="8"/>
  <c r="B12" i="8"/>
  <c r="A12" i="8"/>
  <c r="H11" i="8"/>
  <c r="G11" i="8"/>
  <c r="F11" i="8"/>
  <c r="E11" i="8"/>
  <c r="D11" i="8"/>
  <c r="C11" i="8"/>
  <c r="B11" i="8"/>
  <c r="A11" i="8"/>
  <c r="H10" i="8"/>
  <c r="G10" i="8"/>
  <c r="F10" i="8"/>
  <c r="E10" i="8"/>
  <c r="D10" i="8"/>
  <c r="C10" i="8"/>
  <c r="B10" i="8"/>
  <c r="H9" i="8"/>
  <c r="G9" i="8"/>
  <c r="F9" i="8"/>
  <c r="E9" i="8"/>
  <c r="D9" i="8"/>
  <c r="C9" i="8"/>
  <c r="B9" i="8"/>
  <c r="A9" i="8"/>
  <c r="H8" i="8"/>
  <c r="G8" i="8"/>
  <c r="F8" i="8"/>
  <c r="E8" i="8"/>
  <c r="D8" i="8"/>
  <c r="C8" i="8"/>
  <c r="B8" i="8"/>
  <c r="H7" i="8"/>
  <c r="G7" i="8"/>
  <c r="F7" i="8"/>
  <c r="E7" i="8"/>
  <c r="D7" i="8"/>
  <c r="C7" i="8"/>
  <c r="B7" i="8"/>
  <c r="A7" i="8"/>
  <c r="H6" i="8"/>
  <c r="G6" i="8"/>
  <c r="F6" i="8"/>
  <c r="E6" i="8"/>
  <c r="D6" i="8"/>
  <c r="C6" i="8"/>
  <c r="B6" i="8"/>
  <c r="A6" i="8"/>
  <c r="H5" i="8"/>
  <c r="G5" i="8"/>
  <c r="F5" i="8"/>
  <c r="D5" i="8"/>
  <c r="C5" i="8"/>
  <c r="B5" i="8"/>
  <c r="A5" i="8"/>
  <c r="H4" i="8"/>
  <c r="G4" i="8"/>
  <c r="F4" i="8"/>
  <c r="E4" i="8"/>
  <c r="D4" i="8"/>
  <c r="C4" i="8"/>
  <c r="B4" i="8"/>
  <c r="A4" i="8"/>
  <c r="H3" i="8"/>
  <c r="H51" i="8" s="1"/>
  <c r="H53" i="8" s="1"/>
  <c r="G3" i="8"/>
  <c r="F3" i="8"/>
  <c r="F51" i="8" s="1"/>
  <c r="F53" i="8" s="1"/>
  <c r="E3" i="8"/>
  <c r="D3" i="8"/>
  <c r="C3" i="8"/>
  <c r="B3" i="8"/>
  <c r="H52" i="7"/>
  <c r="G52" i="7"/>
  <c r="F52" i="7"/>
  <c r="E52" i="7"/>
  <c r="D52" i="7"/>
  <c r="C52" i="7"/>
  <c r="H50" i="7"/>
  <c r="A49" i="7"/>
  <c r="A48" i="7"/>
  <c r="A47" i="7"/>
  <c r="A46" i="7"/>
  <c r="A45" i="7"/>
  <c r="A44" i="7"/>
  <c r="A43" i="7"/>
  <c r="A42" i="7"/>
  <c r="A41" i="7"/>
  <c r="B40" i="7"/>
  <c r="A40" i="7"/>
  <c r="C39" i="7"/>
  <c r="A39" i="7"/>
  <c r="E38" i="7"/>
  <c r="A38" i="7"/>
  <c r="A37" i="7"/>
  <c r="A36" i="7"/>
  <c r="A35" i="7"/>
  <c r="A34" i="7"/>
  <c r="A33" i="7"/>
  <c r="A32" i="7"/>
  <c r="A31" i="7"/>
  <c r="A30" i="7"/>
  <c r="A29" i="7"/>
  <c r="A28" i="7"/>
  <c r="F27" i="7"/>
  <c r="E27" i="7"/>
  <c r="D27" i="7"/>
  <c r="A27" i="7"/>
  <c r="H26" i="7"/>
  <c r="A26" i="7"/>
  <c r="A24" i="7"/>
  <c r="A23" i="7"/>
  <c r="A22" i="7"/>
  <c r="F21" i="7"/>
  <c r="C21" i="7"/>
  <c r="B21" i="7"/>
  <c r="A20" i="7"/>
  <c r="A18" i="7"/>
  <c r="A17" i="7"/>
  <c r="A16" i="7"/>
  <c r="A15" i="7"/>
  <c r="A14" i="7"/>
  <c r="A13" i="7"/>
  <c r="A12" i="7"/>
  <c r="A11" i="7"/>
  <c r="H9" i="7"/>
  <c r="A9" i="7"/>
  <c r="H8" i="7"/>
  <c r="D8" i="7"/>
  <c r="B8" i="7"/>
  <c r="A8" i="7"/>
  <c r="A7" i="7"/>
  <c r="A5" i="7"/>
  <c r="A4" i="7"/>
  <c r="A3" i="7"/>
  <c r="H52" i="6"/>
  <c r="G52" i="6"/>
  <c r="F52" i="6"/>
  <c r="E52" i="6"/>
  <c r="D52" i="6"/>
  <c r="C52" i="6"/>
  <c r="B52" i="6"/>
  <c r="A50" i="6"/>
  <c r="G49" i="6"/>
  <c r="F49" i="6"/>
  <c r="D49" i="6"/>
  <c r="B49" i="6"/>
  <c r="A49" i="6"/>
  <c r="A48" i="6"/>
  <c r="G46" i="6"/>
  <c r="A46" i="6"/>
  <c r="A45" i="6"/>
  <c r="C44" i="6"/>
  <c r="B44" i="6"/>
  <c r="A44" i="6"/>
  <c r="H43" i="6"/>
  <c r="G43" i="6"/>
  <c r="F43" i="6"/>
  <c r="B43" i="6"/>
  <c r="A43" i="6"/>
  <c r="A42" i="6"/>
  <c r="H41" i="6"/>
  <c r="G41" i="6"/>
  <c r="F41" i="6"/>
  <c r="E41" i="6"/>
  <c r="D41" i="6"/>
  <c r="C41" i="6"/>
  <c r="B41" i="6"/>
  <c r="A41" i="6"/>
  <c r="A39" i="6"/>
  <c r="A37" i="6"/>
  <c r="G36" i="6"/>
  <c r="E36" i="6"/>
  <c r="B36" i="6"/>
  <c r="A36" i="6"/>
  <c r="D35" i="6"/>
  <c r="B35" i="6"/>
  <c r="A35" i="6"/>
  <c r="H34" i="6"/>
  <c r="G34" i="6"/>
  <c r="E34" i="6"/>
  <c r="A34" i="6"/>
  <c r="A33" i="6"/>
  <c r="A32" i="6"/>
  <c r="G31" i="6"/>
  <c r="F31" i="6"/>
  <c r="E31" i="6"/>
  <c r="D31" i="6"/>
  <c r="C31" i="6"/>
  <c r="B31" i="6"/>
  <c r="A31" i="6"/>
  <c r="H30" i="6"/>
  <c r="F30" i="6"/>
  <c r="D30" i="6"/>
  <c r="A30" i="6"/>
  <c r="A29" i="6"/>
  <c r="H28" i="6"/>
  <c r="E28" i="6"/>
  <c r="B28" i="6"/>
  <c r="A28" i="6"/>
  <c r="A27" i="6"/>
  <c r="H26" i="6"/>
  <c r="F26" i="6"/>
  <c r="E26" i="6"/>
  <c r="C26" i="6"/>
  <c r="B26" i="6"/>
  <c r="A26" i="6"/>
  <c r="H24" i="6"/>
  <c r="G24" i="6"/>
  <c r="E24" i="6"/>
  <c r="B24" i="6"/>
  <c r="A24" i="6"/>
  <c r="G23" i="6"/>
  <c r="E23" i="6"/>
  <c r="D23" i="6"/>
  <c r="C23" i="6"/>
  <c r="B23" i="6"/>
  <c r="A23" i="6"/>
  <c r="H22" i="6"/>
  <c r="G22" i="6"/>
  <c r="C22" i="6"/>
  <c r="A22" i="6"/>
  <c r="A20" i="6"/>
  <c r="H18" i="6"/>
  <c r="F18" i="6"/>
  <c r="A18" i="6"/>
  <c r="A17" i="6"/>
  <c r="H15" i="6"/>
  <c r="F15" i="6"/>
  <c r="E15" i="6"/>
  <c r="C15" i="6"/>
  <c r="B15" i="6"/>
  <c r="A15" i="6"/>
  <c r="A14" i="6"/>
  <c r="A12" i="6"/>
  <c r="G11" i="6"/>
  <c r="E11" i="6"/>
  <c r="D11" i="6"/>
  <c r="B11" i="6"/>
  <c r="A11" i="6"/>
  <c r="G9" i="6"/>
  <c r="F9" i="6"/>
  <c r="E9" i="6"/>
  <c r="D9" i="6"/>
  <c r="C9" i="6"/>
  <c r="B9" i="6"/>
  <c r="A9" i="6"/>
  <c r="A8" i="6"/>
  <c r="A7" i="6"/>
  <c r="A6" i="6"/>
  <c r="G52" i="5"/>
  <c r="F52" i="5"/>
  <c r="E52" i="5"/>
  <c r="D52" i="5"/>
  <c r="C52" i="5"/>
  <c r="B52" i="5"/>
  <c r="G50" i="5"/>
  <c r="F50" i="5"/>
  <c r="B50" i="5"/>
  <c r="A50" i="5"/>
  <c r="F49" i="5"/>
  <c r="B49" i="5"/>
  <c r="A49" i="5"/>
  <c r="B48" i="5"/>
  <c r="A48" i="5"/>
  <c r="B46" i="5"/>
  <c r="A46" i="5"/>
  <c r="A45" i="5"/>
  <c r="H44" i="5"/>
  <c r="G44" i="5"/>
  <c r="F44" i="5"/>
  <c r="C44" i="5"/>
  <c r="B44" i="5"/>
  <c r="G43" i="5"/>
  <c r="A43" i="5"/>
  <c r="H42" i="5"/>
  <c r="G42" i="5"/>
  <c r="C42" i="5"/>
  <c r="A42" i="5"/>
  <c r="G41" i="5"/>
  <c r="A41" i="5"/>
  <c r="A39" i="5"/>
  <c r="B38" i="5"/>
  <c r="A38" i="5"/>
  <c r="A37" i="5"/>
  <c r="F36" i="5"/>
  <c r="C36" i="5"/>
  <c r="B36" i="5"/>
  <c r="A36" i="5"/>
  <c r="H35" i="5"/>
  <c r="G35" i="5"/>
  <c r="F35" i="5"/>
  <c r="C35" i="5"/>
  <c r="B35" i="5"/>
  <c r="A35" i="5"/>
  <c r="A34" i="5"/>
  <c r="F33" i="5"/>
  <c r="C33" i="5"/>
  <c r="B33" i="5"/>
  <c r="C32" i="5"/>
  <c r="B32" i="5"/>
  <c r="A32" i="5"/>
  <c r="C31" i="5"/>
  <c r="A31" i="5"/>
  <c r="A30" i="5"/>
  <c r="H29" i="5"/>
  <c r="A29" i="5"/>
  <c r="A28" i="5"/>
  <c r="A27" i="5"/>
  <c r="H26" i="5"/>
  <c r="G26" i="5"/>
  <c r="F26" i="5"/>
  <c r="C26" i="5"/>
  <c r="B26" i="5"/>
  <c r="A26" i="5"/>
  <c r="B25" i="5"/>
  <c r="F24" i="5"/>
  <c r="C24" i="5"/>
  <c r="B24" i="5"/>
  <c r="A24" i="5"/>
  <c r="A23" i="5"/>
  <c r="H22" i="5"/>
  <c r="F22" i="5"/>
  <c r="C22" i="5"/>
  <c r="B22" i="5"/>
  <c r="A22" i="5"/>
  <c r="H21" i="5"/>
  <c r="G21" i="5"/>
  <c r="H20" i="5"/>
  <c r="G20" i="5"/>
  <c r="C20" i="5"/>
  <c r="A20" i="5"/>
  <c r="H19" i="5"/>
  <c r="G19" i="5"/>
  <c r="F19" i="5"/>
  <c r="B19" i="5"/>
  <c r="A18" i="5"/>
  <c r="A17" i="5"/>
  <c r="A16" i="5"/>
  <c r="F15" i="5"/>
  <c r="C15" i="5"/>
  <c r="A15" i="5"/>
  <c r="F14" i="5"/>
  <c r="C14" i="5"/>
  <c r="A14" i="5"/>
  <c r="H13" i="5"/>
  <c r="F13" i="5"/>
  <c r="C13" i="5"/>
  <c r="A13" i="5"/>
  <c r="G12" i="5"/>
  <c r="C12" i="5"/>
  <c r="B12" i="5"/>
  <c r="H11" i="5"/>
  <c r="F11" i="5"/>
  <c r="C11" i="5"/>
  <c r="B11" i="5"/>
  <c r="A11" i="5"/>
  <c r="C10" i="5"/>
  <c r="H9" i="5"/>
  <c r="G9" i="5"/>
  <c r="C9" i="5"/>
  <c r="A9" i="5"/>
  <c r="A8" i="5"/>
  <c r="A7" i="5"/>
  <c r="H6" i="5"/>
  <c r="G6" i="5"/>
  <c r="C6" i="5"/>
  <c r="B6" i="5"/>
  <c r="A6" i="5"/>
  <c r="F5" i="5"/>
  <c r="B5" i="5"/>
  <c r="A5" i="5"/>
  <c r="G4" i="5"/>
  <c r="C4" i="5"/>
  <c r="B4" i="5"/>
  <c r="A4" i="5"/>
  <c r="F3" i="5"/>
  <c r="C3" i="5"/>
  <c r="A3" i="5"/>
  <c r="B7" i="2"/>
  <c r="B2" i="2"/>
  <c r="E11" i="13" l="1"/>
  <c r="C11" i="13"/>
  <c r="G11" i="13"/>
  <c r="F11" i="13"/>
  <c r="D11" i="13"/>
  <c r="G9" i="13"/>
  <c r="D20" i="13"/>
  <c r="D31" i="13"/>
  <c r="B31" i="13"/>
  <c r="H11" i="13"/>
  <c r="G20" i="13"/>
  <c r="F20" i="13"/>
  <c r="D42" i="13"/>
  <c r="E17" i="13"/>
  <c r="B41" i="13"/>
  <c r="G29" i="13"/>
  <c r="E5" i="13"/>
  <c r="B11" i="13"/>
  <c r="E32" i="13"/>
  <c r="H31" i="13"/>
  <c r="H18" i="13"/>
  <c r="G7" i="13"/>
  <c r="C30" i="13"/>
  <c r="B30" i="13"/>
  <c r="C21" i="13"/>
  <c r="C43" i="13"/>
  <c r="D9" i="13"/>
  <c r="H40" i="13"/>
  <c r="E46" i="13"/>
  <c r="G44" i="13"/>
  <c r="E9" i="13"/>
  <c r="B20" i="13"/>
  <c r="B42" i="13"/>
  <c r="C41" i="13"/>
  <c r="D17" i="13"/>
  <c r="C17" i="13"/>
  <c r="H5" i="13"/>
  <c r="D15" i="7"/>
  <c r="C39" i="13"/>
  <c r="P3" i="17"/>
  <c r="G4" i="6"/>
  <c r="D4" i="6"/>
  <c r="H4" i="6"/>
  <c r="B4" i="6"/>
  <c r="F4" i="6"/>
  <c r="E4" i="6"/>
  <c r="C4" i="6"/>
  <c r="G15" i="7"/>
  <c r="G45" i="7"/>
  <c r="G51" i="8"/>
  <c r="G53" i="8" s="1"/>
  <c r="G51" i="9"/>
  <c r="G53" i="9" s="1"/>
  <c r="H13" i="11"/>
  <c r="D40" i="13"/>
  <c r="R40" i="17"/>
  <c r="Q40" i="17"/>
  <c r="F41" i="12"/>
  <c r="E41" i="12"/>
  <c r="H41" i="12"/>
  <c r="G41" i="12"/>
  <c r="D41" i="12"/>
  <c r="B41" i="12"/>
  <c r="C41" i="12"/>
  <c r="G41" i="11"/>
  <c r="F41" i="11"/>
  <c r="H41" i="11"/>
  <c r="D42" i="15"/>
  <c r="C42" i="15"/>
  <c r="B42" i="15"/>
  <c r="E42" i="15"/>
  <c r="H42" i="15"/>
  <c r="G42" i="15"/>
  <c r="F42" i="15"/>
  <c r="H27" i="15"/>
  <c r="D43" i="15"/>
  <c r="B11" i="15"/>
  <c r="F43" i="15"/>
  <c r="C11" i="15"/>
  <c r="R16" i="17"/>
  <c r="Q16" i="17"/>
  <c r="C17" i="12"/>
  <c r="B17" i="12"/>
  <c r="H17" i="11"/>
  <c r="H17" i="12"/>
  <c r="D17" i="11"/>
  <c r="C17" i="11"/>
  <c r="G17" i="11"/>
  <c r="E17" i="12"/>
  <c r="D17" i="12"/>
  <c r="G17" i="12"/>
  <c r="F17" i="11"/>
  <c r="E17" i="11"/>
  <c r="B17" i="11"/>
  <c r="F17" i="12"/>
  <c r="E13" i="11"/>
  <c r="F15" i="7"/>
  <c r="G13" i="11"/>
  <c r="R34" i="17"/>
  <c r="Q34" i="17"/>
  <c r="H35" i="12"/>
  <c r="B35" i="12"/>
  <c r="B35" i="11"/>
  <c r="G35" i="11"/>
  <c r="F35" i="11"/>
  <c r="F35" i="12"/>
  <c r="D35" i="12"/>
  <c r="C35" i="12"/>
  <c r="G35" i="12"/>
  <c r="D35" i="11"/>
  <c r="E35" i="12"/>
  <c r="H35" i="11"/>
  <c r="E35" i="11"/>
  <c r="C35" i="11"/>
  <c r="G41" i="10"/>
  <c r="F41" i="10"/>
  <c r="E41" i="10"/>
  <c r="B41" i="10"/>
  <c r="H41" i="10"/>
  <c r="D41" i="10"/>
  <c r="S40" i="17"/>
  <c r="C41" i="10"/>
  <c r="P43" i="17"/>
  <c r="F44" i="6"/>
  <c r="D44" i="6"/>
  <c r="G44" i="6"/>
  <c r="H44" i="6"/>
  <c r="E44" i="6"/>
  <c r="P28" i="17"/>
  <c r="G29" i="6"/>
  <c r="E29" i="6"/>
  <c r="B29" i="6"/>
  <c r="H29" i="6"/>
  <c r="D29" i="6"/>
  <c r="C29" i="6"/>
  <c r="F29" i="6"/>
  <c r="S14" i="17"/>
  <c r="F15" i="10"/>
  <c r="E15" i="10"/>
  <c r="D15" i="10"/>
  <c r="C15" i="10"/>
  <c r="B15" i="10"/>
  <c r="H15" i="7"/>
  <c r="B12" i="13"/>
  <c r="E15" i="7"/>
  <c r="C45" i="7"/>
  <c r="C46" i="7"/>
  <c r="E3" i="7"/>
  <c r="E14" i="13"/>
  <c r="H23" i="15"/>
  <c r="S33" i="17"/>
  <c r="G34" i="10"/>
  <c r="F34" i="10"/>
  <c r="H34" i="10"/>
  <c r="D34" i="10"/>
  <c r="C34" i="10"/>
  <c r="B34" i="10"/>
  <c r="E34" i="10"/>
  <c r="B44" i="7"/>
  <c r="D37" i="13"/>
  <c r="H13" i="7"/>
  <c r="G13" i="7"/>
  <c r="F13" i="7"/>
  <c r="D13" i="7"/>
  <c r="C13" i="7"/>
  <c r="E13" i="7"/>
  <c r="B13" i="7"/>
  <c r="D30" i="7"/>
  <c r="H6" i="7"/>
  <c r="H4" i="27" s="1"/>
  <c r="E29" i="7"/>
  <c r="G11" i="7"/>
  <c r="B29" i="7"/>
  <c r="F5" i="7"/>
  <c r="E5" i="7"/>
  <c r="D5" i="7"/>
  <c r="C16" i="7"/>
  <c r="E24" i="7"/>
  <c r="D35" i="7"/>
  <c r="C41" i="7"/>
  <c r="F16" i="7"/>
  <c r="H46" i="7"/>
  <c r="G22" i="7"/>
  <c r="F22" i="7"/>
  <c r="F46" i="7"/>
  <c r="D22" i="7"/>
  <c r="B16" i="7"/>
  <c r="D46" i="7"/>
  <c r="C40" i="7"/>
  <c r="G27" i="7"/>
  <c r="C10" i="7"/>
  <c r="B4" i="7"/>
  <c r="C17" i="7"/>
  <c r="G47" i="7"/>
  <c r="G23" i="7"/>
  <c r="F11" i="7"/>
  <c r="E16" i="7"/>
  <c r="H40" i="7"/>
  <c r="D16" i="7"/>
  <c r="E40" i="7"/>
  <c r="D40" i="7"/>
  <c r="H27" i="7"/>
  <c r="E10" i="7"/>
  <c r="F35" i="7"/>
  <c r="E35" i="7"/>
  <c r="E41" i="7"/>
  <c r="G5" i="7"/>
  <c r="C35" i="7"/>
  <c r="H41" i="7"/>
  <c r="C12" i="7"/>
  <c r="F41" i="7"/>
  <c r="C6" i="7"/>
  <c r="B47" i="7"/>
  <c r="G16" i="7"/>
  <c r="B35" i="7"/>
  <c r="G46" i="7"/>
  <c r="C28" i="7"/>
  <c r="H10" i="7"/>
  <c r="H34" i="7"/>
  <c r="F10" i="7"/>
  <c r="E46" i="7"/>
  <c r="G34" i="7"/>
  <c r="C22" i="7"/>
  <c r="F4" i="7"/>
  <c r="G37" i="13"/>
  <c r="H31" i="7"/>
  <c r="D3" i="7"/>
  <c r="G3" i="7"/>
  <c r="C41" i="11"/>
  <c r="G15" i="13"/>
  <c r="B49" i="13"/>
  <c r="D26" i="15"/>
  <c r="R29" i="17"/>
  <c r="Q29" i="17"/>
  <c r="D30" i="12"/>
  <c r="G30" i="12"/>
  <c r="F30" i="12"/>
  <c r="E30" i="12"/>
  <c r="C30" i="12"/>
  <c r="B30" i="12"/>
  <c r="C30" i="11"/>
  <c r="G30" i="11"/>
  <c r="D30" i="11"/>
  <c r="E30" i="11"/>
  <c r="H30" i="11"/>
  <c r="F30" i="11"/>
  <c r="B30" i="11"/>
  <c r="R12" i="17"/>
  <c r="Q12" i="17"/>
  <c r="H13" i="12"/>
  <c r="B13" i="11"/>
  <c r="G13" i="12"/>
  <c r="E13" i="12"/>
  <c r="D13" i="12"/>
  <c r="C13" i="12"/>
  <c r="B13" i="12"/>
  <c r="F13" i="12"/>
  <c r="D13" i="11"/>
  <c r="C13" i="11"/>
  <c r="E4" i="27"/>
  <c r="D4" i="27"/>
  <c r="F4" i="27"/>
  <c r="C32" i="7"/>
  <c r="F20" i="7"/>
  <c r="G50" i="7"/>
  <c r="D41" i="11"/>
  <c r="F50" i="13"/>
  <c r="H26" i="15"/>
  <c r="A19" i="16"/>
  <c r="A19" i="15"/>
  <c r="F18" i="17"/>
  <c r="E18" i="17"/>
  <c r="D18" i="17"/>
  <c r="C18" i="17"/>
  <c r="A19" i="13"/>
  <c r="A19" i="8"/>
  <c r="A19" i="12"/>
  <c r="A19" i="11"/>
  <c r="W18" i="17"/>
  <c r="U18" i="17"/>
  <c r="T18" i="17"/>
  <c r="V18" i="17"/>
  <c r="A19" i="14"/>
  <c r="A19" i="7"/>
  <c r="A19" i="5"/>
  <c r="V20" i="17"/>
  <c r="G20" i="17"/>
  <c r="A21" i="7"/>
  <c r="A21" i="5"/>
  <c r="F20" i="17"/>
  <c r="E20" i="17"/>
  <c r="A21" i="16"/>
  <c r="A21" i="15"/>
  <c r="A21" i="10"/>
  <c r="D20" i="17"/>
  <c r="A21" i="13"/>
  <c r="T20" i="17"/>
  <c r="C20" i="17" s="1"/>
  <c r="O20" i="17" s="1"/>
  <c r="A21" i="6"/>
  <c r="A21" i="14"/>
  <c r="A21" i="11"/>
  <c r="A21" i="12"/>
  <c r="E13" i="15"/>
  <c r="H32" i="15"/>
  <c r="D34" i="19"/>
  <c r="F34" i="5" s="1"/>
  <c r="F46" i="15"/>
  <c r="B6" i="10"/>
  <c r="A40" i="10"/>
  <c r="G46" i="15"/>
  <c r="B26" i="15"/>
  <c r="F26" i="15"/>
  <c r="G26" i="15"/>
  <c r="E26" i="15"/>
  <c r="H36" i="15"/>
  <c r="G36" i="15"/>
  <c r="F36" i="15"/>
  <c r="E36" i="15"/>
  <c r="D36" i="15"/>
  <c r="C36" i="15"/>
  <c r="B36" i="15"/>
  <c r="G35" i="7"/>
  <c r="C6" i="10"/>
  <c r="C10" i="13"/>
  <c r="B10" i="13"/>
  <c r="H10" i="13"/>
  <c r="A47" i="13"/>
  <c r="A47" i="16"/>
  <c r="F46" i="17"/>
  <c r="E46" i="17"/>
  <c r="A47" i="12"/>
  <c r="D46" i="17"/>
  <c r="G46" i="17"/>
  <c r="C46" i="17"/>
  <c r="O46" i="17" s="1"/>
  <c r="A47" i="10"/>
  <c r="A47" i="5"/>
  <c r="A47" i="11"/>
  <c r="A47" i="6"/>
  <c r="A47" i="14"/>
  <c r="W46" i="17"/>
  <c r="V46" i="17"/>
  <c r="U46" i="17"/>
  <c r="G24" i="7"/>
  <c r="D49" i="7"/>
  <c r="H11" i="10"/>
  <c r="F21" i="13"/>
  <c r="B19" i="15"/>
  <c r="P29" i="17"/>
  <c r="G30" i="6"/>
  <c r="E30" i="6"/>
  <c r="B30" i="6"/>
  <c r="C30" i="6"/>
  <c r="B36" i="7"/>
  <c r="C19" i="7"/>
  <c r="F6" i="10"/>
  <c r="E27" i="10"/>
  <c r="G10" i="13"/>
  <c r="F34" i="13"/>
  <c r="B7" i="15"/>
  <c r="D19" i="15"/>
  <c r="F37" i="15"/>
  <c r="P21" i="17"/>
  <c r="D22" i="6"/>
  <c r="B22" i="6"/>
  <c r="H27" i="10"/>
  <c r="G27" i="10"/>
  <c r="D27" i="10"/>
  <c r="S26" i="17"/>
  <c r="I27" i="19"/>
  <c r="H27" i="5" s="1"/>
  <c r="H27" i="19"/>
  <c r="G27" i="5" s="1"/>
  <c r="F27" i="19"/>
  <c r="E27" i="19"/>
  <c r="C27" i="5" s="1"/>
  <c r="M27" i="19"/>
  <c r="L27" i="19"/>
  <c r="K27" i="19"/>
  <c r="G27" i="19" s="1"/>
  <c r="E27" i="5" s="1"/>
  <c r="J27" i="19"/>
  <c r="D27" i="19"/>
  <c r="F27" i="5" s="1"/>
  <c r="C27" i="19"/>
  <c r="B27" i="5" s="1"/>
  <c r="C13" i="13"/>
  <c r="B13" i="13"/>
  <c r="D13" i="13"/>
  <c r="H13" i="13"/>
  <c r="G13" i="13"/>
  <c r="F13" i="13"/>
  <c r="E13" i="13"/>
  <c r="G17" i="13"/>
  <c r="R4" i="17"/>
  <c r="Q4" i="17"/>
  <c r="F5" i="12"/>
  <c r="B5" i="12"/>
  <c r="C5" i="11"/>
  <c r="B5" i="11"/>
  <c r="H5" i="11"/>
  <c r="G5" i="11"/>
  <c r="F5" i="11"/>
  <c r="D9" i="17"/>
  <c r="U9" i="17"/>
  <c r="E9" i="17" s="1"/>
  <c r="A10" i="14"/>
  <c r="W9" i="17"/>
  <c r="V9" i="17"/>
  <c r="A10" i="16"/>
  <c r="T9" i="17"/>
  <c r="A10" i="8"/>
  <c r="A10" i="7"/>
  <c r="G4" i="27" s="1"/>
  <c r="A10" i="11"/>
  <c r="G9" i="17"/>
  <c r="E46" i="15"/>
  <c r="P34" i="17"/>
  <c r="C35" i="6"/>
  <c r="H35" i="6"/>
  <c r="F35" i="6"/>
  <c r="E35" i="6"/>
  <c r="F5" i="10"/>
  <c r="A19" i="10"/>
  <c r="C46" i="10"/>
  <c r="A10" i="13"/>
  <c r="R23" i="17"/>
  <c r="Q23" i="17"/>
  <c r="H24" i="12"/>
  <c r="B24" i="11"/>
  <c r="F24" i="12"/>
  <c r="D24" i="12"/>
  <c r="G24" i="11"/>
  <c r="C24" i="12"/>
  <c r="F24" i="11"/>
  <c r="D24" i="11"/>
  <c r="C24" i="11"/>
  <c r="R48" i="17"/>
  <c r="Q48" i="17"/>
  <c r="H49" i="12"/>
  <c r="G49" i="12"/>
  <c r="G49" i="11"/>
  <c r="F49" i="11"/>
  <c r="E49" i="11"/>
  <c r="C49" i="11"/>
  <c r="B49" i="11"/>
  <c r="F49" i="12"/>
  <c r="D49" i="12"/>
  <c r="C49" i="12"/>
  <c r="F24" i="7"/>
  <c r="B11" i="10"/>
  <c r="D46" i="10"/>
  <c r="H18" i="15"/>
  <c r="B50" i="13"/>
  <c r="B39" i="13"/>
  <c r="B28" i="13"/>
  <c r="B47" i="13"/>
  <c r="B36" i="13"/>
  <c r="B25" i="13"/>
  <c r="B43" i="13"/>
  <c r="B23" i="13"/>
  <c r="H3" i="13"/>
  <c r="F3" i="13"/>
  <c r="C3" i="13"/>
  <c r="B45" i="13"/>
  <c r="G40" i="13"/>
  <c r="C32" i="13"/>
  <c r="B8" i="13"/>
  <c r="E4" i="13"/>
  <c r="E51" i="13" s="1"/>
  <c r="E53" i="13" s="1"/>
  <c r="G48" i="13"/>
  <c r="F40" i="13"/>
  <c r="G36" i="13"/>
  <c r="B32" i="13"/>
  <c r="C28" i="13"/>
  <c r="H23" i="13"/>
  <c r="B19" i="13"/>
  <c r="F48" i="13"/>
  <c r="E40" i="13"/>
  <c r="F27" i="13"/>
  <c r="F23" i="13"/>
  <c r="I50" i="17"/>
  <c r="B44" i="13"/>
  <c r="C40" i="13"/>
  <c r="F35" i="13"/>
  <c r="G31" i="13"/>
  <c r="B27" i="13"/>
  <c r="C23" i="13"/>
  <c r="G18" i="13"/>
  <c r="B40" i="13"/>
  <c r="E35" i="13"/>
  <c r="F31" i="13"/>
  <c r="F18" i="13"/>
  <c r="G3" i="13"/>
  <c r="H45" i="13"/>
  <c r="E34" i="13"/>
  <c r="C29" i="13"/>
  <c r="E18" i="13"/>
  <c r="B9" i="13"/>
  <c r="B5" i="13"/>
  <c r="F45" i="13"/>
  <c r="F39" i="13"/>
  <c r="C34" i="13"/>
  <c r="B29" i="13"/>
  <c r="C24" i="13"/>
  <c r="H50" i="13"/>
  <c r="E45" i="13"/>
  <c r="E39" i="13"/>
  <c r="B34" i="13"/>
  <c r="B24" i="13"/>
  <c r="C18" i="13"/>
  <c r="H8" i="13"/>
  <c r="H4" i="13"/>
  <c r="G50" i="13"/>
  <c r="C45" i="13"/>
  <c r="H28" i="13"/>
  <c r="B18" i="13"/>
  <c r="G8" i="13"/>
  <c r="B4" i="13"/>
  <c r="E50" i="13"/>
  <c r="H43" i="13"/>
  <c r="F38" i="13"/>
  <c r="G33" i="13"/>
  <c r="F28" i="13"/>
  <c r="G22" i="13"/>
  <c r="H17" i="13"/>
  <c r="G12" i="13"/>
  <c r="E8" i="13"/>
  <c r="D3" i="13"/>
  <c r="G43" i="13"/>
  <c r="B33" i="13"/>
  <c r="E28" i="13"/>
  <c r="B22" i="13"/>
  <c r="F12" i="13"/>
  <c r="B3" i="13"/>
  <c r="F43" i="13"/>
  <c r="B38" i="13"/>
  <c r="F17" i="13"/>
  <c r="C8" i="13"/>
  <c r="C37" i="13"/>
  <c r="H29" i="13"/>
  <c r="G21" i="13"/>
  <c r="B15" i="13"/>
  <c r="F8" i="13"/>
  <c r="E43" i="13"/>
  <c r="E21" i="13"/>
  <c r="G14" i="13"/>
  <c r="G35" i="13"/>
  <c r="G28" i="13"/>
  <c r="F14" i="13"/>
  <c r="H42" i="13"/>
  <c r="C35" i="13"/>
  <c r="G26" i="13"/>
  <c r="B21" i="13"/>
  <c r="B14" i="13"/>
  <c r="E6" i="13"/>
  <c r="G42" i="13"/>
  <c r="B35" i="13"/>
  <c r="F26" i="13"/>
  <c r="F42" i="13"/>
  <c r="H34" i="13"/>
  <c r="E26" i="13"/>
  <c r="H20" i="13"/>
  <c r="C12" i="13"/>
  <c r="B6" i="13"/>
  <c r="H46" i="13"/>
  <c r="B37" i="13"/>
  <c r="G25" i="13"/>
  <c r="F16" i="13"/>
  <c r="G46" i="13"/>
  <c r="F25" i="13"/>
  <c r="B16" i="13"/>
  <c r="G6" i="13"/>
  <c r="F46" i="13"/>
  <c r="E25" i="13"/>
  <c r="B46" i="13"/>
  <c r="H33" i="13"/>
  <c r="G24" i="13"/>
  <c r="F15" i="13"/>
  <c r="G5" i="13"/>
  <c r="F5" i="13"/>
  <c r="F24" i="13"/>
  <c r="W20" i="17"/>
  <c r="C18" i="7"/>
  <c r="D6" i="10"/>
  <c r="E10" i="13"/>
  <c r="F12" i="7"/>
  <c r="F49" i="7"/>
  <c r="A19" i="9"/>
  <c r="C27" i="10"/>
  <c r="H21" i="13"/>
  <c r="C37" i="15"/>
  <c r="E7" i="13"/>
  <c r="D7" i="13"/>
  <c r="H7" i="13"/>
  <c r="F7" i="13"/>
  <c r="C7" i="13"/>
  <c r="B7" i="13"/>
  <c r="A25" i="13"/>
  <c r="A25" i="15"/>
  <c r="F24" i="17"/>
  <c r="E24" i="17"/>
  <c r="D24" i="17"/>
  <c r="V24" i="17"/>
  <c r="T24" i="17"/>
  <c r="C24" i="17" s="1"/>
  <c r="O24" i="17" s="1"/>
  <c r="A25" i="16"/>
  <c r="A25" i="10"/>
  <c r="A25" i="14"/>
  <c r="A25" i="8"/>
  <c r="W24" i="17"/>
  <c r="U24" i="17"/>
  <c r="A25" i="11"/>
  <c r="A25" i="5"/>
  <c r="A25" i="7"/>
  <c r="A25" i="6"/>
  <c r="D15" i="18"/>
  <c r="A10" i="6"/>
  <c r="G12" i="7"/>
  <c r="G49" i="7"/>
  <c r="E7" i="7"/>
  <c r="H12" i="7"/>
  <c r="D19" i="7"/>
  <c r="C31" i="7"/>
  <c r="D37" i="7"/>
  <c r="H43" i="7"/>
  <c r="B51" i="8"/>
  <c r="B53" i="8" s="1"/>
  <c r="E51" i="9"/>
  <c r="E53" i="9" s="1"/>
  <c r="A10" i="9"/>
  <c r="G6" i="10"/>
  <c r="F27" i="10"/>
  <c r="E23" i="13"/>
  <c r="H47" i="13"/>
  <c r="C7" i="15"/>
  <c r="G37" i="15"/>
  <c r="E16" i="15"/>
  <c r="D16" i="15"/>
  <c r="C16" i="15"/>
  <c r="B16" i="15"/>
  <c r="F16" i="15"/>
  <c r="G24" i="17"/>
  <c r="F28" i="19"/>
  <c r="E28" i="19"/>
  <c r="C28" i="5" s="1"/>
  <c r="C28" i="19"/>
  <c r="B28" i="5" s="1"/>
  <c r="M28" i="19"/>
  <c r="L28" i="19"/>
  <c r="D28" i="19" s="1"/>
  <c r="F28" i="5" s="1"/>
  <c r="K28" i="19"/>
  <c r="J28" i="19"/>
  <c r="I28" i="19"/>
  <c r="H28" i="5" s="1"/>
  <c r="C44" i="15"/>
  <c r="C46" i="15"/>
  <c r="P48" i="17"/>
  <c r="E49" i="6"/>
  <c r="C49" i="6"/>
  <c r="H49" i="6"/>
  <c r="F40" i="19"/>
  <c r="E40" i="19"/>
  <c r="C40" i="5" s="1"/>
  <c r="C40" i="19"/>
  <c r="B40" i="5" s="1"/>
  <c r="M40" i="19"/>
  <c r="L40" i="19"/>
  <c r="D40" i="19" s="1"/>
  <c r="F40" i="5" s="1"/>
  <c r="K40" i="19"/>
  <c r="J40" i="19"/>
  <c r="H40" i="19"/>
  <c r="G40" i="5" s="1"/>
  <c r="I40" i="19"/>
  <c r="H40" i="5" s="1"/>
  <c r="D12" i="7"/>
  <c r="E4" i="15"/>
  <c r="H46" i="15"/>
  <c r="H49" i="10"/>
  <c r="G49" i="10"/>
  <c r="E49" i="10"/>
  <c r="D49" i="10"/>
  <c r="S48" i="17"/>
  <c r="B49" i="10"/>
  <c r="F49" i="10"/>
  <c r="C49" i="10"/>
  <c r="E12" i="7"/>
  <c r="E46" i="10"/>
  <c r="C7" i="7"/>
  <c r="H30" i="7"/>
  <c r="R30" i="17"/>
  <c r="Q30" i="17"/>
  <c r="H31" i="12"/>
  <c r="F31" i="12"/>
  <c r="H31" i="11"/>
  <c r="E31" i="12"/>
  <c r="G31" i="11"/>
  <c r="O30" i="17"/>
  <c r="F31" i="11"/>
  <c r="E31" i="11"/>
  <c r="C31" i="11"/>
  <c r="B31" i="11"/>
  <c r="D7" i="7"/>
  <c r="D43" i="7"/>
  <c r="E19" i="7"/>
  <c r="C26" i="7"/>
  <c r="B50" i="7"/>
  <c r="H6" i="10"/>
  <c r="C5" i="12"/>
  <c r="D7" i="15"/>
  <c r="H37" i="15"/>
  <c r="H51" i="16"/>
  <c r="H53" i="16" s="1"/>
  <c r="C47" i="15"/>
  <c r="H14" i="15"/>
  <c r="G14" i="15"/>
  <c r="F14" i="15"/>
  <c r="E14" i="15"/>
  <c r="C14" i="15"/>
  <c r="D14" i="15"/>
  <c r="B14" i="15"/>
  <c r="E22" i="10"/>
  <c r="D22" i="10"/>
  <c r="S21" i="17"/>
  <c r="C22" i="10"/>
  <c r="B22" i="10"/>
  <c r="G22" i="10"/>
  <c r="H25" i="7"/>
  <c r="F25" i="7"/>
  <c r="C25" i="7"/>
  <c r="G25" i="7"/>
  <c r="E25" i="7"/>
  <c r="B25" i="7"/>
  <c r="H37" i="7"/>
  <c r="F37" i="7"/>
  <c r="E37" i="7"/>
  <c r="C37" i="7"/>
  <c r="B37" i="7"/>
  <c r="H28" i="19"/>
  <c r="G28" i="5" s="1"/>
  <c r="F9" i="15"/>
  <c r="C32" i="15"/>
  <c r="B32" i="15"/>
  <c r="G32" i="15"/>
  <c r="E32" i="15"/>
  <c r="D32" i="15"/>
  <c r="D30" i="15"/>
  <c r="G18" i="17"/>
  <c r="A19" i="6"/>
  <c r="G16" i="15"/>
  <c r="R10" i="17"/>
  <c r="Q10" i="17"/>
  <c r="G11" i="12"/>
  <c r="B11" i="12"/>
  <c r="H11" i="12"/>
  <c r="H11" i="11"/>
  <c r="F11" i="12"/>
  <c r="G11" i="11"/>
  <c r="E11" i="12"/>
  <c r="F11" i="11"/>
  <c r="D11" i="12"/>
  <c r="E11" i="11"/>
  <c r="C11" i="11"/>
  <c r="B11" i="11"/>
  <c r="D11" i="11"/>
  <c r="G39" i="17"/>
  <c r="F39" i="17"/>
  <c r="E39" i="17"/>
  <c r="W39" i="17"/>
  <c r="V39" i="17"/>
  <c r="A40" i="15"/>
  <c r="A40" i="9"/>
  <c r="A40" i="14"/>
  <c r="A40" i="11"/>
  <c r="A40" i="13"/>
  <c r="A40" i="6"/>
  <c r="U39" i="17"/>
  <c r="A40" i="16"/>
  <c r="A40" i="5"/>
  <c r="D39" i="17"/>
  <c r="A40" i="12"/>
  <c r="C39" i="17"/>
  <c r="A40" i="8"/>
  <c r="B17" i="15"/>
  <c r="C48" i="13"/>
  <c r="G35" i="6"/>
  <c r="A10" i="12"/>
  <c r="E33" i="15"/>
  <c r="F2" i="17"/>
  <c r="E2" i="17"/>
  <c r="G2" i="17"/>
  <c r="D2" i="17"/>
  <c r="A3" i="14"/>
  <c r="A3" i="10"/>
  <c r="T2" i="17"/>
  <c r="C2" i="17" s="1"/>
  <c r="A3" i="9"/>
  <c r="A3" i="15"/>
  <c r="A3" i="13"/>
  <c r="A3" i="12"/>
  <c r="W2" i="17"/>
  <c r="V2" i="17"/>
  <c r="A3" i="11"/>
  <c r="U2" i="17"/>
  <c r="A3" i="16"/>
  <c r="A3" i="6"/>
  <c r="F9" i="17"/>
  <c r="C36" i="10"/>
  <c r="B36" i="10"/>
  <c r="G46" i="10"/>
  <c r="B42" i="10"/>
  <c r="H28" i="10"/>
  <c r="B9" i="10"/>
  <c r="G28" i="10"/>
  <c r="F28" i="10"/>
  <c r="C52" i="10"/>
  <c r="H8" i="10"/>
  <c r="E28" i="10"/>
  <c r="C28" i="10"/>
  <c r="G24" i="10"/>
  <c r="B28" i="10"/>
  <c r="E24" i="10"/>
  <c r="H39" i="10"/>
  <c r="G17" i="10"/>
  <c r="E9" i="10"/>
  <c r="F39" i="10"/>
  <c r="H30" i="10"/>
  <c r="E17" i="10"/>
  <c r="C9" i="10"/>
  <c r="E39" i="10"/>
  <c r="D30" i="10"/>
  <c r="D17" i="10"/>
  <c r="C39" i="10"/>
  <c r="B17" i="10"/>
  <c r="H42" i="10"/>
  <c r="B39" i="10"/>
  <c r="G42" i="10"/>
  <c r="F42" i="10"/>
  <c r="B37" i="10"/>
  <c r="C26" i="10"/>
  <c r="G14" i="10"/>
  <c r="D9" i="10"/>
  <c r="E42" i="10"/>
  <c r="F14" i="10"/>
  <c r="D42" i="10"/>
  <c r="H36" i="10"/>
  <c r="F31" i="10"/>
  <c r="H24" i="10"/>
  <c r="E14" i="10"/>
  <c r="C8" i="10"/>
  <c r="F36" i="10"/>
  <c r="C24" i="10"/>
  <c r="E36" i="10"/>
  <c r="B24" i="10"/>
  <c r="C30" i="10"/>
  <c r="C18" i="15"/>
  <c r="H7" i="10"/>
  <c r="G7" i="10"/>
  <c r="S6" i="17"/>
  <c r="F7" i="10"/>
  <c r="E7" i="10"/>
  <c r="D7" i="10"/>
  <c r="U20" i="17"/>
  <c r="E30" i="7"/>
  <c r="F30" i="7"/>
  <c r="E47" i="13"/>
  <c r="H6" i="15"/>
  <c r="A47" i="15"/>
  <c r="G18" i="7"/>
  <c r="E6" i="10"/>
  <c r="F10" i="13"/>
  <c r="F47" i="13"/>
  <c r="C19" i="15"/>
  <c r="C49" i="7"/>
  <c r="B49" i="7"/>
  <c r="E49" i="7"/>
  <c r="H36" i="13"/>
  <c r="D25" i="7"/>
  <c r="D51" i="9"/>
  <c r="D53" i="9" s="1"/>
  <c r="G7" i="7"/>
  <c r="E31" i="7"/>
  <c r="C51" i="8"/>
  <c r="C53" i="8" s="1"/>
  <c r="E22" i="6"/>
  <c r="H7" i="7"/>
  <c r="F19" i="7"/>
  <c r="D26" i="7"/>
  <c r="F31" i="7"/>
  <c r="D51" i="8"/>
  <c r="D53" i="8" s="1"/>
  <c r="D28" i="10"/>
  <c r="D5" i="11"/>
  <c r="D5" i="12"/>
  <c r="E24" i="13"/>
  <c r="E37" i="13"/>
  <c r="B48" i="13"/>
  <c r="E7" i="15"/>
  <c r="A4" i="16"/>
  <c r="F3" i="17"/>
  <c r="A4" i="13"/>
  <c r="E3" i="17"/>
  <c r="A4" i="12"/>
  <c r="W3" i="17"/>
  <c r="U3" i="17"/>
  <c r="A4" i="11"/>
  <c r="T3" i="17"/>
  <c r="A4" i="14"/>
  <c r="A4" i="15"/>
  <c r="A4" i="9"/>
  <c r="G3" i="17"/>
  <c r="A4" i="6"/>
  <c r="R22" i="17"/>
  <c r="Q22" i="17"/>
  <c r="C23" i="12"/>
  <c r="B23" i="12"/>
  <c r="H23" i="11"/>
  <c r="F23" i="11"/>
  <c r="E23" i="11"/>
  <c r="D23" i="12"/>
  <c r="H23" i="12"/>
  <c r="G23" i="12"/>
  <c r="A21" i="9"/>
  <c r="F30" i="15"/>
  <c r="H11" i="15"/>
  <c r="G11" i="15"/>
  <c r="F11" i="15"/>
  <c r="E11" i="15"/>
  <c r="D11" i="15"/>
  <c r="B46" i="15"/>
  <c r="E8" i="17"/>
  <c r="C8" i="17"/>
  <c r="D46" i="15"/>
  <c r="E8" i="15"/>
  <c r="D8" i="15"/>
  <c r="G50" i="15"/>
  <c r="E29" i="15"/>
  <c r="H8" i="15"/>
  <c r="C3" i="15"/>
  <c r="G8" i="15"/>
  <c r="B28" i="15"/>
  <c r="E22" i="15"/>
  <c r="F8" i="15"/>
  <c r="C8" i="15"/>
  <c r="E41" i="15"/>
  <c r="G35" i="15"/>
  <c r="G27" i="15"/>
  <c r="B47" i="15"/>
  <c r="C41" i="15"/>
  <c r="E27" i="15"/>
  <c r="B21" i="15"/>
  <c r="F13" i="15"/>
  <c r="G7" i="15"/>
  <c r="C13" i="15"/>
  <c r="H4" i="15"/>
  <c r="H40" i="15"/>
  <c r="F40" i="15"/>
  <c r="G12" i="15"/>
  <c r="G40" i="15"/>
  <c r="H12" i="15"/>
  <c r="C4" i="15"/>
  <c r="H31" i="15"/>
  <c r="B22" i="15"/>
  <c r="B4" i="15"/>
  <c r="G39" i="15"/>
  <c r="G31" i="15"/>
  <c r="F12" i="15"/>
  <c r="H50" i="15"/>
  <c r="E31" i="15"/>
  <c r="H20" i="15"/>
  <c r="E12" i="15"/>
  <c r="B48" i="15"/>
  <c r="G30" i="15"/>
  <c r="G19" i="15"/>
  <c r="D27" i="15"/>
  <c r="F41" i="15"/>
  <c r="B27" i="15"/>
  <c r="B15" i="15"/>
  <c r="B38" i="15"/>
  <c r="B13" i="15"/>
  <c r="B33" i="15"/>
  <c r="H5" i="10"/>
  <c r="G5" i="10"/>
  <c r="D5" i="10"/>
  <c r="E5" i="10"/>
  <c r="C5" i="10"/>
  <c r="B5" i="10"/>
  <c r="C9" i="17"/>
  <c r="B18" i="15"/>
  <c r="B23" i="7"/>
  <c r="B12" i="7"/>
  <c r="B20" i="7"/>
  <c r="B9" i="7"/>
  <c r="B46" i="7"/>
  <c r="B24" i="7"/>
  <c r="B30" i="7"/>
  <c r="B27" i="7"/>
  <c r="B33" i="7"/>
  <c r="B11" i="7"/>
  <c r="B52" i="7"/>
  <c r="B39" i="7"/>
  <c r="B17" i="7"/>
  <c r="B26" i="7"/>
  <c r="B3" i="7"/>
  <c r="B41" i="7"/>
  <c r="B18" i="7"/>
  <c r="B6" i="7"/>
  <c r="B19" i="7"/>
  <c r="B48" i="7"/>
  <c r="B15" i="7"/>
  <c r="B28" i="7"/>
  <c r="B43" i="7"/>
  <c r="D47" i="13"/>
  <c r="D36" i="13"/>
  <c r="D25" i="13"/>
  <c r="D44" i="13"/>
  <c r="D33" i="13"/>
  <c r="D22" i="13"/>
  <c r="D46" i="13"/>
  <c r="D26" i="13"/>
  <c r="D19" i="13"/>
  <c r="D45" i="13"/>
  <c r="D41" i="13"/>
  <c r="D34" i="13"/>
  <c r="D30" i="13"/>
  <c r="D23" i="13"/>
  <c r="D28" i="13"/>
  <c r="D4" i="13"/>
  <c r="D48" i="13"/>
  <c r="D52" i="13"/>
  <c r="D24" i="13"/>
  <c r="D18" i="13"/>
  <c r="D39" i="13"/>
  <c r="D50" i="13"/>
  <c r="D38" i="13"/>
  <c r="D8" i="13"/>
  <c r="D49" i="13"/>
  <c r="D27" i="13"/>
  <c r="D12" i="13"/>
  <c r="D29" i="13"/>
  <c r="D43" i="13"/>
  <c r="D21" i="13"/>
  <c r="D6" i="13"/>
  <c r="D35" i="13"/>
  <c r="H26" i="10"/>
  <c r="D32" i="13"/>
  <c r="H47" i="7"/>
  <c r="H36" i="7"/>
  <c r="F28" i="7"/>
  <c r="D20" i="7"/>
  <c r="D9" i="7"/>
  <c r="H3" i="7"/>
  <c r="F47" i="7"/>
  <c r="H44" i="7"/>
  <c r="F36" i="7"/>
  <c r="H33" i="7"/>
  <c r="D28" i="7"/>
  <c r="H11" i="7"/>
  <c r="F3" i="7"/>
  <c r="H50" i="17"/>
  <c r="C47" i="7"/>
  <c r="E44" i="7"/>
  <c r="C36" i="7"/>
  <c r="E33" i="7"/>
  <c r="E11" i="7"/>
  <c r="C3" i="7"/>
  <c r="H39" i="7"/>
  <c r="D33" i="7"/>
  <c r="C30" i="7"/>
  <c r="C27" i="7"/>
  <c r="H17" i="7"/>
  <c r="D11" i="7"/>
  <c r="C8" i="7"/>
  <c r="B5" i="7"/>
  <c r="E36" i="7"/>
  <c r="C11" i="7"/>
  <c r="G39" i="7"/>
  <c r="C33" i="7"/>
  <c r="H20" i="7"/>
  <c r="G17" i="7"/>
  <c r="H45" i="7"/>
  <c r="E39" i="7"/>
  <c r="D36" i="7"/>
  <c r="H23" i="7"/>
  <c r="E17" i="7"/>
  <c r="H4" i="7"/>
  <c r="G48" i="7"/>
  <c r="F45" i="7"/>
  <c r="G29" i="7"/>
  <c r="G26" i="7"/>
  <c r="F23" i="7"/>
  <c r="E20" i="7"/>
  <c r="F48" i="7"/>
  <c r="E45" i="7"/>
  <c r="F29" i="7"/>
  <c r="F26" i="7"/>
  <c r="E23" i="7"/>
  <c r="C20" i="7"/>
  <c r="E4" i="7"/>
  <c r="D45" i="7"/>
  <c r="D41" i="7"/>
  <c r="C34" i="7"/>
  <c r="H29" i="7"/>
  <c r="D18" i="7"/>
  <c r="G33" i="7"/>
  <c r="D29" i="7"/>
  <c r="H21" i="7"/>
  <c r="G6" i="7"/>
  <c r="G44" i="7"/>
  <c r="F33" i="7"/>
  <c r="E6" i="7"/>
  <c r="H48" i="7"/>
  <c r="C29" i="7"/>
  <c r="G21" i="7"/>
  <c r="D48" i="7"/>
  <c r="D44" i="7"/>
  <c r="G40" i="7"/>
  <c r="E21" i="7"/>
  <c r="G9" i="7"/>
  <c r="C48" i="7"/>
  <c r="C44" i="7"/>
  <c r="F40" i="7"/>
  <c r="H28" i="7"/>
  <c r="D21" i="7"/>
  <c r="F9" i="7"/>
  <c r="H5" i="7"/>
  <c r="E48" i="7"/>
  <c r="G43" i="7"/>
  <c r="H38" i="7"/>
  <c r="F34" i="7"/>
  <c r="D24" i="7"/>
  <c r="C15" i="7"/>
  <c r="E9" i="7"/>
  <c r="C5" i="7"/>
  <c r="F43" i="7"/>
  <c r="G38" i="7"/>
  <c r="E34" i="7"/>
  <c r="G28" i="7"/>
  <c r="C24" i="7"/>
  <c r="C9" i="7"/>
  <c r="E43" i="7"/>
  <c r="F38" i="7"/>
  <c r="D34" i="7"/>
  <c r="E28" i="7"/>
  <c r="H18" i="7"/>
  <c r="G4" i="7"/>
  <c r="E47" i="7"/>
  <c r="C43" i="7"/>
  <c r="D38" i="7"/>
  <c r="D23" i="7"/>
  <c r="F18" i="7"/>
  <c r="F8" i="7"/>
  <c r="D4" i="7"/>
  <c r="C38" i="7"/>
  <c r="D32" i="7"/>
  <c r="C23" i="7"/>
  <c r="E8" i="7"/>
  <c r="D47" i="7"/>
  <c r="E18" i="7"/>
  <c r="C4" i="7"/>
  <c r="S34" i="17"/>
  <c r="F35" i="10"/>
  <c r="D35" i="10"/>
  <c r="C35" i="10"/>
  <c r="B35" i="10"/>
  <c r="G35" i="10"/>
  <c r="D10" i="13"/>
  <c r="B7" i="7"/>
  <c r="F42" i="7"/>
  <c r="B27" i="10"/>
  <c r="F32" i="13"/>
  <c r="B37" i="15"/>
  <c r="H24" i="7"/>
  <c r="H46" i="10"/>
  <c r="B23" i="15"/>
  <c r="D23" i="15"/>
  <c r="E23" i="15"/>
  <c r="C23" i="15"/>
  <c r="G23" i="15"/>
  <c r="F23" i="15"/>
  <c r="D42" i="7"/>
  <c r="B42" i="7"/>
  <c r="H42" i="7"/>
  <c r="G42" i="7"/>
  <c r="E42" i="7"/>
  <c r="C42" i="7"/>
  <c r="A3" i="8"/>
  <c r="G37" i="7"/>
  <c r="F22" i="6"/>
  <c r="H19" i="7"/>
  <c r="E26" i="7"/>
  <c r="G31" i="7"/>
  <c r="B38" i="7"/>
  <c r="F44" i="7"/>
  <c r="E50" i="7"/>
  <c r="B7" i="10"/>
  <c r="F22" i="10"/>
  <c r="E35" i="10"/>
  <c r="E5" i="11"/>
  <c r="E5" i="12"/>
  <c r="H24" i="13"/>
  <c r="F37" i="13"/>
  <c r="E48" i="13"/>
  <c r="F7" i="15"/>
  <c r="E24" i="15"/>
  <c r="C38" i="15"/>
  <c r="C3" i="17"/>
  <c r="H22" i="7"/>
  <c r="E22" i="7"/>
  <c r="B22" i="7"/>
  <c r="F32" i="7"/>
  <c r="P33" i="17"/>
  <c r="F34" i="6"/>
  <c r="D34" i="6"/>
  <c r="C34" i="6"/>
  <c r="B34" i="6"/>
  <c r="A44" i="16"/>
  <c r="V43" i="17"/>
  <c r="U43" i="17"/>
  <c r="E43" i="17" s="1"/>
  <c r="T43" i="17"/>
  <c r="C43" i="17" s="1"/>
  <c r="A44" i="8"/>
  <c r="A44" i="15"/>
  <c r="A44" i="10"/>
  <c r="A44" i="13"/>
  <c r="A44" i="5"/>
  <c r="A44" i="11"/>
  <c r="W43" i="17"/>
  <c r="A44" i="14"/>
  <c r="F43" i="17"/>
  <c r="G43" i="17"/>
  <c r="P45" i="17"/>
  <c r="C46" i="6"/>
  <c r="E46" i="6"/>
  <c r="B46" i="6"/>
  <c r="H46" i="6"/>
  <c r="F46" i="6"/>
  <c r="D46" i="6"/>
  <c r="S25" i="17"/>
  <c r="G26" i="10"/>
  <c r="E26" i="10"/>
  <c r="D26" i="10"/>
  <c r="B26" i="10"/>
  <c r="S30" i="17"/>
  <c r="H31" i="10"/>
  <c r="G31" i="10"/>
  <c r="E31" i="10"/>
  <c r="D31" i="10"/>
  <c r="B31" i="10"/>
  <c r="P35" i="17"/>
  <c r="H36" i="6"/>
  <c r="F36" i="6"/>
  <c r="C36" i="6"/>
  <c r="D36" i="6"/>
  <c r="B39" i="15"/>
  <c r="A12" i="15"/>
  <c r="C11" i="17"/>
  <c r="W11" i="17"/>
  <c r="G11" i="17"/>
  <c r="D11" i="17"/>
  <c r="A12" i="16"/>
  <c r="A12" i="9"/>
  <c r="A12" i="10"/>
  <c r="A12" i="14"/>
  <c r="F11" i="17"/>
  <c r="U11" i="17"/>
  <c r="E11" i="17" s="1"/>
  <c r="T11" i="17"/>
  <c r="A12" i="5"/>
  <c r="F2" i="27" s="1"/>
  <c r="A16" i="14"/>
  <c r="A16" i="16"/>
  <c r="V15" i="17"/>
  <c r="A16" i="15"/>
  <c r="A16" i="6"/>
  <c r="G15" i="17"/>
  <c r="F15" i="17"/>
  <c r="A16" i="8"/>
  <c r="W15" i="17"/>
  <c r="U15" i="17"/>
  <c r="E15" i="17"/>
  <c r="D15" i="17"/>
  <c r="F7" i="7"/>
  <c r="G10" i="7"/>
  <c r="D10" i="7"/>
  <c r="B10" i="7"/>
  <c r="S13" i="17"/>
  <c r="C14" i="10"/>
  <c r="B14" i="10"/>
  <c r="H14" i="10"/>
  <c r="C15" i="17"/>
  <c r="H16" i="7"/>
  <c r="D31" i="7"/>
  <c r="B31" i="7"/>
  <c r="H24" i="15"/>
  <c r="G24" i="15"/>
  <c r="F24" i="15"/>
  <c r="D24" i="15"/>
  <c r="C24" i="15"/>
  <c r="P27" i="17"/>
  <c r="G28" i="6"/>
  <c r="F28" i="6"/>
  <c r="D28" i="6"/>
  <c r="C28" i="6"/>
  <c r="R38" i="17"/>
  <c r="Q38" i="17"/>
  <c r="G39" i="12"/>
  <c r="B39" i="12"/>
  <c r="G39" i="11"/>
  <c r="F39" i="11"/>
  <c r="E39" i="11"/>
  <c r="D39" i="11"/>
  <c r="B39" i="11"/>
  <c r="H39" i="12"/>
  <c r="A16" i="11"/>
  <c r="B51" i="16"/>
  <c r="B53" i="16" s="1"/>
  <c r="H38" i="10"/>
  <c r="G38" i="10"/>
  <c r="D38" i="10"/>
  <c r="F38" i="10"/>
  <c r="E38" i="10"/>
  <c r="C38" i="10"/>
  <c r="B38" i="10"/>
  <c r="S37" i="17"/>
  <c r="C51" i="16"/>
  <c r="C53" i="16" s="1"/>
  <c r="H29" i="15"/>
  <c r="D3" i="15"/>
  <c r="D12" i="15"/>
  <c r="D38" i="15"/>
  <c r="H14" i="7"/>
  <c r="F14" i="7"/>
  <c r="C14" i="7"/>
  <c r="G14" i="7"/>
  <c r="E14" i="7"/>
  <c r="D14" i="7"/>
  <c r="A48" i="16"/>
  <c r="G47" i="17"/>
  <c r="F47" i="17"/>
  <c r="A48" i="11"/>
  <c r="W47" i="17"/>
  <c r="V47" i="17"/>
  <c r="U47" i="17"/>
  <c r="E47" i="17" s="1"/>
  <c r="A48" i="15"/>
  <c r="D47" i="17"/>
  <c r="A48" i="14"/>
  <c r="C47" i="17"/>
  <c r="K47" i="19"/>
  <c r="J47" i="19"/>
  <c r="I47" i="19"/>
  <c r="H47" i="5" s="1"/>
  <c r="H47" i="19"/>
  <c r="G47" i="5" s="1"/>
  <c r="M47" i="19"/>
  <c r="L47" i="19"/>
  <c r="F47" i="19"/>
  <c r="D47" i="19"/>
  <c r="F47" i="5" s="1"/>
  <c r="C47" i="19"/>
  <c r="B47" i="5" s="1"/>
  <c r="E32" i="7"/>
  <c r="E28" i="12"/>
  <c r="A13" i="13"/>
  <c r="A6" i="14"/>
  <c r="U5" i="17"/>
  <c r="A6" i="15"/>
  <c r="A6" i="10"/>
  <c r="W5" i="17"/>
  <c r="V5" i="17"/>
  <c r="A6" i="7"/>
  <c r="C4" i="27" s="1"/>
  <c r="A6" i="9"/>
  <c r="G5" i="17"/>
  <c r="E5" i="17"/>
  <c r="D5" i="17"/>
  <c r="C5" i="17"/>
  <c r="H33" i="15"/>
  <c r="G33" i="15"/>
  <c r="D33" i="15"/>
  <c r="C33" i="15"/>
  <c r="F33" i="15"/>
  <c r="H35" i="7"/>
  <c r="G38" i="15"/>
  <c r="F38" i="15"/>
  <c r="E38" i="15"/>
  <c r="H38" i="15"/>
  <c r="R42" i="17"/>
  <c r="Q42" i="17"/>
  <c r="B43" i="11"/>
  <c r="G43" i="11"/>
  <c r="F43" i="11"/>
  <c r="E43" i="11"/>
  <c r="C43" i="11"/>
  <c r="H43" i="11"/>
  <c r="D43" i="11"/>
  <c r="E47" i="19"/>
  <c r="C47" i="5" s="1"/>
  <c r="A48" i="8"/>
  <c r="I38" i="19"/>
  <c r="H38" i="5" s="1"/>
  <c r="H38" i="19"/>
  <c r="G38" i="5" s="1"/>
  <c r="F38" i="19"/>
  <c r="E38" i="19"/>
  <c r="C38" i="5" s="1"/>
  <c r="M38" i="19"/>
  <c r="L38" i="19"/>
  <c r="H32" i="7"/>
  <c r="G32" i="7"/>
  <c r="B40" i="9"/>
  <c r="B29" i="9"/>
  <c r="B18" i="9"/>
  <c r="B7" i="9"/>
  <c r="B48" i="9"/>
  <c r="B37" i="9"/>
  <c r="B26" i="9"/>
  <c r="B15" i="9"/>
  <c r="B4" i="9"/>
  <c r="B32" i="9"/>
  <c r="B3" i="9"/>
  <c r="B23" i="9"/>
  <c r="B20" i="9"/>
  <c r="B17" i="9"/>
  <c r="B49" i="9"/>
  <c r="B46" i="9"/>
  <c r="B11" i="9"/>
  <c r="B43" i="9"/>
  <c r="B8" i="9"/>
  <c r="C52" i="12"/>
  <c r="G46" i="12"/>
  <c r="F46" i="12"/>
  <c r="E46" i="12"/>
  <c r="B46" i="12"/>
  <c r="A48" i="10"/>
  <c r="D8" i="10"/>
  <c r="E11" i="10"/>
  <c r="D11" i="10"/>
  <c r="C11" i="10"/>
  <c r="G11" i="10"/>
  <c r="F11" i="10"/>
  <c r="P25" i="17"/>
  <c r="G26" i="6"/>
  <c r="D26" i="6"/>
  <c r="A29" i="15"/>
  <c r="U28" i="17"/>
  <c r="E28" i="17" s="1"/>
  <c r="T28" i="17"/>
  <c r="F28" i="17"/>
  <c r="A29" i="9"/>
  <c r="A29" i="14"/>
  <c r="A29" i="12"/>
  <c r="A29" i="11"/>
  <c r="A29" i="13"/>
  <c r="W28" i="17"/>
  <c r="A34" i="15"/>
  <c r="A34" i="16"/>
  <c r="A34" i="14"/>
  <c r="W33" i="17"/>
  <c r="V33" i="17"/>
  <c r="U33" i="17"/>
  <c r="E33" i="17" s="1"/>
  <c r="A34" i="9"/>
  <c r="T33" i="17"/>
  <c r="C33" i="17" s="1"/>
  <c r="O33" i="17" s="1"/>
  <c r="A34" i="12"/>
  <c r="A34" i="13"/>
  <c r="S36" i="17"/>
  <c r="H37" i="10"/>
  <c r="G37" i="10"/>
  <c r="C15" i="18"/>
  <c r="E43" i="6"/>
  <c r="C24" i="6"/>
  <c r="C43" i="6"/>
  <c r="G15" i="6"/>
  <c r="H31" i="6"/>
  <c r="F23" i="6"/>
  <c r="D15" i="6"/>
  <c r="D43" i="6"/>
  <c r="F24" i="6"/>
  <c r="H11" i="6"/>
  <c r="D24" i="6"/>
  <c r="F11" i="6"/>
  <c r="H23" i="6"/>
  <c r="C48" i="9"/>
  <c r="C37" i="9"/>
  <c r="C26" i="9"/>
  <c r="C42" i="9"/>
  <c r="C31" i="9"/>
  <c r="C20" i="9"/>
  <c r="C9" i="9"/>
  <c r="C29" i="9"/>
  <c r="C23" i="9"/>
  <c r="C17" i="9"/>
  <c r="C14" i="9"/>
  <c r="C43" i="9"/>
  <c r="C8" i="9"/>
  <c r="C52" i="9"/>
  <c r="C40" i="9"/>
  <c r="C34" i="9"/>
  <c r="C28" i="9"/>
  <c r="C25" i="9"/>
  <c r="C5" i="9"/>
  <c r="C51" i="9" s="1"/>
  <c r="C53" i="9" s="1"/>
  <c r="D46" i="12"/>
  <c r="D38" i="19"/>
  <c r="F38" i="5" s="1"/>
  <c r="F27" i="15"/>
  <c r="D44" i="15"/>
  <c r="I15" i="18"/>
  <c r="H52" i="5"/>
  <c r="D52" i="15"/>
  <c r="D13" i="15"/>
  <c r="D25" i="15"/>
  <c r="D45" i="15"/>
  <c r="D5" i="15"/>
  <c r="D34" i="15"/>
  <c r="D49" i="15"/>
  <c r="D22" i="15"/>
  <c r="D21" i="15"/>
  <c r="D41" i="15"/>
  <c r="M34" i="19"/>
  <c r="L34" i="19"/>
  <c r="K34" i="19"/>
  <c r="G34" i="19" s="1"/>
  <c r="E34" i="5" s="1"/>
  <c r="J34" i="19"/>
  <c r="I34" i="19"/>
  <c r="H34" i="5" s="1"/>
  <c r="H34" i="19"/>
  <c r="G34" i="5" s="1"/>
  <c r="F34" i="19"/>
  <c r="E34" i="19"/>
  <c r="C34" i="5" s="1"/>
  <c r="C34" i="19"/>
  <c r="B34" i="5" s="1"/>
  <c r="B45" i="9"/>
  <c r="A48" i="9"/>
  <c r="C46" i="12"/>
  <c r="D4" i="15"/>
  <c r="H19" i="15"/>
  <c r="F19" i="15"/>
  <c r="E19" i="15"/>
  <c r="C28" i="17"/>
  <c r="O28" i="17" s="1"/>
  <c r="F7" i="19"/>
  <c r="E7" i="19"/>
  <c r="C7" i="5" s="1"/>
  <c r="D7" i="19"/>
  <c r="F7" i="5" s="1"/>
  <c r="C7" i="19"/>
  <c r="B7" i="5" s="1"/>
  <c r="K7" i="19"/>
  <c r="J7" i="19"/>
  <c r="I7" i="19"/>
  <c r="H7" i="5" s="1"/>
  <c r="H7" i="19"/>
  <c r="G7" i="5" s="1"/>
  <c r="M7" i="19"/>
  <c r="K25" i="19"/>
  <c r="J25" i="19"/>
  <c r="I25" i="19"/>
  <c r="H25" i="5" s="1"/>
  <c r="H25" i="19"/>
  <c r="G25" i="5" s="1"/>
  <c r="M25" i="19"/>
  <c r="L25" i="19"/>
  <c r="D25" i="19" s="1"/>
  <c r="F25" i="5" s="1"/>
  <c r="J38" i="19"/>
  <c r="B14" i="7"/>
  <c r="B14" i="9"/>
  <c r="B42" i="9"/>
  <c r="A13" i="14"/>
  <c r="F12" i="17"/>
  <c r="D12" i="17"/>
  <c r="A13" i="11"/>
  <c r="A13" i="6"/>
  <c r="A13" i="16"/>
  <c r="W12" i="17"/>
  <c r="V12" i="17"/>
  <c r="T12" i="17"/>
  <c r="C12" i="17" s="1"/>
  <c r="O12" i="17" s="1"/>
  <c r="P17" i="17"/>
  <c r="G18" i="6"/>
  <c r="E18" i="6"/>
  <c r="B18" i="6"/>
  <c r="C18" i="6"/>
  <c r="R26" i="17"/>
  <c r="Q26" i="17"/>
  <c r="F27" i="12"/>
  <c r="H48" i="15"/>
  <c r="G48" i="15"/>
  <c r="E48" i="15"/>
  <c r="C48" i="15"/>
  <c r="F48" i="15"/>
  <c r="D48" i="15"/>
  <c r="K39" i="19"/>
  <c r="G39" i="19" s="1"/>
  <c r="E39" i="5" s="1"/>
  <c r="J39" i="19"/>
  <c r="I39" i="19"/>
  <c r="H39" i="5" s="1"/>
  <c r="H39" i="19"/>
  <c r="G39" i="5" s="1"/>
  <c r="F39" i="19"/>
  <c r="E39" i="19"/>
  <c r="C39" i="5" s="1"/>
  <c r="C39" i="19"/>
  <c r="B39" i="5" s="1"/>
  <c r="M39" i="19"/>
  <c r="L39" i="19"/>
  <c r="D39" i="19" s="1"/>
  <c r="F39" i="5" s="1"/>
  <c r="P8" i="17"/>
  <c r="H9" i="6"/>
  <c r="B34" i="7"/>
  <c r="A45" i="15"/>
  <c r="A45" i="16"/>
  <c r="W44" i="17"/>
  <c r="V44" i="17"/>
  <c r="U44" i="17"/>
  <c r="E44" i="17" s="1"/>
  <c r="T44" i="17"/>
  <c r="C44" i="17" s="1"/>
  <c r="O44" i="17" s="1"/>
  <c r="D45" i="5" s="1"/>
  <c r="A45" i="13"/>
  <c r="A45" i="12"/>
  <c r="A45" i="9"/>
  <c r="G41" i="7"/>
  <c r="G19" i="7"/>
  <c r="G8" i="7"/>
  <c r="B46" i="14"/>
  <c r="B35" i="14"/>
  <c r="B24" i="14"/>
  <c r="B13" i="14"/>
  <c r="B43" i="14"/>
  <c r="B32" i="14"/>
  <c r="B21" i="14"/>
  <c r="B10" i="14"/>
  <c r="B36" i="14"/>
  <c r="B29" i="14"/>
  <c r="B16" i="14"/>
  <c r="B9" i="14"/>
  <c r="B45" i="14"/>
  <c r="B31" i="14"/>
  <c r="B17" i="14"/>
  <c r="B3" i="14"/>
  <c r="B20" i="14"/>
  <c r="B52" i="14"/>
  <c r="B41" i="14"/>
  <c r="B27" i="14"/>
  <c r="B23" i="14"/>
  <c r="B40" i="14"/>
  <c r="B44" i="14"/>
  <c r="B14" i="14"/>
  <c r="H15" i="18"/>
  <c r="C11" i="6"/>
  <c r="D28" i="11"/>
  <c r="B28" i="14"/>
  <c r="H7" i="15"/>
  <c r="C21" i="15"/>
  <c r="E34" i="15"/>
  <c r="H15" i="13"/>
  <c r="E15" i="13"/>
  <c r="D15" i="13"/>
  <c r="C15" i="13"/>
  <c r="F24" i="10"/>
  <c r="A30" i="16"/>
  <c r="W29" i="17"/>
  <c r="V29" i="17"/>
  <c r="T29" i="17"/>
  <c r="C29" i="17" s="1"/>
  <c r="O29" i="17" s="1"/>
  <c r="A30" i="15"/>
  <c r="A30" i="8"/>
  <c r="D40" i="15"/>
  <c r="B4" i="14"/>
  <c r="B12" i="14"/>
  <c r="B48" i="14"/>
  <c r="F39" i="7"/>
  <c r="D39" i="7"/>
  <c r="D44" i="17"/>
  <c r="G20" i="7"/>
  <c r="B33" i="14"/>
  <c r="N50" i="17"/>
  <c r="H3" i="15"/>
  <c r="G3" i="15"/>
  <c r="F3" i="15"/>
  <c r="E3" i="15"/>
  <c r="H13" i="15"/>
  <c r="G6" i="15"/>
  <c r="G13" i="15"/>
  <c r="H35" i="15"/>
  <c r="H5" i="15"/>
  <c r="H43" i="15"/>
  <c r="F35" i="15"/>
  <c r="F5" i="15"/>
  <c r="E43" i="15"/>
  <c r="H34" i="15"/>
  <c r="B50" i="15"/>
  <c r="H45" i="15"/>
  <c r="E40" i="15"/>
  <c r="B35" i="15"/>
  <c r="C30" i="15"/>
  <c r="G20" i="15"/>
  <c r="H10" i="15"/>
  <c r="B30" i="15"/>
  <c r="F20" i="15"/>
  <c r="G10" i="15"/>
  <c r="G5" i="15"/>
  <c r="H49" i="15"/>
  <c r="E44" i="15"/>
  <c r="B40" i="15"/>
  <c r="G34" i="15"/>
  <c r="E20" i="15"/>
  <c r="F10" i="15"/>
  <c r="E5" i="15"/>
  <c r="G49" i="15"/>
  <c r="H39" i="15"/>
  <c r="F34" i="15"/>
  <c r="E10" i="15"/>
  <c r="E49" i="15"/>
  <c r="G9" i="15"/>
  <c r="G4" i="15"/>
  <c r="G43" i="15"/>
  <c r="C34" i="15"/>
  <c r="F4" i="15"/>
  <c r="O27" i="17"/>
  <c r="D31" i="15"/>
  <c r="C31" i="15"/>
  <c r="B31" i="15"/>
  <c r="F31" i="15"/>
  <c r="A33" i="16"/>
  <c r="A33" i="14"/>
  <c r="G32" i="17"/>
  <c r="F32" i="17"/>
  <c r="D32" i="17"/>
  <c r="U32" i="17"/>
  <c r="T32" i="17"/>
  <c r="C32" i="17" s="1"/>
  <c r="A33" i="8"/>
  <c r="A33" i="5"/>
  <c r="O36" i="17"/>
  <c r="F44" i="17"/>
  <c r="A5" i="14"/>
  <c r="V4" i="17"/>
  <c r="T4" i="17"/>
  <c r="C4" i="17" s="1"/>
  <c r="O4" i="17" s="1"/>
  <c r="D5" i="5" s="1"/>
  <c r="A5" i="16"/>
  <c r="A5" i="15"/>
  <c r="A5" i="6"/>
  <c r="A5" i="12"/>
  <c r="F6" i="7"/>
  <c r="D6" i="7"/>
  <c r="G18" i="15"/>
  <c r="F18" i="15"/>
  <c r="E18" i="15"/>
  <c r="D18" i="15"/>
  <c r="A20" i="15"/>
  <c r="A20" i="16"/>
  <c r="A20" i="12"/>
  <c r="A20" i="13"/>
  <c r="G19" i="17"/>
  <c r="F19" i="17"/>
  <c r="D19" i="17"/>
  <c r="C19" i="17"/>
  <c r="R27" i="17"/>
  <c r="Q27" i="17"/>
  <c r="C28" i="12"/>
  <c r="G28" i="12"/>
  <c r="F28" i="12"/>
  <c r="G30" i="10"/>
  <c r="F30" i="10"/>
  <c r="E30" i="10"/>
  <c r="S29" i="17"/>
  <c r="B30" i="10"/>
  <c r="A38" i="14"/>
  <c r="E37" i="17"/>
  <c r="A38" i="6"/>
  <c r="V37" i="17"/>
  <c r="U37" i="17"/>
  <c r="A38" i="16"/>
  <c r="G44" i="17"/>
  <c r="A50" i="13"/>
  <c r="V49" i="17"/>
  <c r="U49" i="17"/>
  <c r="T49" i="17"/>
  <c r="F49" i="17"/>
  <c r="E49" i="17"/>
  <c r="A50" i="15"/>
  <c r="A50" i="10"/>
  <c r="D49" i="17"/>
  <c r="C49" i="17"/>
  <c r="O49" i="17" s="1"/>
  <c r="A50" i="7"/>
  <c r="E15" i="18"/>
  <c r="E52" i="8"/>
  <c r="E49" i="8"/>
  <c r="E38" i="8"/>
  <c r="E27" i="8"/>
  <c r="E16" i="8"/>
  <c r="E5" i="8"/>
  <c r="E51" i="8" s="1"/>
  <c r="E53" i="8" s="1"/>
  <c r="E46" i="8"/>
  <c r="E35" i="8"/>
  <c r="E24" i="8"/>
  <c r="E13" i="8"/>
  <c r="G40" i="14"/>
  <c r="G29" i="14"/>
  <c r="G18" i="14"/>
  <c r="G7" i="14"/>
  <c r="G48" i="14"/>
  <c r="G37" i="14"/>
  <c r="G26" i="14"/>
  <c r="G15" i="14"/>
  <c r="G4" i="14"/>
  <c r="G51" i="14" s="1"/>
  <c r="G53" i="14" s="1"/>
  <c r="G52" i="14"/>
  <c r="G42" i="14"/>
  <c r="G22" i="14"/>
  <c r="G49" i="14"/>
  <c r="G41" i="14"/>
  <c r="G27" i="14"/>
  <c r="G23" i="14"/>
  <c r="G13" i="14"/>
  <c r="G9" i="14"/>
  <c r="G19" i="14"/>
  <c r="G5" i="14"/>
  <c r="G47" i="14"/>
  <c r="G21" i="14"/>
  <c r="G17" i="14"/>
  <c r="G6" i="14"/>
  <c r="G36" i="14"/>
  <c r="G10" i="14"/>
  <c r="G39" i="14"/>
  <c r="G32" i="14"/>
  <c r="G28" i="14"/>
  <c r="G50" i="14"/>
  <c r="G43" i="14"/>
  <c r="G20" i="14"/>
  <c r="M10" i="19"/>
  <c r="L10" i="19"/>
  <c r="D10" i="19" s="1"/>
  <c r="F10" i="5" s="1"/>
  <c r="K10" i="19"/>
  <c r="G31" i="19" s="1"/>
  <c r="E31" i="5" s="1"/>
  <c r="J10" i="19"/>
  <c r="I10" i="19"/>
  <c r="H10" i="5" s="1"/>
  <c r="H10" i="19"/>
  <c r="G10" i="5" s="1"/>
  <c r="G36" i="7"/>
  <c r="A5" i="13"/>
  <c r="B5" i="14"/>
  <c r="G16" i="14"/>
  <c r="A45" i="14"/>
  <c r="B49" i="14"/>
  <c r="B3" i="15"/>
  <c r="B29" i="15"/>
  <c r="F49" i="15"/>
  <c r="H6" i="13"/>
  <c r="F6" i="13"/>
  <c r="C6" i="13"/>
  <c r="A8" i="16"/>
  <c r="W7" i="17"/>
  <c r="G7" i="17"/>
  <c r="D7" i="17"/>
  <c r="A8" i="13"/>
  <c r="A8" i="12"/>
  <c r="A8" i="8"/>
  <c r="E7" i="17"/>
  <c r="C7" i="17"/>
  <c r="O7" i="17" s="1"/>
  <c r="A14" i="13"/>
  <c r="T13" i="17"/>
  <c r="C13" i="17" s="1"/>
  <c r="A14" i="16"/>
  <c r="G13" i="17"/>
  <c r="A14" i="15"/>
  <c r="D13" i="17"/>
  <c r="A14" i="12"/>
  <c r="A14" i="10"/>
  <c r="V13" i="17"/>
  <c r="U13" i="17"/>
  <c r="E13" i="17" s="1"/>
  <c r="E15" i="15"/>
  <c r="D15" i="15"/>
  <c r="C15" i="15"/>
  <c r="H15" i="15"/>
  <c r="G15" i="15"/>
  <c r="F15" i="15"/>
  <c r="F17" i="7"/>
  <c r="D17" i="7"/>
  <c r="E19" i="17"/>
  <c r="A26" i="14"/>
  <c r="A26" i="15"/>
  <c r="G25" i="17"/>
  <c r="U25" i="17"/>
  <c r="E25" i="17" s="1"/>
  <c r="W25" i="17"/>
  <c r="A26" i="12"/>
  <c r="T25" i="17"/>
  <c r="C25" i="17" s="1"/>
  <c r="G29" i="17"/>
  <c r="E32" i="17"/>
  <c r="C37" i="17"/>
  <c r="O40" i="17"/>
  <c r="B45" i="7"/>
  <c r="R45" i="17"/>
  <c r="Q45" i="17"/>
  <c r="G46" i="11"/>
  <c r="F46" i="11"/>
  <c r="E46" i="11"/>
  <c r="C46" i="11"/>
  <c r="B46" i="11"/>
  <c r="G49" i="17"/>
  <c r="C10" i="19"/>
  <c r="B10" i="5" s="1"/>
  <c r="I16" i="19"/>
  <c r="H16" i="5" s="1"/>
  <c r="H16" i="19"/>
  <c r="G16" i="5" s="1"/>
  <c r="F16" i="19"/>
  <c r="E16" i="19"/>
  <c r="C16" i="5" s="1"/>
  <c r="M16" i="19"/>
  <c r="L16" i="19"/>
  <c r="K16" i="19"/>
  <c r="J16" i="19"/>
  <c r="D16" i="19"/>
  <c r="F16" i="5" s="1"/>
  <c r="C16" i="19"/>
  <c r="B16" i="5" s="1"/>
  <c r="B25" i="14"/>
  <c r="B37" i="14"/>
  <c r="D4" i="17"/>
  <c r="G8" i="10"/>
  <c r="F8" i="10"/>
  <c r="E8" i="10"/>
  <c r="B8" i="10"/>
  <c r="B12" i="15"/>
  <c r="C12" i="15"/>
  <c r="B17" i="13"/>
  <c r="C27" i="15"/>
  <c r="G30" i="7"/>
  <c r="D37" i="17"/>
  <c r="F50" i="7"/>
  <c r="D50" i="7"/>
  <c r="M17" i="19"/>
  <c r="L17" i="19"/>
  <c r="D17" i="19" s="1"/>
  <c r="F17" i="5" s="1"/>
  <c r="K17" i="19"/>
  <c r="I17" i="19"/>
  <c r="H17" i="5" s="1"/>
  <c r="H17" i="19"/>
  <c r="G17" i="5" s="1"/>
  <c r="F17" i="19"/>
  <c r="E17" i="19"/>
  <c r="C17" i="5" s="1"/>
  <c r="C17" i="19"/>
  <c r="B17" i="5" s="1"/>
  <c r="M45" i="19"/>
  <c r="L45" i="19"/>
  <c r="K45" i="19"/>
  <c r="G45" i="19" s="1"/>
  <c r="E45" i="5" s="1"/>
  <c r="J45" i="19"/>
  <c r="I45" i="19"/>
  <c r="H45" i="5" s="1"/>
  <c r="H45" i="19"/>
  <c r="G45" i="5" s="1"/>
  <c r="F45" i="19"/>
  <c r="D45" i="19"/>
  <c r="F45" i="5" s="1"/>
  <c r="E45" i="19"/>
  <c r="C45" i="5" s="1"/>
  <c r="C45" i="19"/>
  <c r="B45" i="5" s="1"/>
  <c r="H14" i="13"/>
  <c r="H22" i="13"/>
  <c r="C29" i="15"/>
  <c r="H9" i="13"/>
  <c r="F9" i="13"/>
  <c r="C9" i="13"/>
  <c r="C10" i="15"/>
  <c r="B10" i="15"/>
  <c r="D10" i="15"/>
  <c r="H30" i="15"/>
  <c r="E30" i="15"/>
  <c r="A36" i="13"/>
  <c r="T35" i="17"/>
  <c r="C35" i="17" s="1"/>
  <c r="O35" i="17" s="1"/>
  <c r="A36" i="12"/>
  <c r="U35" i="17"/>
  <c r="E35" i="17" s="1"/>
  <c r="H41" i="15"/>
  <c r="G41" i="15"/>
  <c r="B41" i="15"/>
  <c r="A43" i="13"/>
  <c r="G42" i="17"/>
  <c r="F42" i="17"/>
  <c r="C42" i="17"/>
  <c r="O42" i="17" s="1"/>
  <c r="V48" i="17"/>
  <c r="D29" i="15"/>
  <c r="E51" i="16"/>
  <c r="E53" i="16" s="1"/>
  <c r="F17" i="15"/>
  <c r="E17" i="15"/>
  <c r="D17" i="15"/>
  <c r="C17" i="15"/>
  <c r="H17" i="15"/>
  <c r="G17" i="15"/>
  <c r="H22" i="15"/>
  <c r="G22" i="15"/>
  <c r="F22" i="15"/>
  <c r="C22" i="15"/>
  <c r="W48" i="17"/>
  <c r="C47" i="13"/>
  <c r="C36" i="13"/>
  <c r="C25" i="13"/>
  <c r="C44" i="13"/>
  <c r="C33" i="13"/>
  <c r="C22" i="13"/>
  <c r="C46" i="13"/>
  <c r="C26" i="13"/>
  <c r="C50" i="13"/>
  <c r="C49" i="13"/>
  <c r="C42" i="13"/>
  <c r="C38" i="13"/>
  <c r="C31" i="13"/>
  <c r="C27" i="13"/>
  <c r="C20" i="13"/>
  <c r="C19" i="13"/>
  <c r="M8" i="19"/>
  <c r="I8" i="19"/>
  <c r="H8" i="5" s="1"/>
  <c r="H8" i="19"/>
  <c r="G8" i="5" s="1"/>
  <c r="F8" i="19"/>
  <c r="C4" i="13"/>
  <c r="H35" i="13"/>
  <c r="H44" i="13"/>
  <c r="W14" i="17"/>
  <c r="V14" i="17"/>
  <c r="U14" i="17"/>
  <c r="E14" i="17" s="1"/>
  <c r="G16" i="13"/>
  <c r="D16" i="13"/>
  <c r="C16" i="13"/>
  <c r="H16" i="13"/>
  <c r="E16" i="13"/>
  <c r="E37" i="15"/>
  <c r="D37" i="15"/>
  <c r="E44" i="13"/>
  <c r="E33" i="13"/>
  <c r="E22" i="13"/>
  <c r="E41" i="13"/>
  <c r="E30" i="13"/>
  <c r="E49" i="13"/>
  <c r="E36" i="13"/>
  <c r="E29" i="13"/>
  <c r="E42" i="13"/>
  <c r="E38" i="13"/>
  <c r="E31" i="13"/>
  <c r="E27" i="13"/>
  <c r="E20" i="13"/>
  <c r="E12" i="13"/>
  <c r="D8" i="19"/>
  <c r="F8" i="5" s="1"/>
  <c r="H44" i="15"/>
  <c r="G44" i="15"/>
  <c r="F44" i="15"/>
  <c r="B44" i="15"/>
  <c r="H47" i="15"/>
  <c r="G47" i="15"/>
  <c r="F47" i="15"/>
  <c r="E47" i="15"/>
  <c r="D47" i="15"/>
  <c r="F44" i="13"/>
  <c r="F33" i="13"/>
  <c r="F22" i="13"/>
  <c r="F41" i="13"/>
  <c r="F30" i="13"/>
  <c r="F49" i="13"/>
  <c r="F36" i="13"/>
  <c r="F29" i="13"/>
  <c r="F19" i="13"/>
  <c r="F4" i="13"/>
  <c r="F52" i="13"/>
  <c r="E8" i="19"/>
  <c r="C8" i="5" s="1"/>
  <c r="M23" i="19"/>
  <c r="L23" i="19"/>
  <c r="K23" i="19"/>
  <c r="J23" i="19"/>
  <c r="I23" i="19"/>
  <c r="H23" i="5" s="1"/>
  <c r="F23" i="19"/>
  <c r="E23" i="19"/>
  <c r="C23" i="5" s="1"/>
  <c r="D23" i="19"/>
  <c r="F23" i="5" s="1"/>
  <c r="H23" i="19"/>
  <c r="G23" i="5" s="1"/>
  <c r="C23" i="19"/>
  <c r="B23" i="5" s="1"/>
  <c r="M41" i="19"/>
  <c r="L41" i="19"/>
  <c r="D41" i="19" s="1"/>
  <c r="F41" i="5" s="1"/>
  <c r="K41" i="19"/>
  <c r="I41" i="19"/>
  <c r="H41" i="5" s="1"/>
  <c r="D9" i="15"/>
  <c r="C9" i="15"/>
  <c r="B9" i="15"/>
  <c r="H9" i="15"/>
  <c r="E9" i="15"/>
  <c r="A11" i="16"/>
  <c r="G10" i="17"/>
  <c r="W10" i="17"/>
  <c r="T10" i="17"/>
  <c r="C10" i="17" s="1"/>
  <c r="O10" i="17" s="1"/>
  <c r="A23" i="15"/>
  <c r="A23" i="13"/>
  <c r="W22" i="17"/>
  <c r="F22" i="17"/>
  <c r="C22" i="17"/>
  <c r="O22" i="17" s="1"/>
  <c r="G41" i="13"/>
  <c r="G30" i="13"/>
  <c r="G52" i="13"/>
  <c r="G49" i="13"/>
  <c r="G38" i="13"/>
  <c r="G27" i="13"/>
  <c r="G4" i="13"/>
  <c r="G39" i="13"/>
  <c r="G32" i="13"/>
  <c r="G45" i="13"/>
  <c r="G34" i="13"/>
  <c r="G23" i="13"/>
  <c r="J8" i="19"/>
  <c r="C41" i="19"/>
  <c r="B41" i="5" s="1"/>
  <c r="G29" i="15"/>
  <c r="F29" i="15"/>
  <c r="A35" i="14"/>
  <c r="T34" i="17"/>
  <c r="C34" i="17" s="1"/>
  <c r="O34" i="17" s="1"/>
  <c r="A35" i="13"/>
  <c r="C40" i="15"/>
  <c r="A42" i="15"/>
  <c r="E41" i="17"/>
  <c r="D41" i="17"/>
  <c r="C41" i="17"/>
  <c r="O41" i="17" s="1"/>
  <c r="A42" i="16"/>
  <c r="A49" i="14"/>
  <c r="A49" i="15"/>
  <c r="H41" i="13"/>
  <c r="H30" i="13"/>
  <c r="H19" i="13"/>
  <c r="H52" i="13"/>
  <c r="H49" i="13"/>
  <c r="H38" i="13"/>
  <c r="H27" i="13"/>
  <c r="H39" i="13"/>
  <c r="H32" i="13"/>
  <c r="H12" i="13"/>
  <c r="H48" i="13"/>
  <c r="H37" i="13"/>
  <c r="H26" i="13"/>
  <c r="K36" i="19"/>
  <c r="J36" i="19"/>
  <c r="I36" i="19"/>
  <c r="H36" i="5" s="1"/>
  <c r="H36" i="19"/>
  <c r="G36" i="5" s="1"/>
  <c r="M48" i="19"/>
  <c r="L48" i="19"/>
  <c r="D48" i="19" s="1"/>
  <c r="F48" i="5" s="1"/>
  <c r="K48" i="19"/>
  <c r="G48" i="19" s="1"/>
  <c r="E48" i="5" s="1"/>
  <c r="J48" i="19"/>
  <c r="H48" i="19"/>
  <c r="G48" i="5" s="1"/>
  <c r="I48" i="19"/>
  <c r="H48" i="5" s="1"/>
  <c r="E48" i="19"/>
  <c r="C48" i="5" s="1"/>
  <c r="C5" i="15"/>
  <c r="B5" i="15"/>
  <c r="G17" i="17"/>
  <c r="A18" i="15"/>
  <c r="F17" i="17"/>
  <c r="E17" i="17"/>
  <c r="H25" i="15"/>
  <c r="G25" i="15"/>
  <c r="F25" i="15"/>
  <c r="E25" i="15"/>
  <c r="C25" i="15"/>
  <c r="B25" i="15"/>
  <c r="A28" i="13"/>
  <c r="A28" i="16"/>
  <c r="B45" i="15"/>
  <c r="G45" i="15"/>
  <c r="F45" i="15"/>
  <c r="E45" i="15"/>
  <c r="C45" i="15"/>
  <c r="U6" i="17"/>
  <c r="E6" i="17" s="1"/>
  <c r="T6" i="17"/>
  <c r="C6" i="17" s="1"/>
  <c r="O6" i="17" s="1"/>
  <c r="D20" i="15"/>
  <c r="C20" i="15"/>
  <c r="B20" i="15"/>
  <c r="W36" i="17"/>
  <c r="V36" i="17"/>
  <c r="U36" i="17"/>
  <c r="E36" i="17" s="1"/>
  <c r="G37" i="19"/>
  <c r="E37" i="5" s="1"/>
  <c r="F15" i="18"/>
  <c r="H48" i="14"/>
  <c r="H37" i="14"/>
  <c r="H26" i="14"/>
  <c r="H15" i="14"/>
  <c r="H4" i="14"/>
  <c r="H51" i="14" s="1"/>
  <c r="H53" i="14" s="1"/>
  <c r="H45" i="14"/>
  <c r="H34" i="14"/>
  <c r="H23" i="14"/>
  <c r="H12" i="14"/>
  <c r="H52" i="14"/>
  <c r="H49" i="14"/>
  <c r="H32" i="14"/>
  <c r="H25" i="14"/>
  <c r="H5" i="14"/>
  <c r="A32" i="15"/>
  <c r="E31" i="17"/>
  <c r="D31" i="17"/>
  <c r="C31" i="17"/>
  <c r="F39" i="15"/>
  <c r="E39" i="15"/>
  <c r="D39" i="15"/>
  <c r="C39" i="15"/>
  <c r="C49" i="15"/>
  <c r="B49" i="15"/>
  <c r="G15" i="18"/>
  <c r="B6" i="15"/>
  <c r="D6" i="17"/>
  <c r="D14" i="13"/>
  <c r="C14" i="13"/>
  <c r="A22" i="16"/>
  <c r="A22" i="15"/>
  <c r="V21" i="17"/>
  <c r="U21" i="17"/>
  <c r="E21" i="17" s="1"/>
  <c r="T21" i="17"/>
  <c r="C21" i="17" s="1"/>
  <c r="O21" i="17" s="1"/>
  <c r="D26" i="17"/>
  <c r="F31" i="17"/>
  <c r="B34" i="15"/>
  <c r="D36" i="17"/>
  <c r="A41" i="16"/>
  <c r="A41" i="15"/>
  <c r="M4" i="19"/>
  <c r="L4" i="19"/>
  <c r="D4" i="19" s="1"/>
  <c r="F4" i="5" s="1"/>
  <c r="J15" i="19"/>
  <c r="I15" i="19"/>
  <c r="H15" i="5" s="1"/>
  <c r="H15" i="19"/>
  <c r="G15" i="5" s="1"/>
  <c r="M50" i="19"/>
  <c r="K50" i="19"/>
  <c r="M30" i="19"/>
  <c r="I30" i="19"/>
  <c r="H30" i="5" s="1"/>
  <c r="H30" i="19"/>
  <c r="G30" i="5" s="1"/>
  <c r="F30" i="19"/>
  <c r="M43" i="19"/>
  <c r="L43" i="19"/>
  <c r="D43" i="19" s="1"/>
  <c r="F43" i="5" s="1"/>
  <c r="K43" i="19"/>
  <c r="F43" i="19"/>
  <c r="E43" i="19"/>
  <c r="C43" i="5" s="1"/>
  <c r="C43" i="19"/>
  <c r="B43" i="5" s="1"/>
  <c r="H37" i="19"/>
  <c r="G37" i="5" s="1"/>
  <c r="F37" i="19"/>
  <c r="E37" i="19"/>
  <c r="C37" i="5" s="1"/>
  <c r="C37" i="19"/>
  <c r="B37" i="5" s="1"/>
  <c r="H21" i="15"/>
  <c r="G21" i="15"/>
  <c r="F18" i="19"/>
  <c r="E18" i="19"/>
  <c r="C18" i="5" s="1"/>
  <c r="D18" i="19"/>
  <c r="F18" i="5" s="1"/>
  <c r="C18" i="19"/>
  <c r="B18" i="5" s="1"/>
  <c r="M18" i="19"/>
  <c r="I37" i="19"/>
  <c r="H37" i="5" s="1"/>
  <c r="E21" i="15"/>
  <c r="F6" i="15"/>
  <c r="E6" i="15"/>
  <c r="D6" i="15"/>
  <c r="C6" i="15"/>
  <c r="C16" i="17"/>
  <c r="O16" i="17" s="1"/>
  <c r="G19" i="13"/>
  <c r="F28" i="15"/>
  <c r="E28" i="15"/>
  <c r="D28" i="15"/>
  <c r="C28" i="15"/>
  <c r="H28" i="15"/>
  <c r="G28" i="15"/>
  <c r="C38" i="17"/>
  <c r="O38" i="17" s="1"/>
  <c r="F50" i="15"/>
  <c r="E50" i="15"/>
  <c r="D50" i="15"/>
  <c r="C50" i="15"/>
  <c r="K3" i="19"/>
  <c r="G46" i="19" s="1"/>
  <c r="E46" i="5" s="1"/>
  <c r="J3" i="19"/>
  <c r="I3" i="19"/>
  <c r="H3" i="19"/>
  <c r="C13" i="19"/>
  <c r="B13" i="5" s="1"/>
  <c r="H18" i="19"/>
  <c r="G18" i="5" s="1"/>
  <c r="F29" i="19"/>
  <c r="E29" i="19"/>
  <c r="C29" i="5" s="1"/>
  <c r="D29" i="19"/>
  <c r="F29" i="5" s="1"/>
  <c r="C29" i="19"/>
  <c r="B29" i="5" s="1"/>
  <c r="J37" i="19"/>
  <c r="F21" i="15"/>
  <c r="D16" i="17"/>
  <c r="C23" i="17"/>
  <c r="O23" i="17" s="1"/>
  <c r="E35" i="15"/>
  <c r="D35" i="15"/>
  <c r="C35" i="15"/>
  <c r="D38" i="17"/>
  <c r="C45" i="17"/>
  <c r="O45" i="17" s="1"/>
  <c r="F40" i="14"/>
  <c r="F29" i="14"/>
  <c r="F18" i="14"/>
  <c r="F7" i="14"/>
  <c r="F48" i="14"/>
  <c r="F37" i="14"/>
  <c r="F26" i="14"/>
  <c r="F15" i="14"/>
  <c r="F4" i="14"/>
  <c r="F51" i="14" s="1"/>
  <c r="F53" i="14" s="1"/>
  <c r="F45" i="14"/>
  <c r="C3" i="19"/>
  <c r="I18" i="19"/>
  <c r="H18" i="5" s="1"/>
  <c r="H29" i="19"/>
  <c r="G29" i="5" s="1"/>
  <c r="M32" i="19"/>
  <c r="L32" i="19"/>
  <c r="D32" i="19" s="1"/>
  <c r="F32" i="5" s="1"/>
  <c r="K32" i="19"/>
  <c r="J32" i="19"/>
  <c r="I32" i="19"/>
  <c r="H32" i="5" s="1"/>
  <c r="H32" i="19"/>
  <c r="G32" i="5" s="1"/>
  <c r="F32" i="19"/>
  <c r="K37" i="19"/>
  <c r="I49" i="19"/>
  <c r="H49" i="5" s="1"/>
  <c r="H49" i="19"/>
  <c r="G49" i="5" s="1"/>
  <c r="F49" i="19"/>
  <c r="E49" i="19"/>
  <c r="C49" i="5" s="1"/>
  <c r="M21" i="19"/>
  <c r="L21" i="19"/>
  <c r="K21" i="19"/>
  <c r="F21" i="19"/>
  <c r="E21" i="19"/>
  <c r="C21" i="5" s="1"/>
  <c r="D21" i="19"/>
  <c r="F21" i="5" s="1"/>
  <c r="C21" i="19"/>
  <c r="B21" i="5" s="1"/>
  <c r="L37" i="19"/>
  <c r="D37" i="19" s="1"/>
  <c r="F37" i="5" s="1"/>
  <c r="J46" i="19"/>
  <c r="I46" i="19"/>
  <c r="H46" i="5" s="1"/>
  <c r="H46" i="19"/>
  <c r="G46" i="5" s="1"/>
  <c r="E46" i="19"/>
  <c r="C46" i="5" s="1"/>
  <c r="C46" i="14"/>
  <c r="C35" i="14"/>
  <c r="C24" i="14"/>
  <c r="C13" i="14"/>
  <c r="C43" i="14"/>
  <c r="C32" i="14"/>
  <c r="C21" i="14"/>
  <c r="C10" i="14"/>
  <c r="C51" i="14" s="1"/>
  <c r="C53" i="14" s="1"/>
  <c r="K14" i="19"/>
  <c r="G14" i="19" s="1"/>
  <c r="E14" i="5" s="1"/>
  <c r="J14" i="19"/>
  <c r="I14" i="19"/>
  <c r="H14" i="5" s="1"/>
  <c r="H14" i="19"/>
  <c r="G14" i="5" s="1"/>
  <c r="D43" i="14"/>
  <c r="D32" i="14"/>
  <c r="D21" i="14"/>
  <c r="D10" i="14"/>
  <c r="D40" i="14"/>
  <c r="D29" i="14"/>
  <c r="D18" i="14"/>
  <c r="D7" i="14"/>
  <c r="D51" i="14" s="1"/>
  <c r="D53" i="14" s="1"/>
  <c r="C14" i="19"/>
  <c r="B14" i="5" s="1"/>
  <c r="E43" i="14"/>
  <c r="E32" i="14"/>
  <c r="E21" i="14"/>
  <c r="E10" i="14"/>
  <c r="E40" i="14"/>
  <c r="E29" i="14"/>
  <c r="E18" i="14"/>
  <c r="E7" i="14"/>
  <c r="E51" i="14" s="1"/>
  <c r="E53" i="14" s="1"/>
  <c r="I5" i="19"/>
  <c r="H5" i="5" s="1"/>
  <c r="H5" i="19"/>
  <c r="G5" i="5" s="1"/>
  <c r="F5" i="19"/>
  <c r="F51" i="19" s="1"/>
  <c r="E5" i="19"/>
  <c r="C5" i="5" s="1"/>
  <c r="M12" i="19"/>
  <c r="L12" i="19"/>
  <c r="D12" i="19" s="1"/>
  <c r="F12" i="5" s="1"/>
  <c r="K12" i="19"/>
  <c r="G5" i="19" s="1"/>
  <c r="E5" i="5" s="1"/>
  <c r="J12" i="19"/>
  <c r="I12" i="19"/>
  <c r="H12" i="5" s="1"/>
  <c r="E19" i="13"/>
  <c r="C9" i="19"/>
  <c r="B9" i="5" s="1"/>
  <c r="C20" i="19"/>
  <c r="B20" i="5" s="1"/>
  <c r="C31" i="19"/>
  <c r="B31" i="5" s="1"/>
  <c r="C42" i="19"/>
  <c r="B42" i="5" s="1"/>
  <c r="D9" i="19"/>
  <c r="F9" i="5" s="1"/>
  <c r="D20" i="19"/>
  <c r="F20" i="5" s="1"/>
  <c r="D31" i="19"/>
  <c r="F31" i="5" s="1"/>
  <c r="D42" i="19"/>
  <c r="F42" i="5" s="1"/>
  <c r="D25" i="5" l="1"/>
  <c r="R25" i="17"/>
  <c r="Q25" i="17"/>
  <c r="C26" i="12"/>
  <c r="H26" i="11"/>
  <c r="B26" i="12"/>
  <c r="G26" i="11"/>
  <c r="F26" i="11"/>
  <c r="D26" i="11"/>
  <c r="C26" i="11"/>
  <c r="H26" i="12"/>
  <c r="G26" i="12"/>
  <c r="F26" i="12"/>
  <c r="D26" i="12"/>
  <c r="E26" i="12"/>
  <c r="B26" i="11"/>
  <c r="E26" i="11"/>
  <c r="R11" i="17"/>
  <c r="Q11" i="17"/>
  <c r="H12" i="11"/>
  <c r="F12" i="11"/>
  <c r="E12" i="11"/>
  <c r="H12" i="12"/>
  <c r="G12" i="12"/>
  <c r="F12" i="12"/>
  <c r="E12" i="12"/>
  <c r="D12" i="12"/>
  <c r="G12" i="11"/>
  <c r="B12" i="12"/>
  <c r="C12" i="12"/>
  <c r="D12" i="11"/>
  <c r="B12" i="11"/>
  <c r="C12" i="11"/>
  <c r="D27" i="5"/>
  <c r="O2" i="17"/>
  <c r="C50" i="17"/>
  <c r="D21" i="5"/>
  <c r="R9" i="17"/>
  <c r="Q9" i="17"/>
  <c r="D10" i="11"/>
  <c r="H10" i="12"/>
  <c r="C10" i="11"/>
  <c r="G10" i="12"/>
  <c r="B10" i="11"/>
  <c r="E10" i="12"/>
  <c r="D10" i="12"/>
  <c r="F10" i="12"/>
  <c r="C10" i="12"/>
  <c r="H10" i="11"/>
  <c r="G10" i="11"/>
  <c r="E10" i="11"/>
  <c r="B10" i="12"/>
  <c r="F10" i="11"/>
  <c r="D34" i="5"/>
  <c r="R47" i="17"/>
  <c r="Q47" i="17"/>
  <c r="G48" i="12"/>
  <c r="F48" i="11"/>
  <c r="B48" i="12"/>
  <c r="E48" i="12"/>
  <c r="D48" i="12"/>
  <c r="C48" i="12"/>
  <c r="G48" i="11"/>
  <c r="E48" i="11"/>
  <c r="C48" i="11"/>
  <c r="B48" i="11"/>
  <c r="D48" i="11"/>
  <c r="H48" i="12"/>
  <c r="F48" i="12"/>
  <c r="H48" i="11"/>
  <c r="O25" i="17"/>
  <c r="G43" i="19"/>
  <c r="E43" i="5" s="1"/>
  <c r="D43" i="5" s="1"/>
  <c r="R21" i="17"/>
  <c r="Q21" i="17"/>
  <c r="G22" i="12"/>
  <c r="B22" i="12"/>
  <c r="F22" i="12"/>
  <c r="E22" i="12"/>
  <c r="E22" i="11"/>
  <c r="D22" i="11"/>
  <c r="C22" i="11"/>
  <c r="H22" i="12"/>
  <c r="D22" i="12"/>
  <c r="B22" i="11"/>
  <c r="C22" i="12"/>
  <c r="G22" i="11"/>
  <c r="H22" i="11"/>
  <c r="F22" i="11"/>
  <c r="G23" i="19"/>
  <c r="E23" i="5" s="1"/>
  <c r="G41" i="19"/>
  <c r="E41" i="5" s="1"/>
  <c r="P32" i="17"/>
  <c r="H33" i="6"/>
  <c r="F33" i="6"/>
  <c r="C33" i="6"/>
  <c r="G33" i="6"/>
  <c r="E33" i="6"/>
  <c r="D33" i="6"/>
  <c r="B33" i="6"/>
  <c r="R15" i="17"/>
  <c r="Q15" i="17"/>
  <c r="F16" i="12"/>
  <c r="H16" i="12"/>
  <c r="E16" i="12"/>
  <c r="D16" i="12"/>
  <c r="E16" i="11"/>
  <c r="C16" i="11"/>
  <c r="B16" i="11"/>
  <c r="D16" i="11"/>
  <c r="H16" i="11"/>
  <c r="F16" i="11"/>
  <c r="B16" i="12"/>
  <c r="G16" i="11"/>
  <c r="G16" i="12"/>
  <c r="C16" i="12"/>
  <c r="F7" i="27"/>
  <c r="E7" i="27"/>
  <c r="D7" i="27"/>
  <c r="C7" i="27"/>
  <c r="B7" i="27"/>
  <c r="H7" i="27"/>
  <c r="G7" i="27"/>
  <c r="G44" i="19"/>
  <c r="E44" i="5" s="1"/>
  <c r="R6" i="17"/>
  <c r="Q6" i="17"/>
  <c r="F7" i="11"/>
  <c r="E7" i="11"/>
  <c r="H7" i="12"/>
  <c r="D7" i="11"/>
  <c r="F7" i="12"/>
  <c r="B7" i="11"/>
  <c r="E7" i="12"/>
  <c r="G7" i="12"/>
  <c r="D7" i="12"/>
  <c r="C7" i="12"/>
  <c r="H7" i="11"/>
  <c r="G7" i="11"/>
  <c r="B7" i="12"/>
  <c r="C7" i="11"/>
  <c r="E33" i="10"/>
  <c r="S32" i="17"/>
  <c r="D33" i="10"/>
  <c r="C33" i="10"/>
  <c r="H33" i="10"/>
  <c r="G33" i="10"/>
  <c r="F33" i="10"/>
  <c r="B33" i="10"/>
  <c r="B51" i="9"/>
  <c r="B53" i="9" s="1"/>
  <c r="P47" i="17"/>
  <c r="G48" i="6"/>
  <c r="D48" i="6"/>
  <c r="H48" i="6"/>
  <c r="B48" i="6"/>
  <c r="F48" i="6"/>
  <c r="C48" i="6"/>
  <c r="E48" i="6"/>
  <c r="O11" i="17"/>
  <c r="C51" i="19"/>
  <c r="B3" i="5"/>
  <c r="B51" i="5" s="1"/>
  <c r="B53" i="5" s="1"/>
  <c r="G3" i="19"/>
  <c r="G20" i="19"/>
  <c r="E20" i="5" s="1"/>
  <c r="G17" i="19"/>
  <c r="E17" i="5" s="1"/>
  <c r="D17" i="5" s="1"/>
  <c r="B51" i="14"/>
  <c r="B53" i="14" s="1"/>
  <c r="F51" i="7"/>
  <c r="F53" i="7" s="1"/>
  <c r="G5" i="28"/>
  <c r="H5" i="28"/>
  <c r="F5" i="28"/>
  <c r="E5" i="28"/>
  <c r="D5" i="28"/>
  <c r="B5" i="28"/>
  <c r="C5" i="28"/>
  <c r="O18" i="17"/>
  <c r="D19" i="5" s="1"/>
  <c r="B4" i="27"/>
  <c r="O13" i="17"/>
  <c r="D14" i="5" s="1"/>
  <c r="R44" i="17"/>
  <c r="Q44" i="17"/>
  <c r="G45" i="12"/>
  <c r="H45" i="11"/>
  <c r="B45" i="12"/>
  <c r="C45" i="11"/>
  <c r="C45" i="12"/>
  <c r="H45" i="12"/>
  <c r="E45" i="12"/>
  <c r="D45" i="12"/>
  <c r="G45" i="11"/>
  <c r="B45" i="11"/>
  <c r="F45" i="12"/>
  <c r="F45" i="11"/>
  <c r="D45" i="11"/>
  <c r="E45" i="11"/>
  <c r="P2" i="17"/>
  <c r="H3" i="6"/>
  <c r="F3" i="6"/>
  <c r="E3" i="6"/>
  <c r="C3" i="6"/>
  <c r="B3" i="6"/>
  <c r="G3" i="6"/>
  <c r="D50" i="17"/>
  <c r="D3" i="6"/>
  <c r="P20" i="17"/>
  <c r="E21" i="6"/>
  <c r="C21" i="6"/>
  <c r="F21" i="6"/>
  <c r="B21" i="6"/>
  <c r="G21" i="6"/>
  <c r="D21" i="6"/>
  <c r="H21" i="6"/>
  <c r="P18" i="17"/>
  <c r="H19" i="6"/>
  <c r="F19" i="6"/>
  <c r="E19" i="6"/>
  <c r="D19" i="6"/>
  <c r="B19" i="6"/>
  <c r="G19" i="6"/>
  <c r="C19" i="6"/>
  <c r="S12" i="17"/>
  <c r="F13" i="10"/>
  <c r="E13" i="10"/>
  <c r="C13" i="10"/>
  <c r="B13" i="10"/>
  <c r="H13" i="10"/>
  <c r="G13" i="10"/>
  <c r="D13" i="10"/>
  <c r="P13" i="17"/>
  <c r="G14" i="6"/>
  <c r="D14" i="6"/>
  <c r="F14" i="6"/>
  <c r="E14" i="6"/>
  <c r="B14" i="6"/>
  <c r="H14" i="6"/>
  <c r="C14" i="6"/>
  <c r="D29" i="5"/>
  <c r="O47" i="17"/>
  <c r="D48" i="5" s="1"/>
  <c r="P15" i="17"/>
  <c r="H16" i="6"/>
  <c r="G16" i="6"/>
  <c r="F16" i="6"/>
  <c r="D16" i="6"/>
  <c r="C16" i="6"/>
  <c r="E16" i="6"/>
  <c r="B16" i="6"/>
  <c r="R18" i="17"/>
  <c r="Q18" i="17"/>
  <c r="D19" i="12"/>
  <c r="H19" i="12"/>
  <c r="F19" i="12"/>
  <c r="E19" i="12"/>
  <c r="B19" i="11"/>
  <c r="G19" i="12"/>
  <c r="C19" i="12"/>
  <c r="G19" i="11"/>
  <c r="F19" i="11"/>
  <c r="E19" i="11"/>
  <c r="H19" i="11"/>
  <c r="B19" i="12"/>
  <c r="D19" i="11"/>
  <c r="C19" i="11"/>
  <c r="R39" i="17"/>
  <c r="Q39" i="17"/>
  <c r="D40" i="11"/>
  <c r="G40" i="11"/>
  <c r="F40" i="11"/>
  <c r="E40" i="11"/>
  <c r="B40" i="11"/>
  <c r="G40" i="12"/>
  <c r="E40" i="12"/>
  <c r="D40" i="12"/>
  <c r="B40" i="12"/>
  <c r="H40" i="11"/>
  <c r="C40" i="11"/>
  <c r="H40" i="12"/>
  <c r="F40" i="12"/>
  <c r="C40" i="12"/>
  <c r="G19" i="10"/>
  <c r="F19" i="10"/>
  <c r="E19" i="10"/>
  <c r="B19" i="10"/>
  <c r="S18" i="17"/>
  <c r="D19" i="10"/>
  <c r="C19" i="10"/>
  <c r="H19" i="10"/>
  <c r="G51" i="15"/>
  <c r="G53" i="15" s="1"/>
  <c r="I51" i="19"/>
  <c r="H3" i="5"/>
  <c r="H51" i="5" s="1"/>
  <c r="H53" i="5" s="1"/>
  <c r="D23" i="5"/>
  <c r="P37" i="17"/>
  <c r="F38" i="6"/>
  <c r="E38" i="6"/>
  <c r="D38" i="6"/>
  <c r="B38" i="6"/>
  <c r="H38" i="6"/>
  <c r="G38" i="6"/>
  <c r="C38" i="6"/>
  <c r="H51" i="15"/>
  <c r="H53" i="15" s="1"/>
  <c r="R32" i="17"/>
  <c r="Q32" i="17"/>
  <c r="G33" i="12"/>
  <c r="B33" i="12"/>
  <c r="B33" i="11"/>
  <c r="H33" i="12"/>
  <c r="E33" i="12"/>
  <c r="D33" i="12"/>
  <c r="C33" i="12"/>
  <c r="H33" i="11"/>
  <c r="G33" i="11"/>
  <c r="E33" i="11"/>
  <c r="D33" i="11"/>
  <c r="F33" i="12"/>
  <c r="C33" i="11"/>
  <c r="F33" i="11"/>
  <c r="G25" i="19"/>
  <c r="E25" i="5" s="1"/>
  <c r="G36" i="19"/>
  <c r="E36" i="5" s="1"/>
  <c r="R2" i="17"/>
  <c r="Q2" i="17"/>
  <c r="E3" i="12"/>
  <c r="H3" i="12"/>
  <c r="G3" i="12"/>
  <c r="F3" i="12"/>
  <c r="C3" i="12"/>
  <c r="B3" i="12"/>
  <c r="H3" i="11"/>
  <c r="B3" i="11"/>
  <c r="C3" i="11"/>
  <c r="E50" i="17"/>
  <c r="D3" i="12"/>
  <c r="E3" i="11"/>
  <c r="F3" i="11"/>
  <c r="G3" i="11"/>
  <c r="D3" i="11"/>
  <c r="R41" i="17"/>
  <c r="Q41" i="17"/>
  <c r="G42" i="12"/>
  <c r="B42" i="12"/>
  <c r="E42" i="11"/>
  <c r="H42" i="12"/>
  <c r="F42" i="12"/>
  <c r="E42" i="12"/>
  <c r="D42" i="12"/>
  <c r="G42" i="11"/>
  <c r="F42" i="11"/>
  <c r="D42" i="11"/>
  <c r="C42" i="11"/>
  <c r="B42" i="11"/>
  <c r="C42" i="12"/>
  <c r="H42" i="11"/>
  <c r="O3" i="17"/>
  <c r="D4" i="5" s="1"/>
  <c r="R20" i="17"/>
  <c r="Q20" i="17"/>
  <c r="D21" i="11"/>
  <c r="C21" i="11"/>
  <c r="B21" i="11"/>
  <c r="H21" i="11"/>
  <c r="H21" i="12"/>
  <c r="G21" i="11"/>
  <c r="G21" i="12"/>
  <c r="F21" i="12"/>
  <c r="F21" i="11"/>
  <c r="E21" i="12"/>
  <c r="E21" i="11"/>
  <c r="D21" i="12"/>
  <c r="B21" i="12"/>
  <c r="C21" i="12"/>
  <c r="G16" i="19"/>
  <c r="E16" i="5" s="1"/>
  <c r="E23" i="10"/>
  <c r="D23" i="10"/>
  <c r="S22" i="17"/>
  <c r="H23" i="10"/>
  <c r="G23" i="10"/>
  <c r="F23" i="10"/>
  <c r="B23" i="10"/>
  <c r="C23" i="10"/>
  <c r="H7" i="28"/>
  <c r="G7" i="28"/>
  <c r="F7" i="28"/>
  <c r="E7" i="28"/>
  <c r="D7" i="28"/>
  <c r="C7" i="28"/>
  <c r="B7" i="28"/>
  <c r="F51" i="5"/>
  <c r="F53" i="5" s="1"/>
  <c r="G18" i="19"/>
  <c r="E18" i="5" s="1"/>
  <c r="U50" i="17"/>
  <c r="G2" i="27"/>
  <c r="T50" i="17"/>
  <c r="G50" i="17"/>
  <c r="H51" i="19"/>
  <c r="G3" i="5"/>
  <c r="G51" i="5" s="1"/>
  <c r="G53" i="5" s="1"/>
  <c r="G47" i="19"/>
  <c r="E47" i="5" s="1"/>
  <c r="D47" i="5" s="1"/>
  <c r="R7" i="17"/>
  <c r="Q7" i="17"/>
  <c r="D8" i="12"/>
  <c r="B8" i="12"/>
  <c r="C8" i="12"/>
  <c r="E8" i="11"/>
  <c r="D8" i="11"/>
  <c r="C8" i="11"/>
  <c r="B8" i="11"/>
  <c r="H8" i="12"/>
  <c r="F8" i="12"/>
  <c r="E8" i="12"/>
  <c r="G8" i="12"/>
  <c r="H8" i="11"/>
  <c r="F8" i="11"/>
  <c r="G8" i="11"/>
  <c r="G21" i="19"/>
  <c r="E21" i="5" s="1"/>
  <c r="S43" i="17"/>
  <c r="E44" i="10"/>
  <c r="D44" i="10"/>
  <c r="C44" i="10"/>
  <c r="H44" i="10"/>
  <c r="G44" i="10"/>
  <c r="F44" i="10"/>
  <c r="B44" i="10"/>
  <c r="O9" i="17"/>
  <c r="D10" i="5" s="1"/>
  <c r="R46" i="17"/>
  <c r="Q46" i="17"/>
  <c r="B47" i="12"/>
  <c r="H47" i="12"/>
  <c r="G47" i="12"/>
  <c r="F47" i="11"/>
  <c r="E47" i="11"/>
  <c r="D47" i="11"/>
  <c r="C47" i="11"/>
  <c r="C47" i="12"/>
  <c r="H47" i="11"/>
  <c r="G47" i="11"/>
  <c r="B47" i="11"/>
  <c r="F47" i="12"/>
  <c r="E47" i="12"/>
  <c r="D47" i="12"/>
  <c r="S24" i="17"/>
  <c r="C25" i="10"/>
  <c r="B25" i="10"/>
  <c r="G25" i="10"/>
  <c r="F25" i="10"/>
  <c r="E25" i="10"/>
  <c r="D25" i="10"/>
  <c r="H25" i="10"/>
  <c r="G15" i="19"/>
  <c r="E15" i="5" s="1"/>
  <c r="P24" i="17"/>
  <c r="G25" i="6"/>
  <c r="E25" i="6"/>
  <c r="D25" i="6"/>
  <c r="B25" i="6"/>
  <c r="H25" i="6"/>
  <c r="F25" i="6"/>
  <c r="C25" i="6"/>
  <c r="G51" i="13"/>
  <c r="G53" i="13" s="1"/>
  <c r="G6" i="19"/>
  <c r="E6" i="5" s="1"/>
  <c r="E2" i="27" s="1"/>
  <c r="P49" i="17"/>
  <c r="F50" i="6"/>
  <c r="D50" i="6"/>
  <c r="C50" i="6"/>
  <c r="H50" i="6"/>
  <c r="G50" i="6"/>
  <c r="E50" i="6"/>
  <c r="B50" i="6"/>
  <c r="O39" i="17"/>
  <c r="D40" i="5" s="1"/>
  <c r="G29" i="19"/>
  <c r="E29" i="5" s="1"/>
  <c r="G2" i="28"/>
  <c r="O31" i="17"/>
  <c r="D32" i="5" s="1"/>
  <c r="G26" i="19"/>
  <c r="E26" i="5" s="1"/>
  <c r="G40" i="19"/>
  <c r="E40" i="5" s="1"/>
  <c r="R35" i="17"/>
  <c r="Q35" i="17"/>
  <c r="B36" i="12"/>
  <c r="G36" i="12"/>
  <c r="D36" i="11"/>
  <c r="C36" i="11"/>
  <c r="B36" i="11"/>
  <c r="D36" i="12"/>
  <c r="C36" i="12"/>
  <c r="H36" i="11"/>
  <c r="F36" i="12"/>
  <c r="E36" i="11"/>
  <c r="F36" i="11"/>
  <c r="H36" i="12"/>
  <c r="E36" i="12"/>
  <c r="G36" i="11"/>
  <c r="R49" i="17"/>
  <c r="Q49" i="17"/>
  <c r="G50" i="11"/>
  <c r="H50" i="12"/>
  <c r="G50" i="12"/>
  <c r="F50" i="12"/>
  <c r="E50" i="12"/>
  <c r="C50" i="12"/>
  <c r="F50" i="11"/>
  <c r="B50" i="12"/>
  <c r="E50" i="11"/>
  <c r="D50" i="11"/>
  <c r="D50" i="12"/>
  <c r="H50" i="11"/>
  <c r="C50" i="11"/>
  <c r="B50" i="11"/>
  <c r="D51" i="19"/>
  <c r="V50" i="17"/>
  <c r="P39" i="17"/>
  <c r="G40" i="6"/>
  <c r="E40" i="6"/>
  <c r="B40" i="6"/>
  <c r="C40" i="6"/>
  <c r="D40" i="6"/>
  <c r="H40" i="6"/>
  <c r="F40" i="6"/>
  <c r="B2" i="27"/>
  <c r="R5" i="17"/>
  <c r="Q5" i="17"/>
  <c r="C6" i="12"/>
  <c r="H6" i="12"/>
  <c r="G6" i="12"/>
  <c r="E6" i="11"/>
  <c r="E2" i="28" s="1"/>
  <c r="C6" i="11"/>
  <c r="C2" i="28" s="1"/>
  <c r="B6" i="11"/>
  <c r="B2" i="28" s="1"/>
  <c r="F6" i="12"/>
  <c r="F3" i="28" s="1"/>
  <c r="D6" i="12"/>
  <c r="D3" i="28" s="1"/>
  <c r="B6" i="12"/>
  <c r="B3" i="28" s="1"/>
  <c r="H6" i="11"/>
  <c r="H2" i="28" s="1"/>
  <c r="E6" i="12"/>
  <c r="F6" i="11"/>
  <c r="F2" i="28" s="1"/>
  <c r="D6" i="11"/>
  <c r="D2" i="28" s="1"/>
  <c r="G6" i="11"/>
  <c r="P41" i="17"/>
  <c r="H42" i="6"/>
  <c r="E42" i="6"/>
  <c r="G42" i="6"/>
  <c r="F42" i="6"/>
  <c r="D42" i="6"/>
  <c r="B42" i="6"/>
  <c r="C42" i="6"/>
  <c r="S39" i="17"/>
  <c r="H40" i="10"/>
  <c r="G40" i="10"/>
  <c r="C40" i="10"/>
  <c r="F40" i="10"/>
  <c r="D40" i="10"/>
  <c r="E40" i="10"/>
  <c r="B40" i="10"/>
  <c r="G50" i="19"/>
  <c r="E50" i="5" s="1"/>
  <c r="D50" i="5" s="1"/>
  <c r="G35" i="19"/>
  <c r="E35" i="5" s="1"/>
  <c r="P7" i="17"/>
  <c r="G8" i="6"/>
  <c r="E8" i="6"/>
  <c r="B8" i="6"/>
  <c r="H8" i="6"/>
  <c r="F8" i="6"/>
  <c r="D8" i="6"/>
  <c r="C8" i="6"/>
  <c r="S9" i="17"/>
  <c r="H10" i="10"/>
  <c r="B10" i="10"/>
  <c r="D10" i="10"/>
  <c r="G10" i="10"/>
  <c r="F10" i="10"/>
  <c r="E10" i="10"/>
  <c r="C10" i="10"/>
  <c r="G49" i="19"/>
  <c r="E49" i="5" s="1"/>
  <c r="D49" i="5" s="1"/>
  <c r="R14" i="17"/>
  <c r="Q14" i="17"/>
  <c r="H15" i="11"/>
  <c r="G15" i="11"/>
  <c r="F15" i="11"/>
  <c r="D15" i="11"/>
  <c r="C15" i="11"/>
  <c r="E15" i="12"/>
  <c r="E15" i="11"/>
  <c r="D15" i="12"/>
  <c r="B15" i="11"/>
  <c r="C15" i="12"/>
  <c r="B15" i="12"/>
  <c r="G15" i="12"/>
  <c r="F15" i="12"/>
  <c r="H15" i="12"/>
  <c r="H2" i="27"/>
  <c r="P31" i="17"/>
  <c r="E32" i="6"/>
  <c r="C32" i="6"/>
  <c r="H32" i="6"/>
  <c r="F32" i="6"/>
  <c r="D32" i="6"/>
  <c r="G32" i="6"/>
  <c r="B32" i="6"/>
  <c r="R36" i="17"/>
  <c r="Q36" i="17"/>
  <c r="H37" i="11"/>
  <c r="G37" i="11"/>
  <c r="F37" i="11"/>
  <c r="H37" i="12"/>
  <c r="D37" i="11"/>
  <c r="G37" i="12"/>
  <c r="C37" i="11"/>
  <c r="F37" i="12"/>
  <c r="D37" i="12"/>
  <c r="C37" i="12"/>
  <c r="B37" i="12"/>
  <c r="E37" i="11"/>
  <c r="B37" i="11"/>
  <c r="E37" i="12"/>
  <c r="R17" i="17"/>
  <c r="Q17" i="17"/>
  <c r="F18" i="11"/>
  <c r="E18" i="11"/>
  <c r="D18" i="11"/>
  <c r="B18" i="11"/>
  <c r="H18" i="12"/>
  <c r="G18" i="12"/>
  <c r="H18" i="11"/>
  <c r="F18" i="12"/>
  <c r="G18" i="11"/>
  <c r="D18" i="12"/>
  <c r="C18" i="12"/>
  <c r="B18" i="12"/>
  <c r="E18" i="12"/>
  <c r="C18" i="11"/>
  <c r="B50" i="10"/>
  <c r="F50" i="10"/>
  <c r="E50" i="10"/>
  <c r="D50" i="10"/>
  <c r="C50" i="10"/>
  <c r="S49" i="17"/>
  <c r="H50" i="10"/>
  <c r="G50" i="10"/>
  <c r="O19" i="17"/>
  <c r="D20" i="5" s="1"/>
  <c r="S44" i="17"/>
  <c r="E45" i="10"/>
  <c r="D45" i="10"/>
  <c r="C45" i="10"/>
  <c r="B45" i="10"/>
  <c r="G45" i="10"/>
  <c r="F45" i="10"/>
  <c r="H45" i="10"/>
  <c r="O43" i="17"/>
  <c r="C51" i="13"/>
  <c r="C53" i="13" s="1"/>
  <c r="C2" i="27"/>
  <c r="G51" i="7"/>
  <c r="G53" i="7" s="1"/>
  <c r="P9" i="17"/>
  <c r="E10" i="6"/>
  <c r="C10" i="6"/>
  <c r="H10" i="6"/>
  <c r="F10" i="6"/>
  <c r="D10" i="6"/>
  <c r="G10" i="6"/>
  <c r="B10" i="6"/>
  <c r="S20" i="17"/>
  <c r="H21" i="10"/>
  <c r="G21" i="10"/>
  <c r="F21" i="10"/>
  <c r="D21" i="10"/>
  <c r="C21" i="10"/>
  <c r="E21" i="10"/>
  <c r="B21" i="10"/>
  <c r="C51" i="5"/>
  <c r="C53" i="5" s="1"/>
  <c r="D28" i="5"/>
  <c r="G28" i="19"/>
  <c r="E28" i="5" s="1"/>
  <c r="G38" i="19"/>
  <c r="E38" i="5" s="1"/>
  <c r="D35" i="5"/>
  <c r="O15" i="17"/>
  <c r="G7" i="19"/>
  <c r="E7" i="5" s="1"/>
  <c r="D7" i="5" s="1"/>
  <c r="C51" i="15"/>
  <c r="C53" i="15" s="1"/>
  <c r="B51" i="13"/>
  <c r="B53" i="13" s="1"/>
  <c r="D46" i="5"/>
  <c r="B51" i="7"/>
  <c r="B53" i="7" s="1"/>
  <c r="O14" i="17"/>
  <c r="D15" i="5" s="1"/>
  <c r="P36" i="17"/>
  <c r="G37" i="6"/>
  <c r="D37" i="6"/>
  <c r="H37" i="6"/>
  <c r="F37" i="6"/>
  <c r="E37" i="6"/>
  <c r="C37" i="6"/>
  <c r="B37" i="6"/>
  <c r="P4" i="17"/>
  <c r="F5" i="6"/>
  <c r="D5" i="6"/>
  <c r="H5" i="6"/>
  <c r="B5" i="6"/>
  <c r="G5" i="6"/>
  <c r="E5" i="6"/>
  <c r="C5" i="6"/>
  <c r="P19" i="17"/>
  <c r="H20" i="6"/>
  <c r="F20" i="6"/>
  <c r="G20" i="6"/>
  <c r="E20" i="6"/>
  <c r="C20" i="6"/>
  <c r="B20" i="6"/>
  <c r="D20" i="6"/>
  <c r="D37" i="5"/>
  <c r="C3" i="28"/>
  <c r="H3" i="28"/>
  <c r="G3" i="28"/>
  <c r="E3" i="28"/>
  <c r="F51" i="13"/>
  <c r="F53" i="13" s="1"/>
  <c r="S19" i="17"/>
  <c r="H20" i="10"/>
  <c r="G20" i="10"/>
  <c r="C20" i="10"/>
  <c r="B20" i="10"/>
  <c r="F20" i="10"/>
  <c r="E20" i="10"/>
  <c r="D20" i="10"/>
  <c r="S28" i="17"/>
  <c r="G29" i="10"/>
  <c r="H29" i="10"/>
  <c r="F29" i="10"/>
  <c r="D29" i="10"/>
  <c r="B29" i="10"/>
  <c r="C29" i="10"/>
  <c r="E29" i="10"/>
  <c r="G4" i="28"/>
  <c r="F4" i="28"/>
  <c r="E4" i="28"/>
  <c r="D4" i="28"/>
  <c r="C4" i="28"/>
  <c r="H4" i="28"/>
  <c r="B4" i="28"/>
  <c r="D51" i="13"/>
  <c r="D53" i="13" s="1"/>
  <c r="H51" i="13"/>
  <c r="H53" i="13" s="1"/>
  <c r="O17" i="17"/>
  <c r="R37" i="17"/>
  <c r="Q37" i="17"/>
  <c r="H38" i="12"/>
  <c r="G38" i="12"/>
  <c r="D38" i="12"/>
  <c r="C38" i="12"/>
  <c r="B38" i="12"/>
  <c r="F38" i="12"/>
  <c r="E38" i="12"/>
  <c r="H38" i="11"/>
  <c r="F38" i="11"/>
  <c r="D38" i="11"/>
  <c r="C38" i="11"/>
  <c r="G38" i="11"/>
  <c r="E38" i="11"/>
  <c r="B38" i="11"/>
  <c r="F51" i="15"/>
  <c r="F53" i="15" s="1"/>
  <c r="R3" i="17"/>
  <c r="Q3" i="17"/>
  <c r="H4" i="11"/>
  <c r="G4" i="11"/>
  <c r="H4" i="12"/>
  <c r="F4" i="11"/>
  <c r="F4" i="12"/>
  <c r="D4" i="11"/>
  <c r="E4" i="12"/>
  <c r="C4" i="11"/>
  <c r="E4" i="11"/>
  <c r="B4" i="12"/>
  <c r="G4" i="12"/>
  <c r="B4" i="11"/>
  <c r="C4" i="12"/>
  <c r="D4" i="12"/>
  <c r="C3" i="10"/>
  <c r="B3" i="10"/>
  <c r="S2" i="17"/>
  <c r="S50" i="17" s="1"/>
  <c r="H3" i="10"/>
  <c r="F3" i="10"/>
  <c r="G3" i="10"/>
  <c r="F50" i="17"/>
  <c r="E3" i="10"/>
  <c r="D3" i="10"/>
  <c r="J51" i="19"/>
  <c r="G10" i="19"/>
  <c r="E10" i="5" s="1"/>
  <c r="E51" i="19"/>
  <c r="E3" i="27"/>
  <c r="D3" i="27"/>
  <c r="C3" i="27"/>
  <c r="B3" i="27"/>
  <c r="S46" i="17"/>
  <c r="C47" i="10"/>
  <c r="B47" i="10"/>
  <c r="G47" i="10"/>
  <c r="F47" i="10"/>
  <c r="E47" i="10"/>
  <c r="H47" i="10"/>
  <c r="D47" i="10"/>
  <c r="P44" i="17"/>
  <c r="F45" i="6"/>
  <c r="G45" i="6"/>
  <c r="H45" i="6"/>
  <c r="C45" i="6"/>
  <c r="D45" i="6"/>
  <c r="B45" i="6"/>
  <c r="E45" i="6"/>
  <c r="P38" i="17"/>
  <c r="G39" i="6"/>
  <c r="D39" i="6"/>
  <c r="F39" i="6"/>
  <c r="E39" i="6"/>
  <c r="B39" i="6"/>
  <c r="H39" i="6"/>
  <c r="C39" i="6"/>
  <c r="D36" i="5"/>
  <c r="D51" i="7"/>
  <c r="D53" i="7" s="1"/>
  <c r="G32" i="19"/>
  <c r="E32" i="5" s="1"/>
  <c r="P16" i="17"/>
  <c r="H17" i="6"/>
  <c r="E17" i="6"/>
  <c r="F17" i="6"/>
  <c r="D17" i="6"/>
  <c r="G17" i="6"/>
  <c r="C17" i="6"/>
  <c r="B17" i="6"/>
  <c r="H32" i="10"/>
  <c r="B32" i="10"/>
  <c r="C32" i="10"/>
  <c r="S31" i="17"/>
  <c r="D32" i="10"/>
  <c r="F32" i="10"/>
  <c r="G32" i="10"/>
  <c r="E32" i="10"/>
  <c r="L51" i="19"/>
  <c r="D41" i="5"/>
  <c r="O5" i="17"/>
  <c r="D6" i="5" s="1"/>
  <c r="D2" i="27" s="1"/>
  <c r="D51" i="15"/>
  <c r="D53" i="15" s="1"/>
  <c r="P11" i="17"/>
  <c r="F12" i="6"/>
  <c r="H12" i="6"/>
  <c r="G12" i="6"/>
  <c r="E12" i="6"/>
  <c r="C12" i="6"/>
  <c r="B12" i="6"/>
  <c r="D12" i="6"/>
  <c r="O8" i="17"/>
  <c r="H6" i="28"/>
  <c r="G6" i="28"/>
  <c r="E6" i="28"/>
  <c r="F6" i="28"/>
  <c r="D6" i="28"/>
  <c r="C6" i="28"/>
  <c r="B6" i="28"/>
  <c r="E51" i="15"/>
  <c r="E53" i="15" s="1"/>
  <c r="S15" i="17"/>
  <c r="H16" i="10"/>
  <c r="G16" i="10"/>
  <c r="D16" i="10"/>
  <c r="F16" i="10"/>
  <c r="E16" i="10"/>
  <c r="C16" i="10"/>
  <c r="B16" i="10"/>
  <c r="D8" i="5"/>
  <c r="G12" i="19"/>
  <c r="E12" i="5" s="1"/>
  <c r="P6" i="17"/>
  <c r="G7" i="6"/>
  <c r="E7" i="6"/>
  <c r="B7" i="6"/>
  <c r="F7" i="6"/>
  <c r="C7" i="6"/>
  <c r="H7" i="6"/>
  <c r="D7" i="6"/>
  <c r="R33" i="17"/>
  <c r="Q33" i="17"/>
  <c r="H34" i="12"/>
  <c r="H34" i="11"/>
  <c r="F34" i="12"/>
  <c r="F34" i="11"/>
  <c r="E34" i="12"/>
  <c r="E34" i="11"/>
  <c r="C34" i="12"/>
  <c r="B34" i="12"/>
  <c r="B34" i="11"/>
  <c r="G34" i="12"/>
  <c r="D34" i="12"/>
  <c r="G34" i="11"/>
  <c r="D34" i="11"/>
  <c r="C34" i="11"/>
  <c r="E5" i="27"/>
  <c r="D5" i="27"/>
  <c r="C5" i="27"/>
  <c r="B5" i="27"/>
  <c r="G5" i="27"/>
  <c r="F5" i="27"/>
  <c r="H5" i="27"/>
  <c r="E51" i="7"/>
  <c r="E53" i="7" s="1"/>
  <c r="R19" i="17"/>
  <c r="Q19" i="17"/>
  <c r="C20" i="12"/>
  <c r="B20" i="12"/>
  <c r="H20" i="11"/>
  <c r="G20" i="11"/>
  <c r="E20" i="12"/>
  <c r="D20" i="11"/>
  <c r="B20" i="11"/>
  <c r="E20" i="11"/>
  <c r="C20" i="11"/>
  <c r="G20" i="12"/>
  <c r="F20" i="12"/>
  <c r="H20" i="12"/>
  <c r="D20" i="12"/>
  <c r="F20" i="11"/>
  <c r="S47" i="17"/>
  <c r="H48" i="10"/>
  <c r="G48" i="10"/>
  <c r="F48" i="10"/>
  <c r="E48" i="10"/>
  <c r="C48" i="10"/>
  <c r="B48" i="10"/>
  <c r="D48" i="10"/>
  <c r="S3" i="17"/>
  <c r="G4" i="10"/>
  <c r="F4" i="10"/>
  <c r="E4" i="10"/>
  <c r="C4" i="10"/>
  <c r="B4" i="10"/>
  <c r="H4" i="10"/>
  <c r="D4" i="10"/>
  <c r="P46" i="17"/>
  <c r="C47" i="6"/>
  <c r="E47" i="6"/>
  <c r="D47" i="6"/>
  <c r="B47" i="6"/>
  <c r="H47" i="6"/>
  <c r="F47" i="6"/>
  <c r="G47" i="6"/>
  <c r="G11" i="19"/>
  <c r="E11" i="5" s="1"/>
  <c r="D11" i="5" s="1"/>
  <c r="K51" i="19"/>
  <c r="G13" i="19"/>
  <c r="E13" i="5" s="1"/>
  <c r="D13" i="5" s="1"/>
  <c r="G19" i="19"/>
  <c r="E19" i="5" s="1"/>
  <c r="G4" i="19"/>
  <c r="E4" i="5" s="1"/>
  <c r="G42" i="19"/>
  <c r="E42" i="5" s="1"/>
  <c r="D42" i="5" s="1"/>
  <c r="G9" i="19"/>
  <c r="E9" i="5" s="1"/>
  <c r="G33" i="19"/>
  <c r="E33" i="5" s="1"/>
  <c r="G24" i="19"/>
  <c r="E24" i="5" s="1"/>
  <c r="D24" i="5" s="1"/>
  <c r="G22" i="19"/>
  <c r="E22" i="5" s="1"/>
  <c r="D22" i="5" s="1"/>
  <c r="S42" i="17"/>
  <c r="H43" i="10"/>
  <c r="F43" i="10"/>
  <c r="D43" i="10"/>
  <c r="C43" i="10"/>
  <c r="G43" i="10"/>
  <c r="B43" i="10"/>
  <c r="E43" i="10"/>
  <c r="H51" i="7"/>
  <c r="H53" i="7" s="1"/>
  <c r="D31" i="5"/>
  <c r="R24" i="17"/>
  <c r="Q24" i="17"/>
  <c r="E25" i="12"/>
  <c r="G25" i="12"/>
  <c r="F25" i="12"/>
  <c r="G25" i="11"/>
  <c r="F25" i="11"/>
  <c r="E25" i="11"/>
  <c r="D25" i="11"/>
  <c r="B25" i="11"/>
  <c r="H25" i="12"/>
  <c r="D25" i="12"/>
  <c r="C25" i="11"/>
  <c r="B25" i="12"/>
  <c r="H25" i="11"/>
  <c r="C25" i="12"/>
  <c r="D39" i="5"/>
  <c r="G8" i="19"/>
  <c r="E8" i="5" s="1"/>
  <c r="D12" i="10"/>
  <c r="C12" i="10"/>
  <c r="B12" i="10"/>
  <c r="S11" i="17"/>
  <c r="H12" i="10"/>
  <c r="F12" i="10"/>
  <c r="G12" i="10"/>
  <c r="E12" i="10"/>
  <c r="R31" i="17"/>
  <c r="Q31" i="17"/>
  <c r="B32" i="12"/>
  <c r="D32" i="11"/>
  <c r="C32" i="11"/>
  <c r="B32" i="11"/>
  <c r="H32" i="11"/>
  <c r="G32" i="11"/>
  <c r="E32" i="11"/>
  <c r="F32" i="12"/>
  <c r="F32" i="11"/>
  <c r="C32" i="12"/>
  <c r="E32" i="12"/>
  <c r="D32" i="12"/>
  <c r="H32" i="12"/>
  <c r="G32" i="12"/>
  <c r="S17" i="17"/>
  <c r="G18" i="10"/>
  <c r="F18" i="10"/>
  <c r="E18" i="10"/>
  <c r="D18" i="10"/>
  <c r="B18" i="10"/>
  <c r="H18" i="10"/>
  <c r="C18" i="10"/>
  <c r="R13" i="17"/>
  <c r="Q13" i="17"/>
  <c r="E14" i="12"/>
  <c r="B14" i="12"/>
  <c r="H14" i="11"/>
  <c r="H14" i="12"/>
  <c r="F14" i="11"/>
  <c r="G14" i="12"/>
  <c r="E14" i="11"/>
  <c r="F14" i="12"/>
  <c r="C14" i="12"/>
  <c r="G14" i="11"/>
  <c r="D14" i="11"/>
  <c r="B14" i="11"/>
  <c r="C14" i="11"/>
  <c r="D14" i="12"/>
  <c r="R43" i="17"/>
  <c r="Q43" i="17"/>
  <c r="D44" i="12"/>
  <c r="C44" i="12"/>
  <c r="H44" i="12"/>
  <c r="F44" i="12"/>
  <c r="E44" i="12"/>
  <c r="D44" i="11"/>
  <c r="B44" i="11"/>
  <c r="G44" i="12"/>
  <c r="H44" i="11"/>
  <c r="G44" i="11"/>
  <c r="E44" i="11"/>
  <c r="C44" i="11"/>
  <c r="B44" i="12"/>
  <c r="F44" i="11"/>
  <c r="C51" i="7"/>
  <c r="C53" i="7" s="1"/>
  <c r="P26" i="17"/>
  <c r="F27" i="6"/>
  <c r="D27" i="6"/>
  <c r="B27" i="6"/>
  <c r="E27" i="6"/>
  <c r="G27" i="6"/>
  <c r="H27" i="6"/>
  <c r="C27" i="6"/>
  <c r="G30" i="19"/>
  <c r="E30" i="5" s="1"/>
  <c r="D30" i="5" s="1"/>
  <c r="O37" i="17"/>
  <c r="D38" i="5" s="1"/>
  <c r="B51" i="15"/>
  <c r="B53" i="15" s="1"/>
  <c r="O32" i="17"/>
  <c r="P12" i="17"/>
  <c r="C13" i="6"/>
  <c r="G13" i="6"/>
  <c r="E13" i="6"/>
  <c r="H13" i="6"/>
  <c r="D13" i="6"/>
  <c r="B13" i="6"/>
  <c r="F13" i="6"/>
  <c r="R28" i="17"/>
  <c r="Q28" i="17"/>
  <c r="C29" i="12"/>
  <c r="F29" i="11"/>
  <c r="B29" i="12"/>
  <c r="E29" i="11"/>
  <c r="D29" i="11"/>
  <c r="B29" i="11"/>
  <c r="G29" i="11"/>
  <c r="C29" i="11"/>
  <c r="H29" i="12"/>
  <c r="G29" i="12"/>
  <c r="F29" i="12"/>
  <c r="E29" i="12"/>
  <c r="H29" i="11"/>
  <c r="D29" i="12"/>
  <c r="P5" i="17"/>
  <c r="G6" i="6"/>
  <c r="G3" i="27" s="1"/>
  <c r="F6" i="6"/>
  <c r="F3" i="27" s="1"/>
  <c r="H6" i="6"/>
  <c r="H3" i="27" s="1"/>
  <c r="C6" i="6"/>
  <c r="E6" i="6"/>
  <c r="D6" i="6"/>
  <c r="B6" i="6"/>
  <c r="R8" i="17"/>
  <c r="Q8" i="17"/>
  <c r="H9" i="11"/>
  <c r="G9" i="11"/>
  <c r="C9" i="12"/>
  <c r="F9" i="11"/>
  <c r="B9" i="11"/>
  <c r="G9" i="12"/>
  <c r="F9" i="12"/>
  <c r="E9" i="12"/>
  <c r="B9" i="12"/>
  <c r="D9" i="11"/>
  <c r="E9" i="11"/>
  <c r="H9" i="12"/>
  <c r="C9" i="11"/>
  <c r="D9" i="12"/>
  <c r="H6" i="27"/>
  <c r="G6" i="27"/>
  <c r="E6" i="27"/>
  <c r="F6" i="27"/>
  <c r="D6" i="27"/>
  <c r="C6" i="27"/>
  <c r="B6" i="27"/>
  <c r="E51" i="11" l="1"/>
  <c r="E53" i="11" s="1"/>
  <c r="D51" i="12"/>
  <c r="D53" i="12" s="1"/>
  <c r="H51" i="6"/>
  <c r="H53" i="6" s="1"/>
  <c r="B51" i="11"/>
  <c r="B53" i="11" s="1"/>
  <c r="H51" i="12"/>
  <c r="H53" i="12" s="1"/>
  <c r="F51" i="11"/>
  <c r="F53" i="11" s="1"/>
  <c r="E51" i="6"/>
  <c r="E53" i="6" s="1"/>
  <c r="D9" i="5"/>
  <c r="D18" i="5"/>
  <c r="D16" i="5"/>
  <c r="Q50" i="17"/>
  <c r="G51" i="19"/>
  <c r="E3" i="5"/>
  <c r="E51" i="5" s="1"/>
  <c r="E53" i="5" s="1"/>
  <c r="B51" i="10"/>
  <c r="B53" i="10" s="1"/>
  <c r="C51" i="6"/>
  <c r="C53" i="6" s="1"/>
  <c r="C51" i="10"/>
  <c r="C53" i="10" s="1"/>
  <c r="F51" i="6"/>
  <c r="F53" i="6" s="1"/>
  <c r="H51" i="11"/>
  <c r="H53" i="11" s="1"/>
  <c r="C51" i="12"/>
  <c r="C53" i="12" s="1"/>
  <c r="R50" i="17"/>
  <c r="G51" i="11"/>
  <c r="G53" i="11" s="1"/>
  <c r="B51" i="12"/>
  <c r="B53" i="12" s="1"/>
  <c r="E51" i="12"/>
  <c r="E53" i="12" s="1"/>
  <c r="B51" i="6"/>
  <c r="B53" i="6" s="1"/>
  <c r="G51" i="12"/>
  <c r="G53" i="12" s="1"/>
  <c r="D51" i="10"/>
  <c r="D53" i="10" s="1"/>
  <c r="E51" i="10"/>
  <c r="E53" i="10" s="1"/>
  <c r="D44" i="5"/>
  <c r="D12" i="5"/>
  <c r="D26" i="5"/>
  <c r="P50" i="17"/>
  <c r="F51" i="12"/>
  <c r="F53" i="12" s="1"/>
  <c r="F51" i="10"/>
  <c r="F53" i="10" s="1"/>
  <c r="C51" i="11"/>
  <c r="C53" i="11" s="1"/>
  <c r="D33" i="5"/>
  <c r="O50" i="17"/>
  <c r="D3" i="5"/>
  <c r="D51" i="5" s="1"/>
  <c r="D53" i="5" s="1"/>
  <c r="G51" i="10"/>
  <c r="G53" i="10" s="1"/>
  <c r="D51" i="6"/>
  <c r="D53" i="6" s="1"/>
  <c r="H51" i="10"/>
  <c r="H53" i="10" s="1"/>
  <c r="D51" i="11"/>
  <c r="D53" i="11" s="1"/>
  <c r="G51" i="6"/>
  <c r="G53" i="6" s="1"/>
</calcChain>
</file>

<file path=xl/sharedStrings.xml><?xml version="1.0" encoding="utf-8"?>
<sst xmlns="http://schemas.openxmlformats.org/spreadsheetml/2006/main" count="1942" uniqueCount="555">
  <si>
    <t>State Vehicles 2024 — SSYVbT Baseline Workbook</t>
  </si>
  <si>
    <t>Built: 2026-08-11 14:53</t>
  </si>
  <si>
    <t>Scope: 48 contiguous U.S. states + DC, vehicle stock counts, 2024 baseline</t>
  </si>
  <si>
    <t>Output: 12 SSYVbT-* tabs (one per segment x mode), state rows x 7 fuel-tech columns</t>
  </si>
  <si>
    <t>Methodology: docs/methodology/state-vehicles-2024.md</t>
  </si>
  <si>
    <t>Generator: outputs/SYVbT/_build_syvbt_v1_helpers.py</t>
  </si>
  <si>
    <t>Data tabs (sources)</t>
  </si>
  <si>
    <t>Tab</t>
  </si>
  <si>
    <t>Rows</t>
  </si>
  <si>
    <t>Source</t>
  </si>
  <si>
    <t>Keys</t>
  </si>
  <si>
    <t>Authored — single source of truth for string/numeric constants (CLAUDE.md style).</t>
  </si>
  <si>
    <t>FHWA_MV1</t>
  </si>
  <si>
    <t>sources/raw/fhwa/mv1.xlsx (verbatim, FHWA Highway Statistics 2024)</t>
  </si>
  <si>
    <t>AFDC_EV_state</t>
  </si>
  <si>
    <t>AFDC 2023 EV-only state counts (legacy; cross-check vs 2024 multi-fuel table).</t>
  </si>
  <si>
    <t>AFDC_state_fuel_2024</t>
  </si>
  <si>
    <t>AFDC 2024 Light-Duty Vehicle Registration Counts by State and Fuel Type. Source: afdc.energy.gov/vehicle-registration (12 fuel types × 50 states + DC + US). Derived by National Laboratory of the Rockies from Experian data.</t>
  </si>
  <si>
    <t>State_shares_nonroad</t>
  </si>
  <si>
    <t>sources/Subregion ... | sheet % by state 2019</t>
  </si>
  <si>
    <t>US_syvbt_psgr_totals</t>
  </si>
  <si>
    <t>sources/Subregion ... | sheet US-syvbt-psgr</t>
  </si>
  <si>
    <t>US_syvbt_frgt_totals</t>
  </si>
  <si>
    <t>sources/Subregion ... | sheet US-syvbt-frgt</t>
  </si>
  <si>
    <t>State_lookup</t>
  </si>
  <si>
    <t>Per-state input lookups (FHWA + AFDC + non-road shares); FHWA envelope re-anchored to AFDC for Keys!stock_fix_states (NY/MT/DE, sec 9.6).</t>
  </si>
  <si>
    <t>National_totals</t>
  </si>
  <si>
    <t>AEO 2026 national fleet stock by (segment, mode, fuel-tech).</t>
  </si>
  <si>
    <t>AFDC_state_fuels_lookup</t>
  </si>
  <si>
    <t>Per-state per-EPS-fuel-tech direct counts from AFDC 2024 (BEV / PHEV / NGV / gas / dsl / LPG / H2).</t>
  </si>
  <si>
    <t>SSYVbT-* (12 tabs)</t>
  </si>
  <si>
    <t>v2 OUTPUT: state direct counts × national fuel-tech share (road modes); national × state share (non-road).</t>
  </si>
  <si>
    <t>SYVbT-passenger/freight</t>
  </si>
  <si>
    <t>Per-state EPS input matrices (6 modes x 7 techs), driven by About!B1 selector.</t>
  </si>
  <si>
    <t>Workbook</t>
  </si>
  <si>
    <t>California</t>
  </si>
  <si>
    <t>State</t>
  </si>
  <si>
    <t>State Vehicle Counts 2024 v2 — DIRECT state data (exploratory variant)</t>
  </si>
  <si>
    <t>Alabama</t>
  </si>
  <si>
    <t>AL</t>
  </si>
  <si>
    <t>Arizona</t>
  </si>
  <si>
    <t>AZ</t>
  </si>
  <si>
    <t>Output:</t>
  </si>
  <si>
    <t>12 SSYVbT-* tabs, IA reference format (states × 7 fuel-techs).</t>
  </si>
  <si>
    <t>Arkansas</t>
  </si>
  <si>
    <t>AR</t>
  </si>
  <si>
    <t>Methodology:</t>
  </si>
  <si>
    <t>docs/methodology/state-vehicles-2024.md (v2 section)</t>
  </si>
  <si>
    <t>CA</t>
  </si>
  <si>
    <t>Generator:</t>
  </si>
  <si>
    <t>outputs/SYVbT/_build_syvbt_workbook.py</t>
  </si>
  <si>
    <t>Colorado</t>
  </si>
  <si>
    <t>CO</t>
  </si>
  <si>
    <t>Baseline year:</t>
  </si>
  <si>
    <t>Connecticut</t>
  </si>
  <si>
    <t>CT</t>
  </si>
  <si>
    <t>Delaware</t>
  </si>
  <si>
    <t>DE</t>
  </si>
  <si>
    <t>How v2 differs from v1</t>
  </si>
  <si>
    <t>Florida</t>
  </si>
  <si>
    <t>FL</t>
  </si>
  <si>
    <t>v1 anchors to AEO 2026 national totals; per-cell formula = nat_total × state_share.</t>
  </si>
  <si>
    <t>Georgia</t>
  </si>
  <si>
    <t>GA</t>
  </si>
  <si>
    <t>v2 anchors to direct STATE data (FHWA MV-1 + AFDC EV); per-cell formula = state_total × nat_fuel_tech_share.</t>
  </si>
  <si>
    <t>Idaho</t>
  </si>
  <si>
    <t>ID</t>
  </si>
  <si>
    <t>Illinois</t>
  </si>
  <si>
    <t>IL</t>
  </si>
  <si>
    <t>For modes WITH direct state data (LDVs, HDVs, motorbikes), v2 trusts FHWA/AFDC over AEO.</t>
  </si>
  <si>
    <t>Indiana</t>
  </si>
  <si>
    <t>IN</t>
  </si>
  <si>
    <t>State sums for these modes will NOT match AEO national — by design.</t>
  </si>
  <si>
    <t>Iowa</t>
  </si>
  <si>
    <t>IA</t>
  </si>
  <si>
    <t>Kansas</t>
  </si>
  <si>
    <t>KS</t>
  </si>
  <si>
    <t>For modes WITHOUT direct state data (aircraft, rail, ships), v2 falls back to v1 logic</t>
  </si>
  <si>
    <t>Kentucky</t>
  </si>
  <si>
    <t>KY</t>
  </si>
  <si>
    <t>(state_share × national_total) — there is no direct alternative.</t>
  </si>
  <si>
    <t>Louisiana</t>
  </si>
  <si>
    <t>LA</t>
  </si>
  <si>
    <t>Maine</t>
  </si>
  <si>
    <t>ME</t>
  </si>
  <si>
    <t>Production (v1) feeds EPS. v2 is exploratory — useful for sanity-checking AEO</t>
  </si>
  <si>
    <t>Maryland</t>
  </si>
  <si>
    <t>MD</t>
  </si>
  <si>
    <t>national totals against bottom-up FHWA + AFDC observations.</t>
  </si>
  <si>
    <t>Massachusetts</t>
  </si>
  <si>
    <t>MA</t>
  </si>
  <si>
    <t>Michigan</t>
  </si>
  <si>
    <t>MI</t>
  </si>
  <si>
    <t>Per organizational guidance: outputs framed as inputs for staff review. Verify against</t>
  </si>
  <si>
    <t>Minnesota</t>
  </si>
  <si>
    <t>MN</t>
  </si>
  <si>
    <t>primary sources (FHWA, AFDC, AEO) before incorporating in published work.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</si>
  <si>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</si>
  <si>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</si>
  <si>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</si>
  <si>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</si>
  <si>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</si>
  <si>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</si>
  <si>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</si>
  <si>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</si>
  <si>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</si>
  <si>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</si>
  <si>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</si>
  <si>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</si>
  <si>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</si>
  <si>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</si>
  <si>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</si>
  <si>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</si>
  <si>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</si>
  <si>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</si>
  <si>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</si>
  <si>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</si>
  <si>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</si>
  <si>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</si>
  <si>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</si>
  <si>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</si>
  <si>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</si>
  <si>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</si>
  <si>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</si>
  <si>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</si>
  <si>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</si>
  <si>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</si>
  <si>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</si>
  <si>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</si>
  <si>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</si>
  <si>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</si>
  <si>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</si>
  <si>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</si>
  <si>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</si>
  <si>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</si>
  <si>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</si>
  <si>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</si>
  <si>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</si>
  <si>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</si>
  <si>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</si>
  <si>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</si>
  <si>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</si>
  <si>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</si>
  <si>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</si>
  <si>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</si>
  <si>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</si>
  <si>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</si>
  <si>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</si>
  <si>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</si>
  <si>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</si>
  <si>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</si>
  <si>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State Vehicles 2024 v2 — Direct-State-Data Variant</t>
  </si>
  <si>
    <t>Built: 2026-08-11</t>
  </si>
  <si>
    <t>Goal</t>
  </si>
  <si>
    <t>Same scope as v1 (50 × 12 × 7 cube of vehicle counts for 2024) but with a DIFFERENT methodology that prioritizes direct state observations over AEO national totals. v2 is an exploratory variant; v1 remains the production / EPS-feeding workbook per CLAUDE.md convention.</t>
  </si>
  <si>
    <t>v1 vs v2 formula contrast</t>
  </si>
  <si>
    <t>v1 per-cell formula:
  state_count = national_total[seg, mode, ft] × state_share[s, seg, mode]
  where state_share normalizes to 1 across contiguous states.
  Consequence: state-sum reconciles to national exactly (within rounding).
v2 per-cell formula (when direct state data exists):
  state_count = state_total[s, seg, mode] × national_fuel_tech_share[seg, mode, ft]
  where state_total comes from FHWA MV-1 / AFDC directly.
  Consequence: state-sum does NOT reconcile to national — discrepancy is information.</t>
  </si>
  <si>
    <t>Mode-by-mode v2 logic</t>
  </si>
  <si>
    <t>passenger LDV BEV/PHEV — DIRECT: AFDC_EV[state] × BEV-or-PHEV split (no scaling).
passenger LDV gas/dsl/NGV/LPG/H2 — DIRECT: FHWA Autos[state] × national fuel-tech share (share = nat_ft / nat_LDV_psgr_total).
passenger HDV (buses) — DIRECT: FHWA Buses[state] × national bus fuel-tech share.
freight LDV — DIRECT: FHWA Trucks[state] × light_share × frgt_share × national fuel-tech share.
freight HDV — DIRECT: FHWA Trucks[state] × heavy_share × national fuel-tech share.
passenger motorbikes — DIRECT: FHWA Motorcycles[state] × national fuel-tech share (basically 100% gas).
freight motorbikes — DIRECT: 0 (per EPS convention; no freight motorbikes).
passenger aircraft — SCALED: state_share (FAA enplanements) × national passenger aircraft.
freight aircraft — SCALED: state_share (FAA cargo landed weight) × national freight aircraft.
passenger rail — SCALED: state_share (APTA diesel-or-electric) × national passenger rail.
freight rail — SCALED: state_share (AAR carloads) × national freight rail.
passenger ships — SCALED: state_share (BTS recreational boats) × national passenger ships.
freight ships — SCALED: state_share (BTS port tonnage) × national freight ships.</t>
  </si>
  <si>
    <t>Interpretation of v2 STATE SUM vs NATIONAL (AEO) deltas</t>
  </si>
  <si>
    <t>Each SSYVbT-* tab carries STATE SUM / NATIONAL (AEO) / DELTA % rows at the bottom. In v1 these deltas are forced to ~0% by construction. In v2 they reveal real disagreement between bottom-up FHWA/AFDC and top-down AEO 2026:
Large positive delta = FHWA/AFDC observe MORE vehicles than AEO projects (likely AEO under-estimates total stock; common for trucks and aging fleets).
Large negative delta = FHWA/AFDC observe FEWER vehicles than AEO projects (likely AEO over-estimates fleet turnover; e.g., for early-adoption tech like EVs).
Staff should treat large deltas as a flag for which data source to trust per use case. For EPS calibration purposes (per locked v1 convention), use v1 numbers. For ground-truth state vehicle stock comparisons, v2 may be more useful.</t>
  </si>
  <si>
    <t>When v1 matches v2 and when they differ</t>
  </si>
  <si>
    <t>Identical: aircraft, rail, ships (passenger + freight) — no direct state data so both variants use national × state_share.
Differ: LDVs, HDVs, motorbikes (passenger + freight) — v2 uses FHWA/AFDC counts directly.</t>
  </si>
  <si>
    <t>Limitations carried from v1</t>
  </si>
  <si>
    <t>All of v1's limitations apply to v2 too (see v1 methodology §7), with one addition:
v2 implicitly assumes the national fuel-tech share applies uniformly to each state. For example, in v2 the gasoline fraction of passenger LDV is the same 96.7% in every state. In reality, EV-heavy states like CA have lower gasoline fractions. v1 inherits the same assumption but masks it via the national-scaling adjustment.</t>
  </si>
  <si>
    <t>Build command</t>
  </si>
  <si>
    <t>python outputs/SYVbT/_build_syvbt_workbook.py</t>
  </si>
  <si>
    <t>category</t>
  </si>
  <si>
    <t>key</t>
  </si>
  <si>
    <t>value</t>
  </si>
  <si>
    <t>description</t>
  </si>
  <si>
    <t>meta</t>
  </si>
  <si>
    <t>baseline_year</t>
  </si>
  <si>
    <t>Vehicle count target year. FHWA Highway Statistics 2024 was released January 2026 (actual state-reported data).</t>
  </si>
  <si>
    <t>afdc_vintage</t>
  </si>
  <si>
    <t>AFDC EV state-count vintage. Latest bulk-download file from afdc.energy.gov was Sep 2024 (2023 data). Per user decision #1, fall back to 2023 when 2024 unavailable.</t>
  </si>
  <si>
    <t>aeo_vintage</t>
  </si>
  <si>
    <t>AEO 2026 reference scenario; national fleet stock totals.</t>
  </si>
  <si>
    <t>segment</t>
  </si>
  <si>
    <t>passenger</t>
  </si>
  <si>
    <t>EPS passenger segment label.</t>
  </si>
  <si>
    <t>freight</t>
  </si>
  <si>
    <t>EPS freight segment label.</t>
  </si>
  <si>
    <t>mode</t>
  </si>
  <si>
    <t>LDVs</t>
  </si>
  <si>
    <t>Light-duty vehicles (cars + light pickups).</t>
  </si>
  <si>
    <t>HDVs</t>
  </si>
  <si>
    <t>Heavy-duty vehicles (buses [passenger] + heavy commercial trucks [freight]).</t>
  </si>
  <si>
    <t>aircraft</t>
  </si>
  <si>
    <t>Aircraft.</t>
  </si>
  <si>
    <t>rail</t>
  </si>
  <si>
    <t>Rail (passenger + freight).</t>
  </si>
  <si>
    <t>ships</t>
  </si>
  <si>
    <t>Marine vessels.</t>
  </si>
  <si>
    <t>motorbikes</t>
  </si>
  <si>
    <t>Motorcycles + motorbikes.</t>
  </si>
  <si>
    <t>fuel_tech</t>
  </si>
  <si>
    <t>BEV</t>
  </si>
  <si>
    <t>battery electric vehicle</t>
  </si>
  <si>
    <t>EPS battery electric vehicle.</t>
  </si>
  <si>
    <t>NGV</t>
  </si>
  <si>
    <t>natural gas vehicle</t>
  </si>
  <si>
    <t>EPS natural gas vehicle.</t>
  </si>
  <si>
    <t>gas</t>
  </si>
  <si>
    <t>gasoline vehicle</t>
  </si>
  <si>
    <t>EPS gasoline vehicle. Includes E85 / methanol per AFDC-&gt;EPS crosswalk.</t>
  </si>
  <si>
    <t>dsl</t>
  </si>
  <si>
    <t>diesel vehicle</t>
  </si>
  <si>
    <t>EPS diesel vehicle. Includes biodiesel; jet fuel for aircraft; bunker for ships.</t>
  </si>
  <si>
    <t>PHEV</t>
  </si>
  <si>
    <t>plugin hybrid vehicle</t>
  </si>
  <si>
    <t>EPS plug-in hybrid vehicle. AFDC HEVs (non-plug-in) roll into "gasoline vehicle" per crosswalk.</t>
  </si>
  <si>
    <t>LPG</t>
  </si>
  <si>
    <t>LPG vehicle</t>
  </si>
  <si>
    <t>EPS LPG (propane / butane) vehicle.</t>
  </si>
  <si>
    <t>H2</t>
  </si>
  <si>
    <t>hydrogen vehicle</t>
  </si>
  <si>
    <t>EPS hydrogen fuel-cell vehicle.</t>
  </si>
  <si>
    <t>fhwa_mv1</t>
  </si>
  <si>
    <t>col_state_name</t>
  </si>
  <si>
    <t>A</t>
  </si>
  <si>
    <t>FHWA_MV1 column A: state name with footnote markers (use wildcard MATCH).</t>
  </si>
  <si>
    <t>col_autos_total</t>
  </si>
  <si>
    <t>D</t>
  </si>
  <si>
    <t>FHWA_MV1 column D: Automobiles TOTAL (private+commercial + publicly-owned).</t>
  </si>
  <si>
    <t>col_buses_total</t>
  </si>
  <si>
    <t>G</t>
  </si>
  <si>
    <t>FHWA_MV1 column G: Buses TOTAL.</t>
  </si>
  <si>
    <t>col_trucks_total</t>
  </si>
  <si>
    <t>J</t>
  </si>
  <si>
    <t>FHWA_MV1 column J: Trucks TOTAL (light pickups + heavy commercial combined; light-truck share applied downstream).</t>
  </si>
  <si>
    <t>col_motorcycles_total</t>
  </si>
  <si>
    <t>M</t>
  </si>
  <si>
    <t>FHWA_MV1 column M: Motorcycles TOTAL.</t>
  </si>
  <si>
    <t>afdc</t>
  </si>
  <si>
    <t>B</t>
  </si>
  <si>
    <t>AFDC_EV_state column B: state name (Condensed sheet, full state names).</t>
  </si>
  <si>
    <t>col_ev_count</t>
  </si>
  <si>
    <t>C</t>
  </si>
  <si>
    <t>AFDC_EV_state column C: BEV+PHEV combined registration count (2023 reference).</t>
  </si>
  <si>
    <t>national_split</t>
  </si>
  <si>
    <t>bev_share_of_evs</t>
  </si>
  <si>
    <t>National BEV / (BEV+PHEV) share. AEO 2026 T39 implied; cross-checked against AFDC change tab.</t>
  </si>
  <si>
    <t>phev_share_of_evs</t>
  </si>
  <si>
    <t>National PHEV / (BEV+PHEV) share. Complement of bev_share_of_evs.</t>
  </si>
  <si>
    <t>freight_share_of_LDVs</t>
  </si>
  <si>
    <t>Freight LDV (commercial light truck) share of total light vehicles. AEO 2026 T45 / (T39 LDV + T45) ~ 4.5%. Applied uniformly across states (state-level commercial-vs-personal split unobserved without FHWA MV-9; pending v2.1 if MV-9 is republished).</t>
  </si>
  <si>
    <t>passenger_share_of_LDVs</t>
  </si>
  <si>
    <t>Passenger LDV (personal cars + personal pickups) share of total light vehicles. Complement of freight_share_of_LDVs.</t>
  </si>
  <si>
    <t>heavy_share_of_FHWA_trucks</t>
  </si>
  <si>
    <t>Heavy commercial truck share of FHWA MV-1 "Trucks" column. AEO T49 freight truck stock / total truck stock. Used to split FHWA trucks into freight HDV (heavy) vs LDV (light).</t>
  </si>
  <si>
    <t>light_share_of_FHWA_trucks</t>
  </si>
  <si>
    <t>Light truck share of FHWA MV-1 "Trucks" column. Complement of heavy_share_of_FHWA_trucks.</t>
  </si>
  <si>
    <t>nonroad_shares</t>
  </si>
  <si>
    <t>col_state_air</t>
  </si>
  <si>
    <t>State_shares_nonroad col J: state ABBR for aircraft shares.</t>
  </si>
  <si>
    <t>col_psgr_air</t>
  </si>
  <si>
    <t>K</t>
  </si>
  <si>
    <t>State_shares_nonroad col K: passenger aircraft state share (FAA enplanements 2019).</t>
  </si>
  <si>
    <t>col_frgt_air</t>
  </si>
  <si>
    <t>L</t>
  </si>
  <si>
    <t>State_shares_nonroad col L: freight aircraft state share (FAA cargo landed weight 2019).</t>
  </si>
  <si>
    <t>col_state_psgr_rail</t>
  </si>
  <si>
    <t>O</t>
  </si>
  <si>
    <t>State_shares_nonroad col O: state ABBR for passenger rail.</t>
  </si>
  <si>
    <t>col_psgr_rail_diesel</t>
  </si>
  <si>
    <t>AN</t>
  </si>
  <si>
    <t>State_shares_nonroad col AN: passenger rail DIESEL state SHARE (APTA-derived, normalized; AL/AM are raw train counts).</t>
  </si>
  <si>
    <t>col_psgr_rail_elec</t>
  </si>
  <si>
    <t>AO</t>
  </si>
  <si>
    <t>State_shares_nonroad col AO: passenger rail ELECTRIC state SHARE (APTA-derived, normalized; AL/AM are raw train counts).</t>
  </si>
  <si>
    <t>col_state_frgt_rail</t>
  </si>
  <si>
    <t>State_shares_nonroad col AR: state ABBR for freight rail.</t>
  </si>
  <si>
    <t>col_frgt_rail</t>
  </si>
  <si>
    <t>AS</t>
  </si>
  <si>
    <t>State_shares_nonroad col AS: freight rail state share (AAR carloads).</t>
  </si>
  <si>
    <t>col_state_psgr_ship</t>
  </si>
  <si>
    <t>AV</t>
  </si>
  <si>
    <t>State_shares_nonroad col AV: state ABBR for passenger ships.</t>
  </si>
  <si>
    <t>col_psgr_ships</t>
  </si>
  <si>
    <t>AW</t>
  </si>
  <si>
    <t>State_shares_nonroad col AW: passenger ships state share (BTS recreational boats).</t>
  </si>
  <si>
    <t>col_state_frgt_ship</t>
  </si>
  <si>
    <t>State_shares_nonroad col AZ: state ABBR for freight ships.</t>
  </si>
  <si>
    <t>col_frgt_ships</t>
  </si>
  <si>
    <t>BA</t>
  </si>
  <si>
    <t>State_shares_nonroad col BA: freight ships state share (BTS port tonnage).</t>
  </si>
  <si>
    <t>us_totals</t>
  </si>
  <si>
    <t>row_LDVs</t>
  </si>
  <si>
    <t>US_syvbt_*_totals row 2 = LDVs.</t>
  </si>
  <si>
    <t>row_HDVs</t>
  </si>
  <si>
    <t>US_syvbt_*_totals row 3 = HDVs.</t>
  </si>
  <si>
    <t>row_aircraft</t>
  </si>
  <si>
    <t>US_syvbt_*_totals row 4 = aircraft.</t>
  </si>
  <si>
    <t>row_rail</t>
  </si>
  <si>
    <t>US_syvbt_*_totals row 5 = rail.</t>
  </si>
  <si>
    <t>row_ships</t>
  </si>
  <si>
    <t>US_syvbt_*_totals row 6 = ships.</t>
  </si>
  <si>
    <t>row_motorbikes</t>
  </si>
  <si>
    <t>US_syvbt_*_totals row 7 = motorbikes.</t>
  </si>
  <si>
    <t>col_BEV</t>
  </si>
  <si>
    <t>US_syvbt_*_totals column B = battery electric vehicle.</t>
  </si>
  <si>
    <t>col_NGV</t>
  </si>
  <si>
    <t>US_syvbt_*_totals column C = natural gas vehicle.</t>
  </si>
  <si>
    <t>col_gas</t>
  </si>
  <si>
    <t>US_syvbt_*_totals column D = gasoline vehicle.</t>
  </si>
  <si>
    <t>col_dsl</t>
  </si>
  <si>
    <t>E</t>
  </si>
  <si>
    <t>US_syvbt_*_totals column E = diesel vehicle.</t>
  </si>
  <si>
    <t>col_PHEV</t>
  </si>
  <si>
    <t>F</t>
  </si>
  <si>
    <t>US_syvbt_*_totals column F = plugin hybrid vehicle.</t>
  </si>
  <si>
    <t>col_LPG</t>
  </si>
  <si>
    <t>US_syvbt_*_totals column G = LPG vehicle.</t>
  </si>
  <si>
    <t>col_H2</t>
  </si>
  <si>
    <t>H</t>
  </si>
  <si>
    <t>US_syvbt_*_totals column H = hydrogen vehicle.</t>
  </si>
  <si>
    <t>validation</t>
  </si>
  <si>
    <t>state_total_vs_national_tol</t>
  </si>
  <si>
    <t>Cross-check tolerance: sum(state) for each (segment, mode, fuel-tech) should match national total within +/- 10%. Per user decision (2026-06).</t>
  </si>
  <si>
    <t>min_aircraft_per_state</t>
  </si>
  <si>
    <t>Aircraft floor per state, carried over from existing transport workbook. Below this, downstream EPS energy-per-vehicle calcs hit divide-by-zero.</t>
  </si>
  <si>
    <t>min_frgt_ships_rfacb_state</t>
  </si>
  <si>
    <t>Freight-ship floor for states with nonzero SEDS transport residual fuel (State_lookup col X). Same failure mode as the aircraft floor: the BTS top-50-ports share source gives a state with only mid-size ports (Michigan) share 0, and BAADTbVT back-solves ship mileage from RFACB/ships, which silently collapses to zero fuel at 0 ships instead of dividing by zero. One ship is sufficient -- the back-solve then lands the state on its RFACB automatically. Added 2026-08-11 (docs/findings/transport-ships-residual-allocation-2026-08-11.md); affects MI ME DE NC RI VT.</t>
  </si>
  <si>
    <t>fhwa_fix</t>
  </si>
  <si>
    <t>stock_fix_states</t>
  </si>
  <si>
    <t>New York, Montana, Delaware</t>
  </si>
  <si>
    <t>Comma-separated state names whose FHWA MV-1 autos+trucks envelope is re-anchored to the AFDC 2024 LDV total (FHWA auto:truck split preserved). See methodology sec 9.6. Blank to disable.</t>
  </si>
  <si>
    <t>afdc_fix</t>
  </si>
  <si>
    <t>phev_fix_state</t>
  </si>
  <si>
    <t>State whose AFDC PHEV count is overridden (PHEV &gt; BEV, contradicted by independent sales data; sole outlier at z=5.4 across 49 states). PHEV rebuilt as BEV x national PHEV:BEV. Raw AFDC value kept in phev_raw_AFDC. See docs/methodology/state-vehicles-2024.md 9.5. Blank this cell to disable the override.</t>
  </si>
  <si>
    <t>afdc_national_row</t>
  </si>
  <si>
    <t>United States</t>
  </si>
  <si>
    <t>Row label of the national total on the AFDC_state_fuel_2024 source tab, used to derive the national PHEV:BEV ratio for the override.</t>
  </si>
  <si>
    <t>passenger LDVs — vehicles 2024 (v2 direct-state)</t>
  </si>
  <si>
    <t>STATE SUM</t>
  </si>
  <si>
    <t>NATIONAL (AEO)</t>
  </si>
  <si>
    <t>DELTA % (state-sum vs national)</t>
  </si>
  <si>
    <t>passenger HDVs — vehicles 2024 (v2 direct-state)</t>
  </si>
  <si>
    <t>passenger aircraft — vehicles 2024 (v2 direct-state)</t>
  </si>
  <si>
    <t>passenger rail — vehicles 2024 (v2 direct-state)</t>
  </si>
  <si>
    <t>passenger ships — vehicles 2024 (v2 direct-state)</t>
  </si>
  <si>
    <t>passenger motorbikes — vehicles 2024 (v2 direct-state)</t>
  </si>
  <si>
    <t>freight LDVs — vehicles 2024 (v2 direct-state)</t>
  </si>
  <si>
    <t>freight HDVs — vehicles 2024 (v2 direct-state)</t>
  </si>
  <si>
    <t>freight aircraft — vehicles 2024 (v2 direct-state)</t>
  </si>
  <si>
    <t>freight rail — vehicles 2024 (v2 direct-state)</t>
  </si>
  <si>
    <t>freight ships — vehicles 2024 (v2 direct-state)</t>
  </si>
  <si>
    <t>freight motorbikes — vehicles 2024 (v2 direct-state)</t>
  </si>
  <si>
    <t>state</t>
  </si>
  <si>
    <t>state_name</t>
  </si>
  <si>
    <t>autos</t>
  </si>
  <si>
    <t>buses</t>
  </si>
  <si>
    <t>trucks</t>
  </si>
  <si>
    <t>motorcycles</t>
  </si>
  <si>
    <t>AFDC_EV_count</t>
  </si>
  <si>
    <t>share_psgr_air</t>
  </si>
  <si>
    <t>share_frgt_air</t>
  </si>
  <si>
    <t>share_psgr_rail_diesel</t>
  </si>
  <si>
    <t>share_psgr_rail_elec</t>
  </si>
  <si>
    <t>share_frgt_rail</t>
  </si>
  <si>
    <t>share_psgr_ships</t>
  </si>
  <si>
    <t>share_frgt_ships</t>
  </si>
  <si>
    <t>psgr_LDV_total</t>
  </si>
  <si>
    <t>psgr_HDV_total</t>
  </si>
  <si>
    <t>frgt_LDV_total</t>
  </si>
  <si>
    <t>frgt_HDV_total</t>
  </si>
  <si>
    <t>motorbikes_total</t>
  </si>
  <si>
    <t>fhwa_autos_raw</t>
  </si>
  <si>
    <t>fhwa_trucks_raw</t>
  </si>
  <si>
    <t>afdc_ldv_total</t>
  </si>
  <si>
    <t>stock_override?</t>
  </si>
  <si>
    <t>transport_RFACB_2024_bbtu</t>
  </si>
  <si>
    <t>SUM</t>
  </si>
  <si>
    <t>—</t>
  </si>
  <si>
    <t>TOTAL</t>
  </si>
  <si>
    <t>AFDC 2024 state × EPS fuel-tech lookup. Source: AFDC_state_fuel_2024 tab (= afdc.energy.gov/vehicle-registration, retrieved 2026-06). Per the AFDC→EPS crosswalk: HEV + E85 + Methanol → gasoline; Biodiesel → diesel; Unknown distributed pro-rata to gasoline/diesel. DIESEL is rescaled: AEO_national_LDV_diesel × (AFDC_state_dsl_broad / AFDC_US_dsl_broad) to match EPS's narrower "TDI Diesel ICE" definition (methodology §9.2). PHEV: col L is the raw AFDC value; col D is what SSYVbT reads and carries a documented override for the state named on Keys!phev_fix_state (Oklahoma — AFDC reports PHEV &gt; BEV there, contradicted by independent sales data; rebuilt as BEV × national PHEV:BEV). Col M flags the overridden row. See methodology §9.5.</t>
  </si>
  <si>
    <t>unknown_total</t>
  </si>
  <si>
    <t>dsl_raw_AFDC</t>
  </si>
  <si>
    <t>phev_raw_AFDC</t>
  </si>
  <si>
    <t>phev_override?</t>
  </si>
  <si>
    <t>state_fips</t>
  </si>
  <si>
    <t>state_abbr</t>
  </si>
  <si>
    <t>census_division_num</t>
  </si>
  <si>
    <t>census_division_name</t>
  </si>
  <si>
    <t>census_region_num</t>
  </si>
  <si>
    <t>census_region_name</t>
  </si>
  <si>
    <t>aeo_division_num</t>
  </si>
  <si>
    <t>aeo_division_name</t>
  </si>
  <si>
    <t>01</t>
  </si>
  <si>
    <t>East South Central</t>
  </si>
  <si>
    <t>South</t>
  </si>
  <si>
    <t>04</t>
  </si>
  <si>
    <t>Mountain South</t>
  </si>
  <si>
    <t>West</t>
  </si>
  <si>
    <t>Mountain</t>
  </si>
  <si>
    <t>05</t>
  </si>
  <si>
    <t>West South Central</t>
  </si>
  <si>
    <t>06</t>
  </si>
  <si>
    <t>Pacific</t>
  </si>
  <si>
    <t>08</t>
  </si>
  <si>
    <t>Mountain North</t>
  </si>
  <si>
    <t>09</t>
  </si>
  <si>
    <t>New England</t>
  </si>
  <si>
    <t>Northeast</t>
  </si>
  <si>
    <t>10</t>
  </si>
  <si>
    <t>South Atlantic</t>
  </si>
  <si>
    <t>12</t>
  </si>
  <si>
    <t>13</t>
  </si>
  <si>
    <t>16</t>
  </si>
  <si>
    <t>17</t>
  </si>
  <si>
    <t>East North Central</t>
  </si>
  <si>
    <t>Midwest</t>
  </si>
  <si>
    <t>18</t>
  </si>
  <si>
    <t>19</t>
  </si>
  <si>
    <t>West North Central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</si>
  <si>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</si>
  <si>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</si>
  <si>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</si>
  <si>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</si>
  <si>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</si>
  <si>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</si>
  <si>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</si>
  <si>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</si>
  <si>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</si>
  <si>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</si>
  <si>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</si>
  <si>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</si>
  <si>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</si>
  <si>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</si>
  <si>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</si>
  <si>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Middle Atlantic</t>
  </si>
  <si>
    <t>35</t>
  </si>
  <si>
    <t>36</t>
  </si>
  <si>
    <t>37</t>
  </si>
  <si>
    <t>38</t>
  </si>
  <si>
    <t>39</t>
  </si>
  <si>
    <t>40</t>
  </si>
  <si>
    <t>41</t>
  </si>
  <si>
    <t>42</t>
  </si>
  <si>
    <t>44</t>
  </si>
  <si>
    <t>45</t>
  </si>
  <si>
    <t>46</t>
  </si>
  <si>
    <t>47</t>
  </si>
  <si>
    <t>48</t>
  </si>
  <si>
    <t>49</t>
  </si>
  <si>
    <t>50</t>
  </si>
  <si>
    <t>51</t>
  </si>
  <si>
    <t>53</t>
  </si>
  <si>
    <t>54</t>
  </si>
  <si>
    <t>55</t>
  </si>
  <si>
    <t>56</t>
  </si>
  <si>
    <t>Table MV-1 (1)</t>
  </si>
  <si>
    <t>January 2026</t>
  </si>
  <si>
    <t>TABLE MV-1</t>
  </si>
  <si>
    <t>AUTOMOBILES</t>
  </si>
  <si>
    <t>BUSES</t>
  </si>
  <si>
    <t>TRUCKS</t>
  </si>
  <si>
    <t>MOTORCYCLES</t>
  </si>
  <si>
    <t>ALL MOTOR VEHICLES</t>
  </si>
  <si>
    <t>STATE</t>
  </si>
  <si>
    <t>PRIVATE AND</t>
  </si>
  <si>
    <t>COMMERCIAL</t>
  </si>
  <si>
    <t>PUBLICLY</t>
  </si>
  <si>
    <t>(INCLUDING</t>
  </si>
  <si>
    <t>OWNED</t>
  </si>
  <si>
    <t>TAXICABS)</t>
  </si>
  <si>
    <t>Alabama (2)</t>
  </si>
  <si>
    <t xml:space="preserve">Alaska </t>
  </si>
  <si>
    <t>Arkansas (2)</t>
  </si>
  <si>
    <t xml:space="preserve">California </t>
  </si>
  <si>
    <t xml:space="preserve">Colorado </t>
  </si>
  <si>
    <t>Connecticut (2)</t>
  </si>
  <si>
    <t xml:space="preserve">Delaware </t>
  </si>
  <si>
    <t xml:space="preserve">Dist. of Col. </t>
  </si>
  <si>
    <t xml:space="preserve">Florida </t>
  </si>
  <si>
    <t xml:space="preserve">Georgia </t>
  </si>
  <si>
    <t>Hawaii</t>
  </si>
  <si>
    <t xml:space="preserve">Illinois </t>
  </si>
  <si>
    <t xml:space="preserve">Indiana </t>
  </si>
  <si>
    <t xml:space="preserve">Iowa </t>
  </si>
  <si>
    <t xml:space="preserve">Maine </t>
  </si>
  <si>
    <t xml:space="preserve">Massachusetts </t>
  </si>
  <si>
    <t>Michigan (2)</t>
  </si>
  <si>
    <t>Minnesota (2)</t>
  </si>
  <si>
    <t xml:space="preserve">Mississippi </t>
  </si>
  <si>
    <t>Missouri (2)</t>
  </si>
  <si>
    <t xml:space="preserve">Montana </t>
  </si>
  <si>
    <t xml:space="preserve">Nevada </t>
  </si>
  <si>
    <t>New Jersey (2)</t>
  </si>
  <si>
    <t>New York (3)</t>
  </si>
  <si>
    <t xml:space="preserve">Oregon </t>
  </si>
  <si>
    <t xml:space="preserve">Rhode Island </t>
  </si>
  <si>
    <t xml:space="preserve">South Dakota </t>
  </si>
  <si>
    <t xml:space="preserve">Tennessee </t>
  </si>
  <si>
    <t xml:space="preserve">Texas </t>
  </si>
  <si>
    <t>Washington (2)</t>
  </si>
  <si>
    <t>West Virginia (2)</t>
  </si>
  <si>
    <t>Wisconsin (2)</t>
  </si>
  <si>
    <t xml:space="preserve">Wyoming </t>
  </si>
  <si>
    <t xml:space="preserve">   Total</t>
  </si>
  <si>
    <t>(1) Published data reflects State-supplied data without FHWA estimation procedures applied.</t>
  </si>
  <si>
    <t>(2) State did not report one or more publicly-owned registered vehicle types.</t>
  </si>
  <si>
    <t>(3) FHWA transitioned from utilizing estimated data for 2022 and 2023 to actual State-reported registration data for 2024 to derive these figures.</t>
  </si>
  <si>
    <t>Electric Vehicle Registrations by State</t>
  </si>
  <si>
    <t>Registration Count</t>
  </si>
  <si>
    <t>Alaska</t>
  </si>
  <si>
    <t>District of Columbia</t>
  </si>
  <si>
    <t>AFDC 2024 Light-Duty Vehicle Registration Counts by State and Fuel Type</t>
  </si>
  <si>
    <t>Source: https://afdc.energy.gov/vehicle-registration  |  Retrieved: 2026-06-04</t>
  </si>
  <si>
    <t>Derived by the National Laboratory of the Rockies with data from Experian Information Solutions. Rounded to nearest 100 vehicles. Fuel types based on VINs (no aftermarket conversions).</t>
  </si>
  <si>
    <t>Electric (EV)</t>
  </si>
  <si>
    <t>Plug-In Hybrid Electric (PHEV)</t>
  </si>
  <si>
    <t>Hybrid Electric (HEV)</t>
  </si>
  <si>
    <t>Biodiesel</t>
  </si>
  <si>
    <t>Ethanol/Flex (E85)</t>
  </si>
  <si>
    <t>Compressed Natural Gas (CNG)</t>
  </si>
  <si>
    <t>Propane</t>
  </si>
  <si>
    <t>Hydrogen</t>
  </si>
  <si>
    <t>Methanol</t>
  </si>
  <si>
    <t>Gasoline</t>
  </si>
  <si>
    <t>Diesel</t>
  </si>
  <si>
    <t>Unknown Fuel</t>
  </si>
  <si>
    <t>% of total calculated from DOT veh registrations</t>
  </si>
  <si>
    <t>LDVs, HDVs, motorbikes from DOT</t>
  </si>
  <si>
    <t>Air from FAA</t>
  </si>
  <si>
    <t>Rail from APTA</t>
  </si>
  <si>
    <t>Max trains in operation</t>
  </si>
  <si>
    <t>Diesel Miles</t>
  </si>
  <si>
    <t>Electric Miles</t>
  </si>
  <si>
    <t>Rail from AAR</t>
  </si>
  <si>
    <t>Passenger ships BTS</t>
  </si>
  <si>
    <t>Freight ships BTS</t>
  </si>
  <si>
    <t>PSGR-LDV</t>
  </si>
  <si>
    <t>PSGR-HDV</t>
  </si>
  <si>
    <t>FRGT-LDV</t>
  </si>
  <si>
    <t>FRGT-HDV</t>
  </si>
  <si>
    <t>PSGR-MOTORBIKES</t>
  </si>
  <si>
    <t>PSGR-AIR</t>
  </si>
  <si>
    <t>FRGT-AIR</t>
  </si>
  <si>
    <t>HR</t>
  </si>
  <si>
    <t>YR</t>
  </si>
  <si>
    <t>LR</t>
  </si>
  <si>
    <t>CR</t>
  </si>
  <si>
    <t>SR</t>
  </si>
  <si>
    <t>TR</t>
  </si>
  <si>
    <t>Trains</t>
  </si>
  <si>
    <t>PSGR-rail
Diesel Trains</t>
  </si>
  <si>
    <t>PSGR-rail
Electric Trains</t>
  </si>
  <si>
    <t>FRGT-rail</t>
  </si>
  <si>
    <t>psgr-ships</t>
  </si>
  <si>
    <t>frgt-ships</t>
  </si>
  <si>
    <t>AK</t>
  </si>
  <si>
    <t>HI</t>
  </si>
  <si>
    <t>Number of Vehicles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</si>
</sst>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  <font>
      <b/>
      <sz val="14"/>
      <name val="Calibri"/>
    </font>
    <font>
      <i/>
      <sz val="11"/>
      <color rgb="FF666666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2937"/>
        <bgColor rgb="FF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1" fillId="0" borderId="0" xfId="0" applyFont="1"/>
    <xf numFmtId="0" fontId="0" fillId="0" borderId="0" xfId="0" applyAlignment="1">
      <alignment vertical="top" wrapText="1"/>
    </xf>
    <xf numFmtId="0" fontId="2" fillId="2" borderId="0" xfId="0" applyFont="1" applyFill="1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"/>
  <sheetViews>
    <sheetView tabSelected="1" workbookViewId="0"/>
  </sheetViews>
  <sheetFormatPr defaultRowHeight="14.25" x14ac:dyDescent="0.45"/>
  <cols>
    <col min="1" max="1" width="28" customWidth="1"/>
    <col min="2" max="2" width="8" customWidth="1"/>
    <col min="3" max="3" width="90" customWidth="1"/>
  </cols>
  <sheetData>
    <row r="1" spans="1:3" ht="18" x14ac:dyDescent="0.55000000000000004">
      <c r="A1" s="1" t="s">
        <v>0</v>
      </c>
    </row>
    <row r="3" spans="1:3" x14ac:dyDescent="0.45">
      <c r="A3" s="2" t="s">
        <v>1</v>
      </c>
    </row>
    <row r="4" spans="1:3" x14ac:dyDescent="0.45">
      <c r="A4" t="s">
        <v>2</v>
      </c>
    </row>
    <row r="5" spans="1:3" x14ac:dyDescent="0.45">
      <c r="A5" t="s">
        <v>3</v>
      </c>
    </row>
    <row r="6" spans="1:3" x14ac:dyDescent="0.45">
      <c r="A6" t="s">
        <v>4</v>
      </c>
    </row>
    <row r="7" spans="1:3" x14ac:dyDescent="0.45">
      <c r="A7" s="2" t="s">
        <v>5</v>
      </c>
    </row>
    <row r="9" spans="1:3" ht="15.75" x14ac:dyDescent="0.5">
      <c r="A9" s="3" t="s">
        <v>6</v>
      </c>
    </row>
    <row r="11" spans="1:3" x14ac:dyDescent="0.45">
      <c r="A11" s="4" t="s">
        <v>7</v>
      </c>
      <c r="B11" s="4" t="s">
        <v>8</v>
      </c>
      <c r="C11" s="4" t="s">
        <v>9</v>
      </c>
    </row>
    <row r="12" spans="1:3" x14ac:dyDescent="0.45">
      <c r="A12" t="s">
        <v>10</v>
      </c>
      <c r="B12">
        <v>62</v>
      </c>
      <c r="C12" t="s">
        <v>11</v>
      </c>
    </row>
    <row r="13" spans="1:3" x14ac:dyDescent="0.45">
      <c r="A13" t="s">
        <v>12</v>
      </c>
      <c r="B13">
        <v>62</v>
      </c>
      <c r="C13" t="s">
        <v>13</v>
      </c>
    </row>
    <row r="14" spans="1:3" x14ac:dyDescent="0.45">
      <c r="A14" t="s">
        <v>14</v>
      </c>
      <c r="B14">
        <v>52</v>
      </c>
      <c r="C14" t="s">
        <v>15</v>
      </c>
    </row>
    <row r="15" spans="1:3" x14ac:dyDescent="0.45">
      <c r="A15" t="s">
        <v>16</v>
      </c>
      <c r="B15">
        <v>55</v>
      </c>
      <c r="C15" t="s">
        <v>17</v>
      </c>
    </row>
    <row r="16" spans="1:3" x14ac:dyDescent="0.45">
      <c r="A16" t="s">
        <v>18</v>
      </c>
      <c r="B16">
        <v>53</v>
      </c>
      <c r="C16" t="s">
        <v>19</v>
      </c>
    </row>
    <row r="17" spans="1:3" x14ac:dyDescent="0.45">
      <c r="A17" t="s">
        <v>20</v>
      </c>
      <c r="B17">
        <v>6</v>
      </c>
      <c r="C17" t="s">
        <v>21</v>
      </c>
    </row>
    <row r="18" spans="1:3" x14ac:dyDescent="0.45">
      <c r="A18" t="s">
        <v>22</v>
      </c>
      <c r="B18">
        <v>6</v>
      </c>
      <c r="C18" t="s">
        <v>23</v>
      </c>
    </row>
    <row r="19" spans="1:3" x14ac:dyDescent="0.45">
      <c r="A19" t="s">
        <v>24</v>
      </c>
      <c r="B19">
        <v>48</v>
      </c>
      <c r="C19" t="s">
        <v>25</v>
      </c>
    </row>
    <row r="20" spans="1:3" x14ac:dyDescent="0.45">
      <c r="A20" t="s">
        <v>26</v>
      </c>
      <c r="B20">
        <v>12</v>
      </c>
      <c r="C20" t="s">
        <v>27</v>
      </c>
    </row>
    <row r="21" spans="1:3" x14ac:dyDescent="0.45">
      <c r="A21" t="s">
        <v>28</v>
      </c>
      <c r="B21">
        <v>48</v>
      </c>
      <c r="C21" t="s">
        <v>29</v>
      </c>
    </row>
    <row r="22" spans="1:3" x14ac:dyDescent="0.45">
      <c r="A22" t="s">
        <v>30</v>
      </c>
      <c r="B22">
        <v>48</v>
      </c>
      <c r="C22" t="s">
        <v>31</v>
      </c>
    </row>
    <row r="23" spans="1:3" x14ac:dyDescent="0.45">
      <c r="A23" t="s">
        <v>32</v>
      </c>
      <c r="B23">
        <v>6</v>
      </c>
      <c r="C23" t="s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9"/>
  <sheetViews>
    <sheetView workbookViewId="0"/>
  </sheetViews>
  <sheetFormatPr defaultRowHeight="14.25" x14ac:dyDescent="0.45"/>
  <cols>
    <col min="1" max="1" width="28" customWidth="1"/>
    <col min="2" max="2" width="80" customWidth="1"/>
  </cols>
  <sheetData>
    <row r="1" spans="1:6" ht="18" x14ac:dyDescent="0.55000000000000004">
      <c r="A1" s="1" t="s">
        <v>34</v>
      </c>
      <c r="B1" s="4" t="s">
        <v>83</v>
      </c>
      <c r="C1" s="8">
        <v>46245</v>
      </c>
      <c r="E1" s="4" t="s">
        <v>36</v>
      </c>
      <c r="F1" s="4" t="s">
        <v>36</v>
      </c>
    </row>
    <row r="2" spans="1:6" x14ac:dyDescent="0.45">
      <c r="A2" s="2" t="s">
        <v>37</v>
      </c>
      <c r="B2" t="str">
        <f>INDEX(F:F,MATCH(B1,E:E,0))</f>
        <v>ME</v>
      </c>
      <c r="E2" t="s">
        <v>38</v>
      </c>
      <c r="F2" t="s">
        <v>39</v>
      </c>
    </row>
    <row r="3" spans="1:6" x14ac:dyDescent="0.45">
      <c r="E3" t="s">
        <v>40</v>
      </c>
      <c r="F3" t="s">
        <v>41</v>
      </c>
    </row>
    <row r="4" spans="1:6" x14ac:dyDescent="0.45">
      <c r="A4" s="4" t="s">
        <v>42</v>
      </c>
      <c r="B4" t="s">
        <v>43</v>
      </c>
      <c r="E4" t="s">
        <v>44</v>
      </c>
      <c r="F4" t="s">
        <v>45</v>
      </c>
    </row>
    <row r="5" spans="1:6" x14ac:dyDescent="0.45">
      <c r="A5" s="4" t="s">
        <v>46</v>
      </c>
      <c r="B5" t="s">
        <v>47</v>
      </c>
      <c r="E5" t="s">
        <v>35</v>
      </c>
      <c r="F5" t="s">
        <v>48</v>
      </c>
    </row>
    <row r="6" spans="1:6" x14ac:dyDescent="0.45">
      <c r="A6" s="4" t="s">
        <v>49</v>
      </c>
      <c r="B6" t="s">
        <v>50</v>
      </c>
      <c r="E6" t="s">
        <v>51</v>
      </c>
      <c r="F6" t="s">
        <v>52</v>
      </c>
    </row>
    <row r="7" spans="1:6" x14ac:dyDescent="0.45">
      <c r="A7" s="4" t="s">
        <v>53</v>
      </c>
      <c r="B7">
        <f>Keys!$C$2</f>
        <v>2024</v>
      </c>
      <c r="E7" t="s">
        <v>54</v>
      </c>
      <c r="F7" t="s">
        <v>55</v>
      </c>
    </row>
    <row r="8" spans="1:6" x14ac:dyDescent="0.45">
      <c r="E8" t="s">
        <v>56</v>
      </c>
      <c r="F8" t="s">
        <v>57</v>
      </c>
    </row>
    <row r="9" spans="1:6" ht="15.75" x14ac:dyDescent="0.5">
      <c r="A9" s="3" t="s">
        <v>58</v>
      </c>
      <c r="E9" t="s">
        <v>59</v>
      </c>
      <c r="F9" t="s">
        <v>60</v>
      </c>
    </row>
    <row r="10" spans="1:6" x14ac:dyDescent="0.45">
      <c r="A10" t="s">
        <v>61</v>
      </c>
      <c r="E10" t="s">
        <v>62</v>
      </c>
      <c r="F10" t="s">
        <v>63</v>
      </c>
    </row>
    <row r="11" spans="1:6" x14ac:dyDescent="0.45">
      <c r="A11" t="s">
        <v>64</v>
      </c>
      <c r="E11" t="s">
        <v>65</v>
      </c>
      <c r="F11" t="s">
        <v>66</v>
      </c>
    </row>
    <row r="12" spans="1:6" x14ac:dyDescent="0.45">
      <c r="E12" t="s">
        <v>67</v>
      </c>
      <c r="F12" t="s">
        <v>68</v>
      </c>
    </row>
    <row r="13" spans="1:6" x14ac:dyDescent="0.45">
      <c r="A13" t="s">
        <v>69</v>
      </c>
      <c r="E13" t="s">
        <v>70</v>
      </c>
      <c r="F13" t="s">
        <v>71</v>
      </c>
    </row>
    <row r="14" spans="1:6" x14ac:dyDescent="0.45">
      <c r="A14" t="s">
        <v>72</v>
      </c>
      <c r="E14" t="s">
        <v>73</v>
      </c>
      <c r="F14" t="s">
        <v>74</v>
      </c>
    </row>
    <row r="15" spans="1:6" x14ac:dyDescent="0.45">
      <c r="E15" t="s">
        <v>75</v>
      </c>
      <c r="F15" t="s">
        <v>76</v>
      </c>
    </row>
    <row r="16" spans="1:6" x14ac:dyDescent="0.45">
      <c r="A16" t="s">
        <v>77</v>
      </c>
      <c r="E16" t="s">
        <v>78</v>
      </c>
      <c r="F16" t="s">
        <v>79</v>
      </c>
    </row>
    <row r="17" spans="1:6" x14ac:dyDescent="0.45">
      <c r="A17" t="s">
        <v>80</v>
      </c>
      <c r="E17" t="s">
        <v>81</v>
      </c>
      <c r="F17" t="s">
        <v>82</v>
      </c>
    </row>
    <row r="18" spans="1:6" x14ac:dyDescent="0.45">
      <c r="E18" t="s">
        <v>83</v>
      </c>
      <c r="F18" t="s">
        <v>84</v>
      </c>
    </row>
    <row r="19" spans="1:6" x14ac:dyDescent="0.45">
      <c r="A19" t="s">
        <v>85</v>
      </c>
      <c r="E19" t="s">
        <v>86</v>
      </c>
      <c r="F19" t="s">
        <v>87</v>
      </c>
    </row>
    <row r="20" spans="1:6" x14ac:dyDescent="0.45">
      <c r="A20" t="s">
        <v>88</v>
      </c>
      <c r="E20" t="s">
        <v>89</v>
      </c>
      <c r="F20" t="s">
        <v>90</v>
      </c>
    </row>
    <row r="21" spans="1:6" x14ac:dyDescent="0.45">
      <c r="E21" t="s">
        <v>91</v>
      </c>
      <c r="F21" t="s">
        <v>92</v>
      </c>
    </row>
    <row r="22" spans="1:6" x14ac:dyDescent="0.45">
      <c r="A22" t="s">
        <v>93</v>
      </c>
      <c r="E22" t="s">
        <v>94</v>
      </c>
      <c r="F22" t="s">
        <v>95</v>
      </c>
    </row>
    <row r="23" spans="1:6" x14ac:dyDescent="0.45">
      <c r="A23" t="s">
        <v>96</v>
      </c>
      <c r="E23" t="s">
        <v>97</v>
      </c>
      <c r="F23" t="s">
        <v>98</v>
      </c>
    </row>
    <row r="24" spans="1:6" x14ac:dyDescent="0.45">
      <c r="E24" t="s">
        <v>99</v>
      </c>
      <c r="F24" t="s">
        <v>100</v>
      </c>
    </row>
    <row r="25" spans="1:6" x14ac:dyDescent="0.45">
      <c r="E25" t="s">
        <v>101</v>
      </c>
      <c r="F25" t="s">
        <v>102</v>
      </c>
    </row>
    <row r="26" spans="1:6" x14ac:dyDescent="0.45">
      <c r="E26" t="s">
        <v>103</v>
      </c>
      <c r="F26" t="s">
        <v>104</v>
      </c>
    </row>
    <row r="27" spans="1:6" x14ac:dyDescent="0.45">
      <c r="E27" t="s">
        <v>105</v>
      </c>
      <c r="F27" t="s">
        <v>106</v>
      </c>
    </row>
    <row r="28" spans="1:6" x14ac:dyDescent="0.45">
      <c r="E28" t="s">
        <v>107</v>
      </c>
      <c r="F28" t="s">
        <v>108</v>
      </c>
    </row>
    <row r="29" spans="1:6" x14ac:dyDescent="0.45">
      <c r="E29" t="s">
        <v>109</v>
      </c>
      <c r="F29" t="s">
        <v>110</v>
      </c>
    </row>
    <row r="30" spans="1:6" x14ac:dyDescent="0.45">
      <c r="E30" t="s">
        <v>111</v>
      </c>
      <c r="F30" t="s">
        <v>112</v>
      </c>
    </row>
    <row r="31" spans="1:6" x14ac:dyDescent="0.45">
      <c r="E31" t="s">
        <v>113</v>
      </c>
      <c r="F31" t="s">
        <v>114</v>
      </c>
    </row>
    <row r="32" spans="1:6" x14ac:dyDescent="0.45">
      <c r="E32" t="s">
        <v>115</v>
      </c>
      <c r="F32" t="s">
        <v>116</v>
      </c>
    </row>
    <row r="33" spans="5:6" x14ac:dyDescent="0.45">
      <c r="E33" t="s">
        <v>117</v>
      </c>
      <c r="F33" t="s">
        <v>118</v>
      </c>
    </row>
    <row r="34" spans="5:6" x14ac:dyDescent="0.45">
      <c r="E34" t="s">
        <v>119</v>
      </c>
      <c r="F34" t="s">
        <v>120</v>
      </c>
    </row>
    <row r="35" spans="5:6" x14ac:dyDescent="0.45">
      <c r="E35" t="s">
        <v>121</v>
      </c>
      <c r="F35" t="s">
        <v>122</v>
      </c>
    </row>
    <row r="36" spans="5:6" x14ac:dyDescent="0.45">
      <c r="E36" t="s">
        <v>123</v>
      </c>
      <c r="F36" t="s">
        <v>124</v>
      </c>
    </row>
    <row r="37" spans="5:6" x14ac:dyDescent="0.45">
      <c r="E37" t="s">
        <v>125</v>
      </c>
      <c r="F37" t="s">
        <v>126</v>
      </c>
    </row>
    <row r="38" spans="5:6" x14ac:dyDescent="0.45">
      <c r="E38" t="s">
        <v>127</v>
      </c>
      <c r="F38" t="s">
        <v>128</v>
      </c>
    </row>
    <row r="39" spans="5:6" x14ac:dyDescent="0.45">
      <c r="E39" t="s">
        <v>129</v>
      </c>
      <c r="F39" t="s">
        <v>130</v>
      </c>
    </row>
    <row r="40" spans="5:6" x14ac:dyDescent="0.45">
      <c r="E40" t="s">
        <v>131</v>
      </c>
      <c r="F40" t="s">
        <v>132</v>
      </c>
    </row>
    <row r="41" spans="5:6" x14ac:dyDescent="0.45">
      <c r="E41" t="s">
        <v>133</v>
      </c>
      <c r="F41" t="s">
        <v>134</v>
      </c>
    </row>
    <row r="42" spans="5:6" x14ac:dyDescent="0.45">
      <c r="E42" t="s">
        <v>135</v>
      </c>
      <c r="F42" t="s">
        <v>136</v>
      </c>
    </row>
    <row r="43" spans="5:6" x14ac:dyDescent="0.45">
      <c r="E43" t="s">
        <v>137</v>
      </c>
      <c r="F43" t="s">
        <v>138</v>
      </c>
    </row>
    <row r="44" spans="5:6" x14ac:dyDescent="0.45">
      <c r="E44" t="s">
        <v>139</v>
      </c>
      <c r="F44" t="s">
        <v>140</v>
      </c>
    </row>
    <row r="45" spans="5:6" x14ac:dyDescent="0.45">
      <c r="E45" t="s">
        <v>141</v>
      </c>
      <c r="F45" t="s">
        <v>142</v>
      </c>
    </row>
    <row r="46" spans="5:6" x14ac:dyDescent="0.45">
      <c r="E46" t="s">
        <v>143</v>
      </c>
      <c r="F46" t="s">
        <v>144</v>
      </c>
    </row>
    <row r="47" spans="5:6" x14ac:dyDescent="0.45">
      <c r="E47" t="s">
        <v>145</v>
      </c>
      <c r="F47" t="s">
        <v>146</v>
      </c>
    </row>
    <row r="48" spans="5:6" x14ac:dyDescent="0.45">
      <c r="E48" t="s">
        <v>147</v>
      </c>
      <c r="F48" t="s">
        <v>148</v>
      </c>
    </row>
    <row r="49" spans="5:6" x14ac:dyDescent="0.45">
      <c r="E49" t="s">
        <v>149</v>
      </c>
      <c r="F49" t="s">
        <v>150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3"/>
  <sheetViews>
    <sheetView workbookViewId="0"/>
  </sheetViews>
  <sheetFormatPr defaultRowHeight="14.25" x14ac:dyDescent="0.45"/>
  <cols>
    <col min="1" max="1" width="130" customWidth="1"/>
  </cols>
  <sheetData>
    <row r="1" spans="1:1" ht="18" x14ac:dyDescent="0.55000000000000004">
      <c r="A1" s="1" t="s">
        <v>151</v>
      </c>
    </row>
    <row r="2" spans="1:1" x14ac:dyDescent="0.45">
      <c r="A2" s="2" t="s">
        <v>152</v>
      </c>
    </row>
    <row r="4" spans="1:1" ht="15.75" x14ac:dyDescent="0.5">
      <c r="A4" s="3" t="s">
        <v>153</v>
      </c>
    </row>
    <row r="5" spans="1:1" ht="30" customHeight="1" x14ac:dyDescent="0.45">
      <c r="A5" s="5" t="s">
        <v>154</v>
      </c>
    </row>
    <row r="7" spans="1:1" ht="15.75" x14ac:dyDescent="0.5">
      <c r="A7" s="3" t="s">
        <v>155</v>
      </c>
    </row>
    <row r="8" spans="1:1" ht="150" customHeight="1" x14ac:dyDescent="0.45">
      <c r="A8" s="5" t="s">
        <v>156</v>
      </c>
    </row>
    <row r="10" spans="1:1" ht="15.75" x14ac:dyDescent="0.5">
      <c r="A10" s="3" t="s">
        <v>157</v>
      </c>
    </row>
    <row r="11" spans="1:1" ht="210" customHeight="1" x14ac:dyDescent="0.45">
      <c r="A11" s="5" t="s">
        <v>158</v>
      </c>
    </row>
    <row r="13" spans="1:1" ht="15.75" x14ac:dyDescent="0.5">
      <c r="A13" s="3" t="s">
        <v>159</v>
      </c>
    </row>
    <row r="14" spans="1:1" ht="105" customHeight="1" x14ac:dyDescent="0.45">
      <c r="A14" s="5" t="s">
        <v>160</v>
      </c>
    </row>
    <row r="16" spans="1:1" ht="15.75" x14ac:dyDescent="0.5">
      <c r="A16" s="3" t="s">
        <v>161</v>
      </c>
    </row>
    <row r="17" spans="1:1" ht="45" customHeight="1" x14ac:dyDescent="0.45">
      <c r="A17" s="5" t="s">
        <v>162</v>
      </c>
    </row>
    <row r="19" spans="1:1" ht="15.75" x14ac:dyDescent="0.5">
      <c r="A19" s="3" t="s">
        <v>163</v>
      </c>
    </row>
    <row r="20" spans="1:1" ht="45" customHeight="1" x14ac:dyDescent="0.45">
      <c r="A20" s="5" t="s">
        <v>164</v>
      </c>
    </row>
    <row r="22" spans="1:1" ht="15.75" x14ac:dyDescent="0.5">
      <c r="A22" s="3" t="s">
        <v>165</v>
      </c>
    </row>
    <row r="23" spans="1:1" ht="30" customHeight="1" x14ac:dyDescent="0.45">
      <c r="A23" s="5" t="s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3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6" customWidth="1"/>
    <col min="2" max="3" width="30" customWidth="1"/>
    <col min="4" max="4" width="100" customWidth="1"/>
  </cols>
  <sheetData>
    <row r="1" spans="1:4" x14ac:dyDescent="0.45">
      <c r="A1" s="6" t="s">
        <v>167</v>
      </c>
      <c r="B1" s="6" t="s">
        <v>168</v>
      </c>
      <c r="C1" s="6" t="s">
        <v>169</v>
      </c>
      <c r="D1" s="6" t="s">
        <v>170</v>
      </c>
    </row>
    <row r="2" spans="1:4" x14ac:dyDescent="0.45">
      <c r="A2" t="s">
        <v>171</v>
      </c>
      <c r="B2" t="s">
        <v>172</v>
      </c>
      <c r="C2">
        <v>2024</v>
      </c>
      <c r="D2" t="s">
        <v>173</v>
      </c>
    </row>
    <row r="3" spans="1:4" x14ac:dyDescent="0.45">
      <c r="A3" t="s">
        <v>171</v>
      </c>
      <c r="B3" t="s">
        <v>174</v>
      </c>
      <c r="C3">
        <v>2023</v>
      </c>
      <c r="D3" t="s">
        <v>175</v>
      </c>
    </row>
    <row r="4" spans="1:4" x14ac:dyDescent="0.45">
      <c r="A4" t="s">
        <v>171</v>
      </c>
      <c r="B4" t="s">
        <v>176</v>
      </c>
      <c r="C4">
        <v>2026</v>
      </c>
      <c r="D4" t="s">
        <v>177</v>
      </c>
    </row>
    <row r="5" spans="1:4" x14ac:dyDescent="0.45">
      <c r="A5" t="s">
        <v>178</v>
      </c>
      <c r="B5" t="s">
        <v>179</v>
      </c>
      <c r="C5" t="s">
        <v>179</v>
      </c>
      <c r="D5" t="s">
        <v>180</v>
      </c>
    </row>
    <row r="6" spans="1:4" x14ac:dyDescent="0.45">
      <c r="A6" t="s">
        <v>178</v>
      </c>
      <c r="B6" t="s">
        <v>181</v>
      </c>
      <c r="C6" t="s">
        <v>181</v>
      </c>
      <c r="D6" t="s">
        <v>182</v>
      </c>
    </row>
    <row r="7" spans="1:4" x14ac:dyDescent="0.45">
      <c r="A7" t="s">
        <v>183</v>
      </c>
      <c r="B7" t="s">
        <v>184</v>
      </c>
      <c r="C7" t="s">
        <v>184</v>
      </c>
      <c r="D7" t="s">
        <v>185</v>
      </c>
    </row>
    <row r="8" spans="1:4" x14ac:dyDescent="0.45">
      <c r="A8" t="s">
        <v>183</v>
      </c>
      <c r="B8" t="s">
        <v>186</v>
      </c>
      <c r="C8" t="s">
        <v>186</v>
      </c>
      <c r="D8" t="s">
        <v>187</v>
      </c>
    </row>
    <row r="9" spans="1:4" x14ac:dyDescent="0.45">
      <c r="A9" t="s">
        <v>183</v>
      </c>
      <c r="B9" t="s">
        <v>188</v>
      </c>
      <c r="C9" t="s">
        <v>188</v>
      </c>
      <c r="D9" t="s">
        <v>189</v>
      </c>
    </row>
    <row r="10" spans="1:4" x14ac:dyDescent="0.45">
      <c r="A10" t="s">
        <v>183</v>
      </c>
      <c r="B10" t="s">
        <v>190</v>
      </c>
      <c r="C10" t="s">
        <v>190</v>
      </c>
      <c r="D10" t="s">
        <v>191</v>
      </c>
    </row>
    <row r="11" spans="1:4" x14ac:dyDescent="0.45">
      <c r="A11" t="s">
        <v>183</v>
      </c>
      <c r="B11" t="s">
        <v>192</v>
      </c>
      <c r="C11" t="s">
        <v>192</v>
      </c>
      <c r="D11" t="s">
        <v>193</v>
      </c>
    </row>
    <row r="12" spans="1:4" x14ac:dyDescent="0.45">
      <c r="A12" t="s">
        <v>183</v>
      </c>
      <c r="B12" t="s">
        <v>194</v>
      </c>
      <c r="C12" t="s">
        <v>194</v>
      </c>
      <c r="D12" t="s">
        <v>195</v>
      </c>
    </row>
    <row r="13" spans="1:4" x14ac:dyDescent="0.45">
      <c r="A13" t="s">
        <v>196</v>
      </c>
      <c r="B13" t="s">
        <v>197</v>
      </c>
      <c r="C13" t="s">
        <v>198</v>
      </c>
      <c r="D13" t="s">
        <v>199</v>
      </c>
    </row>
    <row r="14" spans="1:4" x14ac:dyDescent="0.45">
      <c r="A14" t="s">
        <v>196</v>
      </c>
      <c r="B14" t="s">
        <v>200</v>
      </c>
      <c r="C14" t="s">
        <v>201</v>
      </c>
      <c r="D14" t="s">
        <v>202</v>
      </c>
    </row>
    <row r="15" spans="1:4" x14ac:dyDescent="0.45">
      <c r="A15" t="s">
        <v>196</v>
      </c>
      <c r="B15" t="s">
        <v>203</v>
      </c>
      <c r="C15" t="s">
        <v>204</v>
      </c>
      <c r="D15" t="s">
        <v>205</v>
      </c>
    </row>
    <row r="16" spans="1:4" x14ac:dyDescent="0.45">
      <c r="A16" t="s">
        <v>196</v>
      </c>
      <c r="B16" t="s">
        <v>206</v>
      </c>
      <c r="C16" t="s">
        <v>207</v>
      </c>
      <c r="D16" t="s">
        <v>208</v>
      </c>
    </row>
    <row r="17" spans="1:4" x14ac:dyDescent="0.45">
      <c r="A17" t="s">
        <v>196</v>
      </c>
      <c r="B17" t="s">
        <v>209</v>
      </c>
      <c r="C17" t="s">
        <v>210</v>
      </c>
      <c r="D17" t="s">
        <v>211</v>
      </c>
    </row>
    <row r="18" spans="1:4" x14ac:dyDescent="0.45">
      <c r="A18" t="s">
        <v>196</v>
      </c>
      <c r="B18" t="s">
        <v>212</v>
      </c>
      <c r="C18" t="s">
        <v>213</v>
      </c>
      <c r="D18" t="s">
        <v>214</v>
      </c>
    </row>
    <row r="19" spans="1:4" x14ac:dyDescent="0.45">
      <c r="A19" t="s">
        <v>196</v>
      </c>
      <c r="B19" t="s">
        <v>215</v>
      </c>
      <c r="C19" t="s">
        <v>216</v>
      </c>
      <c r="D19" t="s">
        <v>217</v>
      </c>
    </row>
    <row r="20" spans="1:4" x14ac:dyDescent="0.45">
      <c r="A20" t="s">
        <v>218</v>
      </c>
      <c r="B20" t="s">
        <v>219</v>
      </c>
      <c r="C20" t="s">
        <v>220</v>
      </c>
      <c r="D20" t="s">
        <v>221</v>
      </c>
    </row>
    <row r="21" spans="1:4" x14ac:dyDescent="0.45">
      <c r="A21" t="s">
        <v>218</v>
      </c>
      <c r="B21" t="s">
        <v>222</v>
      </c>
      <c r="C21" t="s">
        <v>223</v>
      </c>
      <c r="D21" t="s">
        <v>224</v>
      </c>
    </row>
    <row r="22" spans="1:4" x14ac:dyDescent="0.45">
      <c r="A22" t="s">
        <v>218</v>
      </c>
      <c r="B22" t="s">
        <v>225</v>
      </c>
      <c r="C22" t="s">
        <v>226</v>
      </c>
      <c r="D22" t="s">
        <v>227</v>
      </c>
    </row>
    <row r="23" spans="1:4" x14ac:dyDescent="0.45">
      <c r="A23" t="s">
        <v>218</v>
      </c>
      <c r="B23" t="s">
        <v>228</v>
      </c>
      <c r="C23" t="s">
        <v>229</v>
      </c>
      <c r="D23" t="s">
        <v>230</v>
      </c>
    </row>
    <row r="24" spans="1:4" x14ac:dyDescent="0.45">
      <c r="A24" t="s">
        <v>218</v>
      </c>
      <c r="B24" t="s">
        <v>231</v>
      </c>
      <c r="C24" t="s">
        <v>232</v>
      </c>
      <c r="D24" t="s">
        <v>233</v>
      </c>
    </row>
    <row r="25" spans="1:4" x14ac:dyDescent="0.45">
      <c r="A25" t="s">
        <v>234</v>
      </c>
      <c r="B25" t="s">
        <v>219</v>
      </c>
      <c r="C25" t="s">
        <v>235</v>
      </c>
      <c r="D25" t="s">
        <v>236</v>
      </c>
    </row>
    <row r="26" spans="1:4" x14ac:dyDescent="0.45">
      <c r="A26" t="s">
        <v>234</v>
      </c>
      <c r="B26" t="s">
        <v>237</v>
      </c>
      <c r="C26" t="s">
        <v>238</v>
      </c>
      <c r="D26" t="s">
        <v>239</v>
      </c>
    </row>
    <row r="27" spans="1:4" x14ac:dyDescent="0.45">
      <c r="A27" t="s">
        <v>240</v>
      </c>
      <c r="B27" t="s">
        <v>241</v>
      </c>
      <c r="C27">
        <v>0.76</v>
      </c>
      <c r="D27" t="s">
        <v>242</v>
      </c>
    </row>
    <row r="28" spans="1:4" x14ac:dyDescent="0.45">
      <c r="A28" t="s">
        <v>240</v>
      </c>
      <c r="B28" t="s">
        <v>243</v>
      </c>
      <c r="C28">
        <v>0.24</v>
      </c>
      <c r="D28" t="s">
        <v>244</v>
      </c>
    </row>
    <row r="29" spans="1:4" x14ac:dyDescent="0.45">
      <c r="A29" t="s">
        <v>240</v>
      </c>
      <c r="B29" t="s">
        <v>245</v>
      </c>
      <c r="C29">
        <v>4.4999999999999998E-2</v>
      </c>
      <c r="D29" t="s">
        <v>246</v>
      </c>
    </row>
    <row r="30" spans="1:4" x14ac:dyDescent="0.45">
      <c r="A30" t="s">
        <v>240</v>
      </c>
      <c r="B30" t="s">
        <v>247</v>
      </c>
      <c r="C30">
        <v>0.95499999999999996</v>
      </c>
      <c r="D30" t="s">
        <v>248</v>
      </c>
    </row>
    <row r="31" spans="1:4" x14ac:dyDescent="0.45">
      <c r="A31" t="s">
        <v>240</v>
      </c>
      <c r="B31" t="s">
        <v>249</v>
      </c>
      <c r="C31">
        <v>3.6999999999999998E-2</v>
      </c>
      <c r="D31" t="s">
        <v>250</v>
      </c>
    </row>
    <row r="32" spans="1:4" x14ac:dyDescent="0.45">
      <c r="A32" t="s">
        <v>240</v>
      </c>
      <c r="B32" t="s">
        <v>251</v>
      </c>
      <c r="C32">
        <v>0.96299999999999997</v>
      </c>
      <c r="D32" t="s">
        <v>252</v>
      </c>
    </row>
    <row r="33" spans="1:4" x14ac:dyDescent="0.45">
      <c r="A33" t="s">
        <v>253</v>
      </c>
      <c r="B33" t="s">
        <v>254</v>
      </c>
      <c r="C33" t="s">
        <v>229</v>
      </c>
      <c r="D33" t="s">
        <v>255</v>
      </c>
    </row>
    <row r="34" spans="1:4" x14ac:dyDescent="0.45">
      <c r="A34" t="s">
        <v>253</v>
      </c>
      <c r="B34" t="s">
        <v>256</v>
      </c>
      <c r="C34" t="s">
        <v>257</v>
      </c>
      <c r="D34" t="s">
        <v>258</v>
      </c>
    </row>
    <row r="35" spans="1:4" x14ac:dyDescent="0.45">
      <c r="A35" t="s">
        <v>253</v>
      </c>
      <c r="B35" t="s">
        <v>259</v>
      </c>
      <c r="C35" t="s">
        <v>260</v>
      </c>
      <c r="D35" t="s">
        <v>261</v>
      </c>
    </row>
    <row r="36" spans="1:4" x14ac:dyDescent="0.45">
      <c r="A36" t="s">
        <v>253</v>
      </c>
      <c r="B36" t="s">
        <v>262</v>
      </c>
      <c r="C36" t="s">
        <v>263</v>
      </c>
      <c r="D36" t="s">
        <v>264</v>
      </c>
    </row>
    <row r="37" spans="1:4" x14ac:dyDescent="0.45">
      <c r="A37" t="s">
        <v>253</v>
      </c>
      <c r="B37" t="s">
        <v>265</v>
      </c>
      <c r="C37" t="s">
        <v>266</v>
      </c>
      <c r="D37" t="s">
        <v>267</v>
      </c>
    </row>
    <row r="38" spans="1:4" x14ac:dyDescent="0.45">
      <c r="A38" t="s">
        <v>253</v>
      </c>
      <c r="B38" t="s">
        <v>268</v>
      </c>
      <c r="C38" t="s">
        <v>269</v>
      </c>
      <c r="D38" t="s">
        <v>270</v>
      </c>
    </row>
    <row r="39" spans="1:4" x14ac:dyDescent="0.45">
      <c r="A39" t="s">
        <v>253</v>
      </c>
      <c r="B39" t="s">
        <v>271</v>
      </c>
      <c r="C39" t="s">
        <v>45</v>
      </c>
      <c r="D39" t="s">
        <v>272</v>
      </c>
    </row>
    <row r="40" spans="1:4" x14ac:dyDescent="0.45">
      <c r="A40" t="s">
        <v>253</v>
      </c>
      <c r="B40" t="s">
        <v>273</v>
      </c>
      <c r="C40" t="s">
        <v>274</v>
      </c>
      <c r="D40" t="s">
        <v>275</v>
      </c>
    </row>
    <row r="41" spans="1:4" x14ac:dyDescent="0.45">
      <c r="A41" t="s">
        <v>253</v>
      </c>
      <c r="B41" t="s">
        <v>276</v>
      </c>
      <c r="C41" t="s">
        <v>277</v>
      </c>
      <c r="D41" t="s">
        <v>278</v>
      </c>
    </row>
    <row r="42" spans="1:4" x14ac:dyDescent="0.45">
      <c r="A42" t="s">
        <v>253</v>
      </c>
      <c r="B42" t="s">
        <v>279</v>
      </c>
      <c r="C42" t="s">
        <v>280</v>
      </c>
      <c r="D42" t="s">
        <v>281</v>
      </c>
    </row>
    <row r="43" spans="1:4" x14ac:dyDescent="0.45">
      <c r="A43" t="s">
        <v>253</v>
      </c>
      <c r="B43" t="s">
        <v>282</v>
      </c>
      <c r="C43" t="s">
        <v>41</v>
      </c>
      <c r="D43" t="s">
        <v>283</v>
      </c>
    </row>
    <row r="44" spans="1:4" x14ac:dyDescent="0.45">
      <c r="A44" t="s">
        <v>253</v>
      </c>
      <c r="B44" t="s">
        <v>284</v>
      </c>
      <c r="C44" t="s">
        <v>285</v>
      </c>
      <c r="D44" t="s">
        <v>286</v>
      </c>
    </row>
    <row r="45" spans="1:4" x14ac:dyDescent="0.45">
      <c r="A45" t="s">
        <v>287</v>
      </c>
      <c r="B45" t="s">
        <v>288</v>
      </c>
      <c r="C45">
        <v>2</v>
      </c>
      <c r="D45" t="s">
        <v>289</v>
      </c>
    </row>
    <row r="46" spans="1:4" x14ac:dyDescent="0.45">
      <c r="A46" t="s">
        <v>287</v>
      </c>
      <c r="B46" t="s">
        <v>290</v>
      </c>
      <c r="C46">
        <v>3</v>
      </c>
      <c r="D46" t="s">
        <v>291</v>
      </c>
    </row>
    <row r="47" spans="1:4" x14ac:dyDescent="0.45">
      <c r="A47" t="s">
        <v>287</v>
      </c>
      <c r="B47" t="s">
        <v>292</v>
      </c>
      <c r="C47">
        <v>4</v>
      </c>
      <c r="D47" t="s">
        <v>293</v>
      </c>
    </row>
    <row r="48" spans="1:4" x14ac:dyDescent="0.45">
      <c r="A48" t="s">
        <v>287</v>
      </c>
      <c r="B48" t="s">
        <v>294</v>
      </c>
      <c r="C48">
        <v>5</v>
      </c>
      <c r="D48" t="s">
        <v>295</v>
      </c>
    </row>
    <row r="49" spans="1:4" x14ac:dyDescent="0.45">
      <c r="A49" t="s">
        <v>287</v>
      </c>
      <c r="B49" t="s">
        <v>296</v>
      </c>
      <c r="C49">
        <v>6</v>
      </c>
      <c r="D49" t="s">
        <v>297</v>
      </c>
    </row>
    <row r="50" spans="1:4" x14ac:dyDescent="0.45">
      <c r="A50" t="s">
        <v>287</v>
      </c>
      <c r="B50" t="s">
        <v>298</v>
      </c>
      <c r="C50">
        <v>7</v>
      </c>
      <c r="D50" t="s">
        <v>299</v>
      </c>
    </row>
    <row r="51" spans="1:4" x14ac:dyDescent="0.45">
      <c r="A51" t="s">
        <v>287</v>
      </c>
      <c r="B51" t="s">
        <v>300</v>
      </c>
      <c r="C51" t="s">
        <v>235</v>
      </c>
      <c r="D51" t="s">
        <v>301</v>
      </c>
    </row>
    <row r="52" spans="1:4" x14ac:dyDescent="0.45">
      <c r="A52" t="s">
        <v>287</v>
      </c>
      <c r="B52" t="s">
        <v>302</v>
      </c>
      <c r="C52" t="s">
        <v>238</v>
      </c>
      <c r="D52" t="s">
        <v>303</v>
      </c>
    </row>
    <row r="53" spans="1:4" x14ac:dyDescent="0.45">
      <c r="A53" t="s">
        <v>287</v>
      </c>
      <c r="B53" t="s">
        <v>304</v>
      </c>
      <c r="C53" t="s">
        <v>223</v>
      </c>
      <c r="D53" t="s">
        <v>305</v>
      </c>
    </row>
    <row r="54" spans="1:4" x14ac:dyDescent="0.45">
      <c r="A54" t="s">
        <v>287</v>
      </c>
      <c r="B54" t="s">
        <v>306</v>
      </c>
      <c r="C54" t="s">
        <v>307</v>
      </c>
      <c r="D54" t="s">
        <v>308</v>
      </c>
    </row>
    <row r="55" spans="1:4" x14ac:dyDescent="0.45">
      <c r="A55" t="s">
        <v>287</v>
      </c>
      <c r="B55" t="s">
        <v>309</v>
      </c>
      <c r="C55" t="s">
        <v>310</v>
      </c>
      <c r="D55" t="s">
        <v>311</v>
      </c>
    </row>
    <row r="56" spans="1:4" x14ac:dyDescent="0.45">
      <c r="A56" t="s">
        <v>287</v>
      </c>
      <c r="B56" t="s">
        <v>312</v>
      </c>
      <c r="C56" t="s">
        <v>226</v>
      </c>
      <c r="D56" t="s">
        <v>313</v>
      </c>
    </row>
    <row r="57" spans="1:4" x14ac:dyDescent="0.45">
      <c r="A57" t="s">
        <v>287</v>
      </c>
      <c r="B57" t="s">
        <v>314</v>
      </c>
      <c r="C57" t="s">
        <v>315</v>
      </c>
      <c r="D57" t="s">
        <v>316</v>
      </c>
    </row>
    <row r="58" spans="1:4" x14ac:dyDescent="0.45">
      <c r="A58" t="s">
        <v>317</v>
      </c>
      <c r="B58" t="s">
        <v>318</v>
      </c>
      <c r="C58">
        <v>0.1</v>
      </c>
      <c r="D58" t="s">
        <v>319</v>
      </c>
    </row>
    <row r="59" spans="1:4" x14ac:dyDescent="0.45">
      <c r="A59" t="s">
        <v>317</v>
      </c>
      <c r="B59" t="s">
        <v>320</v>
      </c>
      <c r="C59">
        <v>24</v>
      </c>
      <c r="D59" t="s">
        <v>321</v>
      </c>
    </row>
    <row r="60" spans="1:4" x14ac:dyDescent="0.45">
      <c r="A60" t="s">
        <v>317</v>
      </c>
      <c r="B60" t="s">
        <v>322</v>
      </c>
      <c r="C60">
        <v>1</v>
      </c>
      <c r="D60" t="s">
        <v>323</v>
      </c>
    </row>
    <row r="61" spans="1:4" x14ac:dyDescent="0.45">
      <c r="A61" t="s">
        <v>324</v>
      </c>
      <c r="B61" t="s">
        <v>325</v>
      </c>
      <c r="C61" t="s">
        <v>326</v>
      </c>
      <c r="D61" t="s">
        <v>327</v>
      </c>
    </row>
    <row r="62" spans="1:4" x14ac:dyDescent="0.45">
      <c r="A62" t="s">
        <v>328</v>
      </c>
      <c r="B62" t="s">
        <v>329</v>
      </c>
      <c r="C62" t="s">
        <v>121</v>
      </c>
      <c r="D62" t="s">
        <v>330</v>
      </c>
    </row>
    <row r="63" spans="1:4" x14ac:dyDescent="0.45">
      <c r="A63" t="s">
        <v>328</v>
      </c>
      <c r="B63" t="s">
        <v>331</v>
      </c>
      <c r="C63" t="s">
        <v>332</v>
      </c>
      <c r="D63" t="s">
        <v>333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334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ROUND(AFDC_state_fuels_lookup!C3, 0)</f>
        <v>17500</v>
      </c>
      <c r="C3">
        <f>ROUND(AFDC_state_fuels_lookup!E3, 0)</f>
        <v>100</v>
      </c>
      <c r="D3">
        <f>ROUND(MAX(0, State_lookup!O2 - B3-C3-E3-F3-G3-H3), 0)</f>
        <v>5181815</v>
      </c>
      <c r="E3">
        <f>ROUND(AFDC_state_fuels_lookup!G3, 0)</f>
        <v>28594</v>
      </c>
      <c r="F3">
        <f>ROUND(AFDC_state_fuels_lookup!D3, 0)</f>
        <v>6800</v>
      </c>
      <c r="G3">
        <f>ROUND(AFDC_state_fuels_lookup!H3, 0)</f>
        <v>100</v>
      </c>
      <c r="H3">
        <f>ROUND(AFDC_state_fuels_lookup!I3, 0)</f>
        <v>0</v>
      </c>
    </row>
    <row r="4" spans="1:8" x14ac:dyDescent="0.45">
      <c r="A4" t="str">
        <f>State_lookup!B3</f>
        <v>Arizona</v>
      </c>
      <c r="B4">
        <f>ROUND(AFDC_state_fuels_lookup!C4, 0)</f>
        <v>111200</v>
      </c>
      <c r="C4">
        <f>ROUND(AFDC_state_fuels_lookup!E4, 0)</f>
        <v>500</v>
      </c>
      <c r="D4">
        <f>ROUND(MAX(0, State_lookup!O3 - B4-C4-E4-F4-G4-H4), 0)</f>
        <v>5865636</v>
      </c>
      <c r="E4">
        <f>ROUND(AFDC_state_fuels_lookup!G4, 0)</f>
        <v>42056</v>
      </c>
      <c r="F4">
        <f>ROUND(AFDC_state_fuels_lookup!D4, 0)</f>
        <v>29300</v>
      </c>
      <c r="G4">
        <f>ROUND(AFDC_state_fuels_lookup!H4, 0)</f>
        <v>700</v>
      </c>
      <c r="H4">
        <f>ROUND(AFDC_state_fuels_lookup!I4, 0)</f>
        <v>0</v>
      </c>
    </row>
    <row r="5" spans="1:8" x14ac:dyDescent="0.45">
      <c r="A5" t="str">
        <f>State_lookup!B4</f>
        <v>Arkansas</v>
      </c>
      <c r="B5">
        <f>ROUND(AFDC_state_fuels_lookup!C5, 0)</f>
        <v>9500</v>
      </c>
      <c r="C5">
        <f>ROUND(AFDC_state_fuels_lookup!E5, 0)</f>
        <v>200</v>
      </c>
      <c r="D5">
        <f>ROUND(MAX(0, State_lookup!O4 - B5-C5-E5-F5-G5-H5), 0)</f>
        <v>3033562</v>
      </c>
      <c r="E5">
        <f>ROUND(AFDC_state_fuels_lookup!G5, 0)</f>
        <v>20015</v>
      </c>
      <c r="F5">
        <f>ROUND(AFDC_state_fuels_lookup!D5, 0)</f>
        <v>3800</v>
      </c>
      <c r="G5">
        <f>ROUND(AFDC_state_fuels_lookup!H5, 0)</f>
        <v>0</v>
      </c>
      <c r="H5">
        <f>ROUND(AFDC_state_fuels_lookup!I5, 0)</f>
        <v>0</v>
      </c>
    </row>
    <row r="6" spans="1:8" x14ac:dyDescent="0.45">
      <c r="A6" t="str">
        <f>State_lookup!B5</f>
        <v>California</v>
      </c>
      <c r="B6">
        <f>ROUND(AFDC_state_fuels_lookup!C6, 0)</f>
        <v>1533900</v>
      </c>
      <c r="C6">
        <f>ROUND(AFDC_state_fuels_lookup!E6, 0)</f>
        <v>10000</v>
      </c>
      <c r="D6">
        <f>ROUND(MAX(0, State_lookup!O5 - B6-C6-E6-F6-G6-H6), 0)</f>
        <v>26563767</v>
      </c>
      <c r="E6">
        <f>ROUND(AFDC_state_fuels_lookup!G6, 0)</f>
        <v>145284</v>
      </c>
      <c r="F6">
        <f>ROUND(AFDC_state_fuels_lookup!D6, 0)</f>
        <v>447100</v>
      </c>
      <c r="G6">
        <f>ROUND(AFDC_state_fuels_lookup!H6, 0)</f>
        <v>1500</v>
      </c>
      <c r="H6">
        <f>ROUND(AFDC_state_fuels_lookup!I6, 0)</f>
        <v>16900</v>
      </c>
    </row>
    <row r="7" spans="1:8" x14ac:dyDescent="0.45">
      <c r="A7" t="str">
        <f>State_lookup!B6</f>
        <v>Colorado</v>
      </c>
      <c r="B7">
        <f>ROUND(AFDC_state_fuels_lookup!C7, 0)</f>
        <v>127000</v>
      </c>
      <c r="C7">
        <f>ROUND(AFDC_state_fuels_lookup!E7, 0)</f>
        <v>300</v>
      </c>
      <c r="D7">
        <f>ROUND(MAX(0, State_lookup!O6 - B7-C7-E7-F7-G7-H7), 0)</f>
        <v>4569865</v>
      </c>
      <c r="E7">
        <f>ROUND(AFDC_state_fuels_lookup!G7, 0)</f>
        <v>41915</v>
      </c>
      <c r="F7">
        <f>ROUND(AFDC_state_fuels_lookup!D7, 0)</f>
        <v>48700</v>
      </c>
      <c r="G7">
        <f>ROUND(AFDC_state_fuels_lookup!H7, 0)</f>
        <v>100</v>
      </c>
      <c r="H7">
        <f>ROUND(AFDC_state_fuels_lookup!I7, 0)</f>
        <v>0</v>
      </c>
    </row>
    <row r="8" spans="1:8" x14ac:dyDescent="0.45">
      <c r="A8" t="str">
        <f>State_lookup!B7</f>
        <v>Connecticut</v>
      </c>
      <c r="B8">
        <f>ROUND(AFDC_state_fuels_lookup!C8, 0)</f>
        <v>39400</v>
      </c>
      <c r="C8">
        <f>ROUND(AFDC_state_fuels_lookup!E8, 0)</f>
        <v>100</v>
      </c>
      <c r="D8">
        <f>ROUND(MAX(0, State_lookup!O7 - B8-C8-E8-F8-G8-H8), 0)</f>
        <v>2511877</v>
      </c>
      <c r="E8">
        <f>ROUND(AFDC_state_fuels_lookup!G8, 0)</f>
        <v>8027</v>
      </c>
      <c r="F8">
        <f>ROUND(AFDC_state_fuels_lookup!D8, 0)</f>
        <v>22500</v>
      </c>
      <c r="G8">
        <f>ROUND(AFDC_state_fuels_lookup!H8, 0)</f>
        <v>0</v>
      </c>
      <c r="H8">
        <f>ROUND(AFDC_state_fuels_lookup!I8, 0)</f>
        <v>0</v>
      </c>
    </row>
    <row r="9" spans="1:8" x14ac:dyDescent="0.45">
      <c r="A9" t="str">
        <f>State_lookup!B8</f>
        <v>Delaware</v>
      </c>
      <c r="B9">
        <f>ROUND(AFDC_state_fuels_lookup!C9, 0)</f>
        <v>11100</v>
      </c>
      <c r="C9">
        <f>ROUND(AFDC_state_fuels_lookup!E9, 0)</f>
        <v>0</v>
      </c>
      <c r="D9">
        <f>ROUND(MAX(0, State_lookup!O8 - B9-C9-E9-F9-G9-H9), 0)</f>
        <v>853623</v>
      </c>
      <c r="E9">
        <f>ROUND(AFDC_state_fuels_lookup!G9, 0)</f>
        <v>2967</v>
      </c>
      <c r="F9">
        <f>ROUND(AFDC_state_fuels_lookup!D9, 0)</f>
        <v>4600</v>
      </c>
      <c r="G9">
        <f>ROUND(AFDC_state_fuels_lookup!H9, 0)</f>
        <v>0</v>
      </c>
      <c r="H9">
        <f>ROUND(AFDC_state_fuels_lookup!I9, 0)</f>
        <v>0</v>
      </c>
    </row>
    <row r="10" spans="1:8" x14ac:dyDescent="0.45">
      <c r="A10" t="str">
        <f>State_lookup!B9</f>
        <v>Florida</v>
      </c>
      <c r="B10">
        <f>ROUND(AFDC_state_fuels_lookup!C10, 0)</f>
        <v>334800</v>
      </c>
      <c r="C10">
        <f>ROUND(AFDC_state_fuels_lookup!E10, 0)</f>
        <v>400</v>
      </c>
      <c r="D10">
        <f>ROUND(MAX(0, State_lookup!O9 - B10-C10-E10-F10-G10-H10), 0)</f>
        <v>17568363</v>
      </c>
      <c r="E10">
        <f>ROUND(AFDC_state_fuels_lookup!G10, 0)</f>
        <v>82703</v>
      </c>
      <c r="F10">
        <f>ROUND(AFDC_state_fuels_lookup!D10, 0)</f>
        <v>70400</v>
      </c>
      <c r="G10">
        <f>ROUND(AFDC_state_fuels_lookup!H10, 0)</f>
        <v>100</v>
      </c>
      <c r="H10">
        <f>ROUND(AFDC_state_fuels_lookup!I10, 0)</f>
        <v>0</v>
      </c>
    </row>
    <row r="11" spans="1:8" x14ac:dyDescent="0.45">
      <c r="A11" t="str">
        <f>State_lookup!B10</f>
        <v>Georgia</v>
      </c>
      <c r="B11">
        <f>ROUND(AFDC_state_fuels_lookup!C11, 0)</f>
        <v>120000</v>
      </c>
      <c r="C11">
        <f>ROUND(AFDC_state_fuels_lookup!E11, 0)</f>
        <v>300</v>
      </c>
      <c r="D11">
        <f>ROUND(MAX(0, State_lookup!O10 - B11-C11-E11-F11-G11-H11), 0)</f>
        <v>8385378</v>
      </c>
      <c r="E11">
        <f>ROUND(AFDC_state_fuels_lookup!G11, 0)</f>
        <v>47128</v>
      </c>
      <c r="F11">
        <f>ROUND(AFDC_state_fuels_lookup!D11, 0)</f>
        <v>26400</v>
      </c>
      <c r="G11">
        <f>ROUND(AFDC_state_fuels_lookup!H11, 0)</f>
        <v>200</v>
      </c>
      <c r="H11">
        <f>ROUND(AFDC_state_fuels_lookup!I11, 0)</f>
        <v>0</v>
      </c>
    </row>
    <row r="12" spans="1:8" x14ac:dyDescent="0.45">
      <c r="A12" t="str">
        <f>State_lookup!B11</f>
        <v>Idaho</v>
      </c>
      <c r="B12">
        <f>ROUND(AFDC_state_fuels_lookup!C12, 0)</f>
        <v>11000</v>
      </c>
      <c r="C12">
        <f>ROUND(AFDC_state_fuels_lookup!E12, 0)</f>
        <v>100</v>
      </c>
      <c r="D12">
        <f>ROUND(MAX(0, State_lookup!O11 - B12-C12-E12-F12-G12-H12), 0)</f>
        <v>1788858</v>
      </c>
      <c r="E12">
        <f>ROUND(AFDC_state_fuels_lookup!G12, 0)</f>
        <v>29687</v>
      </c>
      <c r="F12">
        <f>ROUND(AFDC_state_fuels_lookup!D12, 0)</f>
        <v>5600</v>
      </c>
      <c r="G12">
        <f>ROUND(AFDC_state_fuels_lookup!H12, 0)</f>
        <v>100</v>
      </c>
      <c r="H12">
        <f>ROUND(AFDC_state_fuels_lookup!I12, 0)</f>
        <v>0</v>
      </c>
    </row>
    <row r="13" spans="1:8" x14ac:dyDescent="0.45">
      <c r="A13" t="str">
        <f>State_lookup!B12</f>
        <v>Illinois</v>
      </c>
      <c r="B13">
        <f>ROUND(AFDC_state_fuels_lookup!C13, 0)</f>
        <v>125500</v>
      </c>
      <c r="C13">
        <f>ROUND(AFDC_state_fuels_lookup!E13, 0)</f>
        <v>300</v>
      </c>
      <c r="D13">
        <f>ROUND(MAX(0, State_lookup!O12 - B13-C13-E13-F13-G13-H13), 0)</f>
        <v>9498879</v>
      </c>
      <c r="E13">
        <f>ROUND(AFDC_state_fuels_lookup!G13, 0)</f>
        <v>36052</v>
      </c>
      <c r="F13">
        <f>ROUND(AFDC_state_fuels_lookup!D13, 0)</f>
        <v>40400</v>
      </c>
      <c r="G13">
        <f>ROUND(AFDC_state_fuels_lookup!H13, 0)</f>
        <v>0</v>
      </c>
      <c r="H13">
        <f>ROUND(AFDC_state_fuels_lookup!I13, 0)</f>
        <v>0</v>
      </c>
    </row>
    <row r="14" spans="1:8" x14ac:dyDescent="0.45">
      <c r="A14" t="str">
        <f>State_lookup!B13</f>
        <v>Indiana</v>
      </c>
      <c r="B14">
        <f>ROUND(AFDC_state_fuels_lookup!C14, 0)</f>
        <v>34600</v>
      </c>
      <c r="C14">
        <f>ROUND(AFDC_state_fuels_lookup!E14, 0)</f>
        <v>300</v>
      </c>
      <c r="D14">
        <f>ROUND(MAX(0, State_lookup!O13 - B14-C14-E14-F14-G14-H14), 0)</f>
        <v>5454035</v>
      </c>
      <c r="E14">
        <f>ROUND(AFDC_state_fuels_lookup!G14, 0)</f>
        <v>33028</v>
      </c>
      <c r="F14">
        <f>ROUND(AFDC_state_fuels_lookup!D14, 0)</f>
        <v>15300</v>
      </c>
      <c r="G14">
        <f>ROUND(AFDC_state_fuels_lookup!H14, 0)</f>
        <v>0</v>
      </c>
      <c r="H14">
        <f>ROUND(AFDC_state_fuels_lookup!I14, 0)</f>
        <v>0</v>
      </c>
    </row>
    <row r="15" spans="1:8" x14ac:dyDescent="0.45">
      <c r="A15" t="str">
        <f>State_lookup!B14</f>
        <v>Iowa</v>
      </c>
      <c r="B15">
        <f>ROUND(AFDC_state_fuels_lookup!C15, 0)</f>
        <v>11700</v>
      </c>
      <c r="C15">
        <f>ROUND(AFDC_state_fuels_lookup!E15, 0)</f>
        <v>100</v>
      </c>
      <c r="D15">
        <f>ROUND(MAX(0, State_lookup!O14 - B15-C15-E15-F15-G15-H15), 0)</f>
        <v>3399324</v>
      </c>
      <c r="E15">
        <f>ROUND(AFDC_state_fuels_lookup!G15, 0)</f>
        <v>23219</v>
      </c>
      <c r="F15">
        <f>ROUND(AFDC_state_fuels_lookup!D15, 0)</f>
        <v>7300</v>
      </c>
      <c r="G15">
        <f>ROUND(AFDC_state_fuels_lookup!H15, 0)</f>
        <v>0</v>
      </c>
      <c r="H15">
        <f>ROUND(AFDC_state_fuels_lookup!I15, 0)</f>
        <v>0</v>
      </c>
    </row>
    <row r="16" spans="1:8" x14ac:dyDescent="0.45">
      <c r="A16" t="str">
        <f>State_lookup!B15</f>
        <v>Kansas</v>
      </c>
      <c r="B16">
        <f>ROUND(AFDC_state_fuels_lookup!C16, 0)</f>
        <v>14500</v>
      </c>
      <c r="C16">
        <f>ROUND(AFDC_state_fuels_lookup!E16, 0)</f>
        <v>200</v>
      </c>
      <c r="D16">
        <f>ROUND(MAX(0, State_lookup!O15 - B16-C16-E16-F16-G16-H16), 0)</f>
        <v>1766426</v>
      </c>
      <c r="E16">
        <f>ROUND(AFDC_state_fuels_lookup!G16, 0)</f>
        <v>18039</v>
      </c>
      <c r="F16">
        <f>ROUND(AFDC_state_fuels_lookup!D16, 0)</f>
        <v>6600</v>
      </c>
      <c r="G16">
        <f>ROUND(AFDC_state_fuels_lookup!H16, 0)</f>
        <v>100</v>
      </c>
      <c r="H16">
        <f>ROUND(AFDC_state_fuels_lookup!I16, 0)</f>
        <v>0</v>
      </c>
    </row>
    <row r="17" spans="1:8" x14ac:dyDescent="0.45">
      <c r="A17" t="str">
        <f>State_lookup!B16</f>
        <v>Kentucky</v>
      </c>
      <c r="B17">
        <f>ROUND(AFDC_state_fuels_lookup!C17, 0)</f>
        <v>15000</v>
      </c>
      <c r="C17">
        <f>ROUND(AFDC_state_fuels_lookup!E17, 0)</f>
        <v>300</v>
      </c>
      <c r="D17">
        <f>ROUND(MAX(0, State_lookup!O16 - B17-C17-E17-F17-G17-H17), 0)</f>
        <v>4145971</v>
      </c>
      <c r="E17">
        <f>ROUND(AFDC_state_fuels_lookup!G17, 0)</f>
        <v>23832</v>
      </c>
      <c r="F17">
        <f>ROUND(AFDC_state_fuels_lookup!D17, 0)</f>
        <v>6400</v>
      </c>
      <c r="G17">
        <f>ROUND(AFDC_state_fuels_lookup!H17, 0)</f>
        <v>0</v>
      </c>
      <c r="H17">
        <f>ROUND(AFDC_state_fuels_lookup!I17, 0)</f>
        <v>0</v>
      </c>
    </row>
    <row r="18" spans="1:8" x14ac:dyDescent="0.45">
      <c r="A18" t="str">
        <f>State_lookup!B17</f>
        <v>Louisiana</v>
      </c>
      <c r="B18">
        <f>ROUND(AFDC_state_fuels_lookup!C18, 0)</f>
        <v>11600</v>
      </c>
      <c r="C18">
        <f>ROUND(AFDC_state_fuels_lookup!E18, 0)</f>
        <v>100</v>
      </c>
      <c r="D18">
        <f>ROUND(MAX(0, State_lookup!O17 - B18-C18-E18-F18-G18-H18), 0)</f>
        <v>4128208</v>
      </c>
      <c r="E18">
        <f>ROUND(AFDC_state_fuels_lookup!G18, 0)</f>
        <v>28035</v>
      </c>
      <c r="F18">
        <f>ROUND(AFDC_state_fuels_lookup!D18, 0)</f>
        <v>4600</v>
      </c>
      <c r="G18">
        <f>ROUND(AFDC_state_fuels_lookup!H18, 0)</f>
        <v>0</v>
      </c>
      <c r="H18">
        <f>ROUND(AFDC_state_fuels_lookup!I18, 0)</f>
        <v>0</v>
      </c>
    </row>
    <row r="19" spans="1:8" x14ac:dyDescent="0.45">
      <c r="A19" t="str">
        <f>State_lookup!B18</f>
        <v>Maine</v>
      </c>
      <c r="B19">
        <f>ROUND(AFDC_state_fuels_lookup!C19, 0)</f>
        <v>9700</v>
      </c>
      <c r="C19">
        <f>ROUND(AFDC_state_fuels_lookup!E19, 0)</f>
        <v>0</v>
      </c>
      <c r="D19">
        <f>ROUND(MAX(0, State_lookup!O18 - B19-C19-E19-F19-G19-H19), 0)</f>
        <v>1064696</v>
      </c>
      <c r="E19">
        <f>ROUND(AFDC_state_fuels_lookup!G19, 0)</f>
        <v>6142</v>
      </c>
      <c r="F19">
        <f>ROUND(AFDC_state_fuels_lookup!D19, 0)</f>
        <v>9200</v>
      </c>
      <c r="G19">
        <f>ROUND(AFDC_state_fuels_lookup!H19, 0)</f>
        <v>0</v>
      </c>
      <c r="H19">
        <f>ROUND(AFDC_state_fuels_lookup!I19, 0)</f>
        <v>0</v>
      </c>
    </row>
    <row r="20" spans="1:8" x14ac:dyDescent="0.45">
      <c r="A20" t="str">
        <f>State_lookup!B19</f>
        <v>Maryland</v>
      </c>
      <c r="B20">
        <f>ROUND(AFDC_state_fuels_lookup!C20, 0)</f>
        <v>94900</v>
      </c>
      <c r="C20">
        <f>ROUND(AFDC_state_fuels_lookup!E20, 0)</f>
        <v>200</v>
      </c>
      <c r="D20">
        <f>ROUND(MAX(0, State_lookup!O19 - B20-C20-E20-F20-G20-H20), 0)</f>
        <v>4464410</v>
      </c>
      <c r="E20">
        <f>ROUND(AFDC_state_fuels_lookup!G20, 0)</f>
        <v>18125</v>
      </c>
      <c r="F20">
        <f>ROUND(AFDC_state_fuels_lookup!D20, 0)</f>
        <v>36600</v>
      </c>
      <c r="G20">
        <f>ROUND(AFDC_state_fuels_lookup!H20, 0)</f>
        <v>0</v>
      </c>
      <c r="H20">
        <f>ROUND(AFDC_state_fuels_lookup!I20, 0)</f>
        <v>0</v>
      </c>
    </row>
    <row r="21" spans="1:8" x14ac:dyDescent="0.45">
      <c r="A21" t="str">
        <f>State_lookup!B20</f>
        <v>Massachusetts</v>
      </c>
      <c r="B21">
        <f>ROUND(AFDC_state_fuels_lookup!C21, 0)</f>
        <v>91100</v>
      </c>
      <c r="C21">
        <f>ROUND(AFDC_state_fuels_lookup!E21, 0)</f>
        <v>200</v>
      </c>
      <c r="D21">
        <f>ROUND(MAX(0, State_lookup!O20 - B21-C21-E21-F21-G21-H21), 0)</f>
        <v>4523728</v>
      </c>
      <c r="E21">
        <f>ROUND(AFDC_state_fuels_lookup!G21, 0)</f>
        <v>12176</v>
      </c>
      <c r="F21">
        <f>ROUND(AFDC_state_fuels_lookup!D21, 0)</f>
        <v>52200</v>
      </c>
      <c r="G21">
        <f>ROUND(AFDC_state_fuels_lookup!H21, 0)</f>
        <v>0</v>
      </c>
      <c r="H21">
        <f>ROUND(AFDC_state_fuels_lookup!I21, 0)</f>
        <v>0</v>
      </c>
    </row>
    <row r="22" spans="1:8" x14ac:dyDescent="0.45">
      <c r="A22" t="str">
        <f>State_lookup!B21</f>
        <v>Michigan</v>
      </c>
      <c r="B22">
        <f>ROUND(AFDC_state_fuels_lookup!C22, 0)</f>
        <v>75800</v>
      </c>
      <c r="C22">
        <f>ROUND(AFDC_state_fuels_lookup!E22, 0)</f>
        <v>300</v>
      </c>
      <c r="D22">
        <f>ROUND(MAX(0, State_lookup!O21 - B22-C22-E22-F22-G22-H22), 0)</f>
        <v>8656025</v>
      </c>
      <c r="E22">
        <f>ROUND(AFDC_state_fuels_lookup!G22, 0)</f>
        <v>38189</v>
      </c>
      <c r="F22">
        <f>ROUND(AFDC_state_fuels_lookup!D22, 0)</f>
        <v>33600</v>
      </c>
      <c r="G22">
        <f>ROUND(AFDC_state_fuels_lookup!H22, 0)</f>
        <v>0</v>
      </c>
      <c r="H22">
        <f>ROUND(AFDC_state_fuels_lookup!I22, 0)</f>
        <v>0</v>
      </c>
    </row>
    <row r="23" spans="1:8" x14ac:dyDescent="0.45">
      <c r="A23" t="str">
        <f>State_lookup!B22</f>
        <v>Minnesota</v>
      </c>
      <c r="B23">
        <f>ROUND(AFDC_state_fuels_lookup!C23, 0)</f>
        <v>47400</v>
      </c>
      <c r="C23">
        <f>ROUND(AFDC_state_fuels_lookup!E23, 0)</f>
        <v>100</v>
      </c>
      <c r="D23">
        <f>ROUND(MAX(0, State_lookup!O22 - B23-C23-E23-F23-G23-H23), 0)</f>
        <v>5272657</v>
      </c>
      <c r="E23">
        <f>ROUND(AFDC_state_fuels_lookup!G23, 0)</f>
        <v>28045</v>
      </c>
      <c r="F23">
        <f>ROUND(AFDC_state_fuels_lookup!D23, 0)</f>
        <v>20100</v>
      </c>
      <c r="G23">
        <f>ROUND(AFDC_state_fuels_lookup!H23, 0)</f>
        <v>0</v>
      </c>
      <c r="H23">
        <f>ROUND(AFDC_state_fuels_lookup!I23, 0)</f>
        <v>0</v>
      </c>
    </row>
    <row r="24" spans="1:8" x14ac:dyDescent="0.45">
      <c r="A24" t="str">
        <f>State_lookup!B23</f>
        <v>Mississippi</v>
      </c>
      <c r="B24">
        <f>ROUND(AFDC_state_fuels_lookup!C24, 0)</f>
        <v>4900</v>
      </c>
      <c r="C24">
        <f>ROUND(AFDC_state_fuels_lookup!E24, 0)</f>
        <v>100</v>
      </c>
      <c r="D24">
        <f>ROUND(MAX(0, State_lookup!O23 - B24-C24-E24-F24-G24-H24), 0)</f>
        <v>2036782</v>
      </c>
      <c r="E24">
        <f>ROUND(AFDC_state_fuels_lookup!G24, 0)</f>
        <v>17195</v>
      </c>
      <c r="F24">
        <f>ROUND(AFDC_state_fuels_lookup!D24, 0)</f>
        <v>2400</v>
      </c>
      <c r="G24">
        <f>ROUND(AFDC_state_fuels_lookup!H24, 0)</f>
        <v>0</v>
      </c>
      <c r="H24">
        <f>ROUND(AFDC_state_fuels_lookup!I24, 0)</f>
        <v>0</v>
      </c>
    </row>
    <row r="25" spans="1:8" x14ac:dyDescent="0.45">
      <c r="A25" t="str">
        <f>State_lookup!B24</f>
        <v>Missouri</v>
      </c>
      <c r="B25">
        <f>ROUND(AFDC_state_fuels_lookup!C25, 0)</f>
        <v>34200</v>
      </c>
      <c r="C25">
        <f>ROUND(AFDC_state_fuels_lookup!E25, 0)</f>
        <v>800</v>
      </c>
      <c r="D25">
        <f>ROUND(MAX(0, State_lookup!O24 - B25-C25-E25-F25-G25-H25), 0)</f>
        <v>4884281</v>
      </c>
      <c r="E25">
        <f>ROUND(AFDC_state_fuels_lookup!G25, 0)</f>
        <v>38719</v>
      </c>
      <c r="F25">
        <f>ROUND(AFDC_state_fuels_lookup!D25, 0)</f>
        <v>16800</v>
      </c>
      <c r="G25">
        <f>ROUND(AFDC_state_fuels_lookup!H25, 0)</f>
        <v>100</v>
      </c>
      <c r="H25">
        <f>ROUND(AFDC_state_fuels_lookup!I25, 0)</f>
        <v>0</v>
      </c>
    </row>
    <row r="26" spans="1:8" x14ac:dyDescent="0.45">
      <c r="A26" t="str">
        <f>State_lookup!B25</f>
        <v>Montana</v>
      </c>
      <c r="B26">
        <f>ROUND(AFDC_state_fuels_lookup!C26, 0)</f>
        <v>5600</v>
      </c>
      <c r="C26">
        <f>ROUND(AFDC_state_fuels_lookup!E26, 0)</f>
        <v>0</v>
      </c>
      <c r="D26">
        <f>ROUND(MAX(0, State_lookup!O25 - B26-C26-E26-F26-G26-H26), 0)</f>
        <v>951152</v>
      </c>
      <c r="E26">
        <f>ROUND(AFDC_state_fuels_lookup!G26, 0)</f>
        <v>16910</v>
      </c>
      <c r="F26">
        <f>ROUND(AFDC_state_fuels_lookup!D26, 0)</f>
        <v>3200</v>
      </c>
      <c r="G26">
        <f>ROUND(AFDC_state_fuels_lookup!H26, 0)</f>
        <v>0</v>
      </c>
      <c r="H26">
        <f>ROUND(AFDC_state_fuels_lookup!I26, 0)</f>
        <v>0</v>
      </c>
    </row>
    <row r="27" spans="1:8" x14ac:dyDescent="0.45">
      <c r="A27" t="str">
        <f>State_lookup!B26</f>
        <v>Nebraska</v>
      </c>
      <c r="B27">
        <f>ROUND(AFDC_state_fuels_lookup!C27, 0)</f>
        <v>9100</v>
      </c>
      <c r="C27">
        <f>ROUND(AFDC_state_fuels_lookup!E27, 0)</f>
        <v>100</v>
      </c>
      <c r="D27">
        <f>ROUND(MAX(0, State_lookup!O26 - B27-C27-E27-F27-G27-H27), 0)</f>
        <v>1789060</v>
      </c>
      <c r="E27">
        <f>ROUND(AFDC_state_fuels_lookup!G27, 0)</f>
        <v>16530</v>
      </c>
      <c r="F27">
        <f>ROUND(AFDC_state_fuels_lookup!D27, 0)</f>
        <v>4700</v>
      </c>
      <c r="G27">
        <f>ROUND(AFDC_state_fuels_lookup!H27, 0)</f>
        <v>0</v>
      </c>
      <c r="H27">
        <f>ROUND(AFDC_state_fuels_lookup!I27, 0)</f>
        <v>0</v>
      </c>
    </row>
    <row r="28" spans="1:8" x14ac:dyDescent="0.45">
      <c r="A28" t="str">
        <f>State_lookup!B27</f>
        <v>Nevada</v>
      </c>
      <c r="B28">
        <f>ROUND(AFDC_state_fuels_lookup!C28, 0)</f>
        <v>65600</v>
      </c>
      <c r="C28">
        <f>ROUND(AFDC_state_fuels_lookup!E28, 0)</f>
        <v>200</v>
      </c>
      <c r="D28">
        <f>ROUND(MAX(0, State_lookup!O27 - B28-C28-E28-F28-G28-H28), 0)</f>
        <v>2079835</v>
      </c>
      <c r="E28">
        <f>ROUND(AFDC_state_fuels_lookup!G28, 0)</f>
        <v>17693</v>
      </c>
      <c r="F28">
        <f>ROUND(AFDC_state_fuels_lookup!D28, 0)</f>
        <v>13400</v>
      </c>
      <c r="G28">
        <f>ROUND(AFDC_state_fuels_lookup!H28, 0)</f>
        <v>100</v>
      </c>
      <c r="H28">
        <f>ROUND(AFDC_state_fuels_lookup!I28, 0)</f>
        <v>0</v>
      </c>
    </row>
    <row r="29" spans="1:8" x14ac:dyDescent="0.45">
      <c r="A29" t="str">
        <f>State_lookup!B28</f>
        <v>New Hampshire</v>
      </c>
      <c r="B29">
        <f>ROUND(AFDC_state_fuels_lookup!C29, 0)</f>
        <v>12700</v>
      </c>
      <c r="C29">
        <f>ROUND(AFDC_state_fuels_lookup!E29, 0)</f>
        <v>100</v>
      </c>
      <c r="D29">
        <f>ROUND(MAX(0, State_lookup!O28 - B29-C29-E29-F29-G29-H29), 0)</f>
        <v>1201117</v>
      </c>
      <c r="E29">
        <f>ROUND(AFDC_state_fuels_lookup!G29, 0)</f>
        <v>6662</v>
      </c>
      <c r="F29">
        <f>ROUND(AFDC_state_fuels_lookup!D29, 0)</f>
        <v>8200</v>
      </c>
      <c r="G29">
        <f>ROUND(AFDC_state_fuels_lookup!H29, 0)</f>
        <v>0</v>
      </c>
      <c r="H29">
        <f>ROUND(AFDC_state_fuels_lookup!I29, 0)</f>
        <v>0</v>
      </c>
    </row>
    <row r="30" spans="1:8" x14ac:dyDescent="0.45">
      <c r="A30" t="str">
        <f>State_lookup!B29</f>
        <v>New Jersey</v>
      </c>
      <c r="B30">
        <f>ROUND(AFDC_state_fuels_lookup!C30, 0)</f>
        <v>173800</v>
      </c>
      <c r="C30">
        <f>ROUND(AFDC_state_fuels_lookup!E30, 0)</f>
        <v>300</v>
      </c>
      <c r="D30">
        <f>ROUND(MAX(0, State_lookup!O29 - B30-C30-E30-F30-G30-H30), 0)</f>
        <v>5535948</v>
      </c>
      <c r="E30">
        <f>ROUND(AFDC_state_fuels_lookup!G30, 0)</f>
        <v>17167</v>
      </c>
      <c r="F30">
        <f>ROUND(AFDC_state_fuels_lookup!D30, 0)</f>
        <v>51600</v>
      </c>
      <c r="G30">
        <f>ROUND(AFDC_state_fuels_lookup!H30, 0)</f>
        <v>0</v>
      </c>
      <c r="H30">
        <f>ROUND(AFDC_state_fuels_lookup!I30, 0)</f>
        <v>0</v>
      </c>
    </row>
    <row r="31" spans="1:8" x14ac:dyDescent="0.45">
      <c r="A31" t="str">
        <f>State_lookup!B30</f>
        <v>New Mexico</v>
      </c>
      <c r="B31">
        <f>ROUND(AFDC_state_fuels_lookup!C31, 0)</f>
        <v>13000</v>
      </c>
      <c r="C31">
        <f>ROUND(AFDC_state_fuels_lookup!E31, 0)</f>
        <v>100</v>
      </c>
      <c r="D31">
        <f>ROUND(MAX(0, State_lookup!O30 - B31-C31-E31-F31-G31-H31), 0)</f>
        <v>1726316</v>
      </c>
      <c r="E31">
        <f>ROUND(AFDC_state_fuels_lookup!G31, 0)</f>
        <v>18955</v>
      </c>
      <c r="F31">
        <f>ROUND(AFDC_state_fuels_lookup!D31, 0)</f>
        <v>5800</v>
      </c>
      <c r="G31">
        <f>ROUND(AFDC_state_fuels_lookup!H31, 0)</f>
        <v>100</v>
      </c>
      <c r="H31">
        <f>ROUND(AFDC_state_fuels_lookup!I31, 0)</f>
        <v>0</v>
      </c>
    </row>
    <row r="32" spans="1:8" x14ac:dyDescent="0.45">
      <c r="A32" t="str">
        <f>State_lookup!B31</f>
        <v>New York</v>
      </c>
      <c r="B32">
        <f>ROUND(AFDC_state_fuels_lookup!C32, 0)</f>
        <v>168100</v>
      </c>
      <c r="C32">
        <f>ROUND(AFDC_state_fuels_lookup!E32, 0)</f>
        <v>300</v>
      </c>
      <c r="D32">
        <f>ROUND(MAX(0, State_lookup!O31 - B32-C32-E32-F32-G32-H32), 0)</f>
        <v>10402224</v>
      </c>
      <c r="E32">
        <f>ROUND(AFDC_state_fuels_lookup!G32, 0)</f>
        <v>31743</v>
      </c>
      <c r="F32">
        <f>ROUND(AFDC_state_fuels_lookup!D32, 0)</f>
        <v>111400</v>
      </c>
      <c r="G32">
        <f>ROUND(AFDC_state_fuels_lookup!H32, 0)</f>
        <v>0</v>
      </c>
      <c r="H32">
        <f>ROUND(AFDC_state_fuels_lookup!I32, 0)</f>
        <v>0</v>
      </c>
    </row>
    <row r="33" spans="1:8" x14ac:dyDescent="0.45">
      <c r="A33" t="str">
        <f>State_lookup!B32</f>
        <v>North Carolina</v>
      </c>
      <c r="B33">
        <f>ROUND(AFDC_state_fuels_lookup!C33, 0)</f>
        <v>91000</v>
      </c>
      <c r="C33">
        <f>ROUND(AFDC_state_fuels_lookup!E33, 0)</f>
        <v>300</v>
      </c>
      <c r="D33">
        <f>ROUND(MAX(0, State_lookup!O32 - B33-C33-E33-F33-G33-H33), 0)</f>
        <v>8022215</v>
      </c>
      <c r="E33">
        <f>ROUND(AFDC_state_fuels_lookup!G33, 0)</f>
        <v>45636</v>
      </c>
      <c r="F33">
        <f>ROUND(AFDC_state_fuels_lookup!D33, 0)</f>
        <v>28300</v>
      </c>
      <c r="G33">
        <f>ROUND(AFDC_state_fuels_lookup!H33, 0)</f>
        <v>100</v>
      </c>
      <c r="H33">
        <f>ROUND(AFDC_state_fuels_lookup!I33, 0)</f>
        <v>0</v>
      </c>
    </row>
    <row r="34" spans="1:8" x14ac:dyDescent="0.45">
      <c r="A34" t="str">
        <f>State_lookup!B33</f>
        <v>North Dakota</v>
      </c>
      <c r="B34">
        <f>ROUND(AFDC_state_fuels_lookup!C34, 0)</f>
        <v>1300</v>
      </c>
      <c r="C34">
        <f>ROUND(AFDC_state_fuels_lookup!E34, 0)</f>
        <v>0</v>
      </c>
      <c r="D34">
        <f>ROUND(MAX(0, State_lookup!O33 - B34-C34-E34-F34-G34-H34), 0)</f>
        <v>951004</v>
      </c>
      <c r="E34">
        <f>ROUND(AFDC_state_fuels_lookup!G34, 0)</f>
        <v>10249</v>
      </c>
      <c r="F34">
        <f>ROUND(AFDC_state_fuels_lookup!D34, 0)</f>
        <v>1000</v>
      </c>
      <c r="G34">
        <f>ROUND(AFDC_state_fuels_lookup!H34, 0)</f>
        <v>0</v>
      </c>
      <c r="H34">
        <f>ROUND(AFDC_state_fuels_lookup!I34, 0)</f>
        <v>0</v>
      </c>
    </row>
    <row r="35" spans="1:8" x14ac:dyDescent="0.45">
      <c r="A35" t="str">
        <f>State_lookup!B34</f>
        <v>Ohio</v>
      </c>
      <c r="B35">
        <f>ROUND(AFDC_state_fuels_lookup!C35, 0)</f>
        <v>69400</v>
      </c>
      <c r="C35">
        <f>ROUND(AFDC_state_fuels_lookup!E35, 0)</f>
        <v>600</v>
      </c>
      <c r="D35">
        <f>ROUND(MAX(0, State_lookup!O34 - B35-C35-E35-F35-G35-H35), 0)</f>
        <v>10196998</v>
      </c>
      <c r="E35">
        <f>ROUND(AFDC_state_fuels_lookup!G35, 0)</f>
        <v>41588</v>
      </c>
      <c r="F35">
        <f>ROUND(AFDC_state_fuels_lookup!D35, 0)</f>
        <v>29700</v>
      </c>
      <c r="G35">
        <f>ROUND(AFDC_state_fuels_lookup!H35, 0)</f>
        <v>100</v>
      </c>
      <c r="H35">
        <f>ROUND(AFDC_state_fuels_lookup!I35, 0)</f>
        <v>0</v>
      </c>
    </row>
    <row r="36" spans="1:8" x14ac:dyDescent="0.45">
      <c r="A36" t="str">
        <f>State_lookup!B35</f>
        <v>Oklahoma</v>
      </c>
      <c r="B36">
        <f>ROUND(AFDC_state_fuels_lookup!C36, 0)</f>
        <v>22600</v>
      </c>
      <c r="C36">
        <f>ROUND(AFDC_state_fuels_lookup!E36, 0)</f>
        <v>1700</v>
      </c>
      <c r="D36">
        <f>ROUND(MAX(0, State_lookup!O35 - B36-C36-E36-F36-G36-H36), 0)</f>
        <v>3300241</v>
      </c>
      <c r="E36">
        <f>ROUND(AFDC_state_fuels_lookup!G36, 0)</f>
        <v>32652</v>
      </c>
      <c r="F36">
        <f>ROUND(AFDC_state_fuels_lookup!D36, 0)</f>
        <v>7632</v>
      </c>
      <c r="G36">
        <f>ROUND(AFDC_state_fuels_lookup!H36, 0)</f>
        <v>200</v>
      </c>
      <c r="H36">
        <f>ROUND(AFDC_state_fuels_lookup!I36, 0)</f>
        <v>0</v>
      </c>
    </row>
    <row r="37" spans="1:8" x14ac:dyDescent="0.45">
      <c r="A37" t="str">
        <f>State_lookup!B36</f>
        <v>Oregon</v>
      </c>
      <c r="B37">
        <f>ROUND(AFDC_state_fuels_lookup!C37, 0)</f>
        <v>78400</v>
      </c>
      <c r="C37">
        <f>ROUND(AFDC_state_fuels_lookup!E37, 0)</f>
        <v>100</v>
      </c>
      <c r="D37">
        <f>ROUND(MAX(0, State_lookup!O36 - B37-C37-E37-F37-G37-H37), 0)</f>
        <v>3715283</v>
      </c>
      <c r="E37">
        <f>ROUND(AFDC_state_fuels_lookup!G37, 0)</f>
        <v>42482</v>
      </c>
      <c r="F37">
        <f>ROUND(AFDC_state_fuels_lookup!D37, 0)</f>
        <v>33200</v>
      </c>
      <c r="G37">
        <f>ROUND(AFDC_state_fuels_lookup!H37, 0)</f>
        <v>100</v>
      </c>
      <c r="H37">
        <f>ROUND(AFDC_state_fuels_lookup!I37, 0)</f>
        <v>0</v>
      </c>
    </row>
    <row r="38" spans="1:8" x14ac:dyDescent="0.45">
      <c r="A38" t="str">
        <f>State_lookup!B37</f>
        <v>Pennsylvania</v>
      </c>
      <c r="B38">
        <f>ROUND(AFDC_state_fuels_lookup!C38, 0)</f>
        <v>89900</v>
      </c>
      <c r="C38">
        <f>ROUND(AFDC_state_fuels_lookup!E38, 0)</f>
        <v>500</v>
      </c>
      <c r="D38">
        <f>ROUND(MAX(0, State_lookup!O37 - B38-C38-E38-F38-G38-H38), 0)</f>
        <v>9487522</v>
      </c>
      <c r="E38">
        <f>ROUND(AFDC_state_fuels_lookup!G38, 0)</f>
        <v>40866</v>
      </c>
      <c r="F38">
        <f>ROUND(AFDC_state_fuels_lookup!D38, 0)</f>
        <v>47600</v>
      </c>
      <c r="G38">
        <f>ROUND(AFDC_state_fuels_lookup!H38, 0)</f>
        <v>0</v>
      </c>
      <c r="H38">
        <f>ROUND(AFDC_state_fuels_lookup!I38, 0)</f>
        <v>0</v>
      </c>
    </row>
    <row r="39" spans="1:8" x14ac:dyDescent="0.45">
      <c r="A39" t="str">
        <f>State_lookup!B38</f>
        <v>Rhode Island</v>
      </c>
      <c r="B39">
        <f>ROUND(AFDC_state_fuels_lookup!C39, 0)</f>
        <v>8300</v>
      </c>
      <c r="C39">
        <f>ROUND(AFDC_state_fuels_lookup!E39, 0)</f>
        <v>0</v>
      </c>
      <c r="D39">
        <f>ROUND(MAX(0, State_lookup!O38 - B39-C39-E39-F39-G39-H39), 0)</f>
        <v>754429</v>
      </c>
      <c r="E39">
        <f>ROUND(AFDC_state_fuels_lookup!G39, 0)</f>
        <v>2189</v>
      </c>
      <c r="F39">
        <f>ROUND(AFDC_state_fuels_lookup!D39, 0)</f>
        <v>6000</v>
      </c>
      <c r="G39">
        <f>ROUND(AFDC_state_fuels_lookup!H39, 0)</f>
        <v>0</v>
      </c>
      <c r="H39">
        <f>ROUND(AFDC_state_fuels_lookup!I39, 0)</f>
        <v>0</v>
      </c>
    </row>
    <row r="40" spans="1:8" x14ac:dyDescent="0.45">
      <c r="A40" t="str">
        <f>State_lookup!B39</f>
        <v>South Carolina</v>
      </c>
      <c r="B40">
        <f>ROUND(AFDC_state_fuels_lookup!C40, 0)</f>
        <v>26800</v>
      </c>
      <c r="C40">
        <f>ROUND(AFDC_state_fuels_lookup!E40, 0)</f>
        <v>100</v>
      </c>
      <c r="D40">
        <f>ROUND(MAX(0, State_lookup!O39 - B40-C40-E40-F40-G40-H40), 0)</f>
        <v>4605028</v>
      </c>
      <c r="E40">
        <f>ROUND(AFDC_state_fuels_lookup!G40, 0)</f>
        <v>24660</v>
      </c>
      <c r="F40">
        <f>ROUND(AFDC_state_fuels_lookup!D40, 0)</f>
        <v>11100</v>
      </c>
      <c r="G40">
        <f>ROUND(AFDC_state_fuels_lookup!H40, 0)</f>
        <v>100</v>
      </c>
      <c r="H40">
        <f>ROUND(AFDC_state_fuels_lookup!I40, 0)</f>
        <v>0</v>
      </c>
    </row>
    <row r="41" spans="1:8" x14ac:dyDescent="0.45">
      <c r="A41" t="str">
        <f>State_lookup!B40</f>
        <v>South Dakota</v>
      </c>
      <c r="B41">
        <f>ROUND(AFDC_state_fuels_lookup!C41, 0)</f>
        <v>2300</v>
      </c>
      <c r="C41">
        <f>ROUND(AFDC_state_fuels_lookup!E41, 0)</f>
        <v>0</v>
      </c>
      <c r="D41">
        <f>ROUND(MAX(0, State_lookup!O40 - B41-C41-E41-F41-G41-H41), 0)</f>
        <v>1143734</v>
      </c>
      <c r="E41">
        <f>ROUND(AFDC_state_fuels_lookup!G41, 0)</f>
        <v>12185</v>
      </c>
      <c r="F41">
        <f>ROUND(AFDC_state_fuels_lookup!D41, 0)</f>
        <v>1700</v>
      </c>
      <c r="G41">
        <f>ROUND(AFDC_state_fuels_lookup!H41, 0)</f>
        <v>0</v>
      </c>
      <c r="H41">
        <f>ROUND(AFDC_state_fuels_lookup!I41, 0)</f>
        <v>0</v>
      </c>
    </row>
    <row r="42" spans="1:8" x14ac:dyDescent="0.45">
      <c r="A42" t="str">
        <f>State_lookup!B41</f>
        <v>Tennessee</v>
      </c>
      <c r="B42">
        <f>ROUND(AFDC_state_fuels_lookup!C42, 0)</f>
        <v>42600</v>
      </c>
      <c r="C42">
        <f>ROUND(AFDC_state_fuels_lookup!E42, 0)</f>
        <v>100</v>
      </c>
      <c r="D42">
        <f>ROUND(MAX(0, State_lookup!O41 - B42-C42-E42-F42-G42-H42), 0)</f>
        <v>6482767</v>
      </c>
      <c r="E42">
        <f>ROUND(AFDC_state_fuels_lookup!G42, 0)</f>
        <v>33772</v>
      </c>
      <c r="F42">
        <f>ROUND(AFDC_state_fuels_lookup!D42, 0)</f>
        <v>12800</v>
      </c>
      <c r="G42">
        <f>ROUND(AFDC_state_fuels_lookup!H42, 0)</f>
        <v>100</v>
      </c>
      <c r="H42">
        <f>ROUND(AFDC_state_fuels_lookup!I42, 0)</f>
        <v>0</v>
      </c>
    </row>
    <row r="43" spans="1:8" x14ac:dyDescent="0.45">
      <c r="A43" t="str">
        <f>State_lookup!B42</f>
        <v>Texas</v>
      </c>
      <c r="B43">
        <f>ROUND(AFDC_state_fuels_lookup!C43, 0)</f>
        <v>294700</v>
      </c>
      <c r="C43">
        <f>ROUND(AFDC_state_fuels_lookup!E43, 0)</f>
        <v>1300</v>
      </c>
      <c r="D43">
        <f>ROUND(MAX(0, State_lookup!O42 - B43-C43-E43-F43-G43-H43), 0)</f>
        <v>21379582</v>
      </c>
      <c r="E43">
        <f>ROUND(AFDC_state_fuels_lookup!G43, 0)</f>
        <v>193629</v>
      </c>
      <c r="F43">
        <f>ROUND(AFDC_state_fuels_lookup!D43, 0)</f>
        <v>64700</v>
      </c>
      <c r="G43">
        <f>ROUND(AFDC_state_fuels_lookup!H43, 0)</f>
        <v>1200</v>
      </c>
      <c r="H43">
        <f>ROUND(AFDC_state_fuels_lookup!I43, 0)</f>
        <v>0</v>
      </c>
    </row>
    <row r="44" spans="1:8" x14ac:dyDescent="0.45">
      <c r="A44" t="str">
        <f>State_lookup!B43</f>
        <v>Utah</v>
      </c>
      <c r="B44">
        <f>ROUND(AFDC_state_fuels_lookup!C44, 0)</f>
        <v>52200</v>
      </c>
      <c r="C44">
        <f>ROUND(AFDC_state_fuels_lookup!E44, 0)</f>
        <v>2000</v>
      </c>
      <c r="D44">
        <f>ROUND(MAX(0, State_lookup!O43 - B44-C44-E44-F44-G44-H44), 0)</f>
        <v>2677561</v>
      </c>
      <c r="E44">
        <f>ROUND(AFDC_state_fuels_lookup!G44, 0)</f>
        <v>36204</v>
      </c>
      <c r="F44">
        <f>ROUND(AFDC_state_fuels_lookup!D44, 0)</f>
        <v>15500</v>
      </c>
      <c r="G44">
        <f>ROUND(AFDC_state_fuels_lookup!H44, 0)</f>
        <v>500</v>
      </c>
      <c r="H44">
        <f>ROUND(AFDC_state_fuels_lookup!I44, 0)</f>
        <v>0</v>
      </c>
    </row>
    <row r="45" spans="1:8" x14ac:dyDescent="0.45">
      <c r="A45" t="str">
        <f>State_lookup!B44</f>
        <v>Vermont</v>
      </c>
      <c r="B45">
        <f>ROUND(AFDC_state_fuels_lookup!C45, 0)</f>
        <v>10200</v>
      </c>
      <c r="C45">
        <f>ROUND(AFDC_state_fuels_lookup!E45, 0)</f>
        <v>0</v>
      </c>
      <c r="D45">
        <f>ROUND(MAX(0, State_lookup!O44 - B45-C45-E45-F45-G45-H45), 0)</f>
        <v>579315</v>
      </c>
      <c r="E45">
        <f>ROUND(AFDC_state_fuels_lookup!G45, 0)</f>
        <v>3329</v>
      </c>
      <c r="F45">
        <f>ROUND(AFDC_state_fuels_lookup!D45, 0)</f>
        <v>6900</v>
      </c>
      <c r="G45">
        <f>ROUND(AFDC_state_fuels_lookup!H45, 0)</f>
        <v>0</v>
      </c>
      <c r="H45">
        <f>ROUND(AFDC_state_fuels_lookup!I45, 0)</f>
        <v>0</v>
      </c>
    </row>
    <row r="46" spans="1:8" x14ac:dyDescent="0.45">
      <c r="A46" t="str">
        <f>State_lookup!B45</f>
        <v>Virginia</v>
      </c>
      <c r="B46">
        <f>ROUND(AFDC_state_fuels_lookup!C46, 0)</f>
        <v>107400</v>
      </c>
      <c r="C46">
        <f>ROUND(AFDC_state_fuels_lookup!E46, 0)</f>
        <v>300</v>
      </c>
      <c r="D46">
        <f>ROUND(MAX(0, State_lookup!O45 - B46-C46-E46-F46-G46-H46), 0)</f>
        <v>7192284</v>
      </c>
      <c r="E46">
        <f>ROUND(AFDC_state_fuels_lookup!G46, 0)</f>
        <v>30645</v>
      </c>
      <c r="F46">
        <f>ROUND(AFDC_state_fuels_lookup!D46, 0)</f>
        <v>32100</v>
      </c>
      <c r="G46">
        <f>ROUND(AFDC_state_fuels_lookup!H46, 0)</f>
        <v>0</v>
      </c>
      <c r="H46">
        <f>ROUND(AFDC_state_fuels_lookup!I46, 0)</f>
        <v>0</v>
      </c>
    </row>
    <row r="47" spans="1:8" x14ac:dyDescent="0.45">
      <c r="A47" t="str">
        <f>State_lookup!B46</f>
        <v>Washington</v>
      </c>
      <c r="B47">
        <f>ROUND(AFDC_state_fuels_lookup!C47, 0)</f>
        <v>191400</v>
      </c>
      <c r="C47">
        <f>ROUND(AFDC_state_fuels_lookup!E47, 0)</f>
        <v>100</v>
      </c>
      <c r="D47">
        <f>ROUND(MAX(0, State_lookup!O46 - B47-C47-E47-F47-G47-H47), 0)</f>
        <v>6618337</v>
      </c>
      <c r="E47">
        <f>ROUND(AFDC_state_fuels_lookup!G47, 0)</f>
        <v>53781</v>
      </c>
      <c r="F47">
        <f>ROUND(AFDC_state_fuels_lookup!D47, 0)</f>
        <v>48500</v>
      </c>
      <c r="G47">
        <f>ROUND(AFDC_state_fuels_lookup!H47, 0)</f>
        <v>100</v>
      </c>
      <c r="H47">
        <f>ROUND(AFDC_state_fuels_lookup!I47, 0)</f>
        <v>0</v>
      </c>
    </row>
    <row r="48" spans="1:8" x14ac:dyDescent="0.45">
      <c r="A48" t="str">
        <f>State_lookup!B47</f>
        <v>West Virginia</v>
      </c>
      <c r="B48">
        <f>ROUND(AFDC_state_fuels_lookup!C48, 0)</f>
        <v>3800</v>
      </c>
      <c r="C48">
        <f>ROUND(AFDC_state_fuels_lookup!E48, 0)</f>
        <v>100</v>
      </c>
      <c r="D48">
        <f>ROUND(MAX(0, State_lookup!O47 - B48-C48-E48-F48-G48-H48), 0)</f>
        <v>1332219</v>
      </c>
      <c r="E48">
        <f>ROUND(AFDC_state_fuels_lookup!G48, 0)</f>
        <v>10028</v>
      </c>
      <c r="F48">
        <f>ROUND(AFDC_state_fuels_lookup!D48, 0)</f>
        <v>2200</v>
      </c>
      <c r="G48">
        <f>ROUND(AFDC_state_fuels_lookup!H48, 0)</f>
        <v>0</v>
      </c>
      <c r="H48">
        <f>ROUND(AFDC_state_fuels_lookup!I48, 0)</f>
        <v>0</v>
      </c>
    </row>
    <row r="49" spans="1:8" x14ac:dyDescent="0.45">
      <c r="A49" t="str">
        <f>State_lookup!B48</f>
        <v>Wisconsin</v>
      </c>
      <c r="B49">
        <f>ROUND(AFDC_state_fuels_lookup!C49, 0)</f>
        <v>32300</v>
      </c>
      <c r="C49">
        <f>ROUND(AFDC_state_fuels_lookup!E49, 0)</f>
        <v>300</v>
      </c>
      <c r="D49">
        <f>ROUND(MAX(0, State_lookup!O48 - B49-C49-E49-F49-G49-H49), 0)</f>
        <v>5152115</v>
      </c>
      <c r="E49">
        <f>ROUND(AFDC_state_fuels_lookup!G49, 0)</f>
        <v>31286</v>
      </c>
      <c r="F49">
        <f>ROUND(AFDC_state_fuels_lookup!D49, 0)</f>
        <v>15100</v>
      </c>
      <c r="G49">
        <f>ROUND(AFDC_state_fuels_lookup!H49, 0)</f>
        <v>0</v>
      </c>
      <c r="H49">
        <f>ROUND(AFDC_state_fuels_lookup!I49, 0)</f>
        <v>0</v>
      </c>
    </row>
    <row r="50" spans="1:8" x14ac:dyDescent="0.45">
      <c r="A50" t="str">
        <f>State_lookup!B49</f>
        <v>Wyoming</v>
      </c>
      <c r="B50">
        <f>ROUND(AFDC_state_fuels_lookup!C50, 0)</f>
        <v>1500</v>
      </c>
      <c r="C50">
        <f>ROUND(AFDC_state_fuels_lookup!E50, 0)</f>
        <v>0</v>
      </c>
      <c r="D50">
        <f>ROUND(MAX(0, State_lookup!O49 - B50-C50-E50-F50-G50-H50), 0)</f>
        <v>776343</v>
      </c>
      <c r="E50">
        <f>ROUND(AFDC_state_fuels_lookup!G50, 0)</f>
        <v>13077</v>
      </c>
      <c r="F50">
        <f>ROUND(AFDC_state_fuels_lookup!D50, 0)</f>
        <v>1000</v>
      </c>
      <c r="G50">
        <f>ROUND(AFDC_state_fuels_lookup!H50, 0)</f>
        <v>0</v>
      </c>
      <c r="H50">
        <f>ROUND(AFDC_state_fuels_lookup!I50, 0)</f>
        <v>0</v>
      </c>
    </row>
    <row r="51" spans="1:8" x14ac:dyDescent="0.45">
      <c r="A51" s="4" t="s">
        <v>335</v>
      </c>
      <c r="B51" s="4">
        <f t="shared" ref="B51:H51" si="0">SUM(B3:B50)</f>
        <v>4460300</v>
      </c>
      <c r="C51" s="4">
        <f t="shared" si="0"/>
        <v>23600</v>
      </c>
      <c r="D51" s="4">
        <f t="shared" si="0"/>
        <v>253670795</v>
      </c>
      <c r="E51" s="4">
        <f t="shared" si="0"/>
        <v>1553090</v>
      </c>
      <c r="F51" s="4">
        <f t="shared" si="0"/>
        <v>1480032</v>
      </c>
      <c r="G51" s="4">
        <f t="shared" si="0"/>
        <v>5700</v>
      </c>
      <c r="H51" s="4">
        <f t="shared" si="0"/>
        <v>16900</v>
      </c>
    </row>
    <row r="52" spans="1:8" x14ac:dyDescent="0.45">
      <c r="A52" s="4" t="s">
        <v>336</v>
      </c>
      <c r="B52" s="4">
        <f>National_totals!$C$2</f>
        <v>4769953</v>
      </c>
      <c r="C52" s="4">
        <f>National_totals!$D$2</f>
        <v>14506</v>
      </c>
      <c r="D52" s="4">
        <f>National_totals!$E$2</f>
        <v>257649823</v>
      </c>
      <c r="E52" s="4">
        <f>National_totals!$F$2</f>
        <v>1553093</v>
      </c>
      <c r="F52" s="4">
        <f>National_totals!$G$2</f>
        <v>1417825</v>
      </c>
      <c r="G52" s="4">
        <f>National_totals!$H$2</f>
        <v>13525</v>
      </c>
      <c r="H52" s="4">
        <f>National_totals!$I$2</f>
        <v>17094</v>
      </c>
    </row>
    <row r="53" spans="1:8" x14ac:dyDescent="0.45">
      <c r="A53" s="4" t="s">
        <v>337</v>
      </c>
      <c r="B53" s="7">
        <f t="shared" ref="B53:H53" si="1">IFERROR((B51-B52)/B52, 0)</f>
        <v>-6.4917411135916855E-2</v>
      </c>
      <c r="C53" s="7">
        <f t="shared" si="1"/>
        <v>0.62691300151661378</v>
      </c>
      <c r="D53" s="7">
        <f t="shared" si="1"/>
        <v>-1.5443550295006412E-2</v>
      </c>
      <c r="E53" s="7">
        <f t="shared" si="1"/>
        <v>-1.9316293357834979E-6</v>
      </c>
      <c r="F53" s="7">
        <f t="shared" si="1"/>
        <v>4.3874949306155556E-2</v>
      </c>
      <c r="G53" s="7">
        <f t="shared" si="1"/>
        <v>-0.57855822550831792</v>
      </c>
      <c r="H53" s="7">
        <f t="shared" si="1"/>
        <v>-1.1349011349011348E-2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338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ROUND(State_lookup!D2*(National_totals!$C$3/SUM(National_totals!$C$3:$I$3)), 0)</f>
        <v>1</v>
      </c>
      <c r="C3">
        <f>ROUND(State_lookup!D2*(National_totals!$D$3/SUM(National_totals!$C$3:$I$3)), 0)</f>
        <v>401</v>
      </c>
      <c r="D3">
        <f>ROUND(State_lookup!D2*(National_totals!$E$3/SUM(National_totals!$C$3:$I$3)), 0)</f>
        <v>315</v>
      </c>
      <c r="E3">
        <f>ROUND(State_lookup!D2*(National_totals!$F$3/SUM(National_totals!$C$3:$I$3)), 0)</f>
        <v>2505</v>
      </c>
      <c r="F3">
        <f>ROUND(State_lookup!D2*(National_totals!$G$3/SUM(National_totals!$C$3:$I$3)), 0)</f>
        <v>0</v>
      </c>
      <c r="G3">
        <f>ROUND(State_lookup!D2*(National_totals!$H$3/SUM(National_totals!$C$3:$I$3)), 0)</f>
        <v>147</v>
      </c>
      <c r="H3">
        <f>ROUND(State_lookup!D2*(National_totals!$I$3/SUM(National_totals!$C$3:$I$3)), 0)</f>
        <v>1</v>
      </c>
    </row>
    <row r="4" spans="1:8" x14ac:dyDescent="0.45">
      <c r="A4" t="str">
        <f>State_lookup!B3</f>
        <v>Arizona</v>
      </c>
      <c r="B4">
        <f>ROUND(State_lookup!D3*(National_totals!$C$3/SUM(National_totals!$C$3:$I$3)), 0)</f>
        <v>6</v>
      </c>
      <c r="C4">
        <f>ROUND(State_lookup!D3*(National_totals!$D$3/SUM(National_totals!$C$3:$I$3)), 0)</f>
        <v>2689</v>
      </c>
      <c r="D4">
        <f>ROUND(State_lookup!D3*(National_totals!$E$3/SUM(National_totals!$C$3:$I$3)), 0)</f>
        <v>2117</v>
      </c>
      <c r="E4">
        <f>ROUND(State_lookup!D3*(National_totals!$F$3/SUM(National_totals!$C$3:$I$3)), 0)</f>
        <v>16816</v>
      </c>
      <c r="F4">
        <f>ROUND(State_lookup!D3*(National_totals!$G$3/SUM(National_totals!$C$3:$I$3)), 0)</f>
        <v>0</v>
      </c>
      <c r="G4">
        <f>ROUND(State_lookup!D3*(National_totals!$H$3/SUM(National_totals!$C$3:$I$3)), 0)</f>
        <v>985</v>
      </c>
      <c r="H4">
        <f>ROUND(State_lookup!D3*(National_totals!$I$3/SUM(National_totals!$C$3:$I$3)), 0)</f>
        <v>4</v>
      </c>
    </row>
    <row r="5" spans="1:8" x14ac:dyDescent="0.45">
      <c r="A5" t="str">
        <f>State_lookup!B4</f>
        <v>Arkansas</v>
      </c>
      <c r="B5">
        <f>ROUND(State_lookup!D4*(National_totals!$C$3/SUM(National_totals!$C$3:$I$3)), 0)</f>
        <v>3</v>
      </c>
      <c r="C5">
        <f>ROUND(State_lookup!D4*(National_totals!$D$3/SUM(National_totals!$C$3:$I$3)), 0)</f>
        <v>1285</v>
      </c>
      <c r="D5">
        <f>ROUND(State_lookup!D4*(National_totals!$E$3/SUM(National_totals!$C$3:$I$3)), 0)</f>
        <v>1011</v>
      </c>
      <c r="E5">
        <f>ROUND(State_lookup!D4*(National_totals!$F$3/SUM(National_totals!$C$3:$I$3)), 0)</f>
        <v>8034</v>
      </c>
      <c r="F5">
        <f>ROUND(State_lookup!D4*(National_totals!$G$3/SUM(National_totals!$C$3:$I$3)), 0)</f>
        <v>0</v>
      </c>
      <c r="G5">
        <f>ROUND(State_lookup!D4*(National_totals!$H$3/SUM(National_totals!$C$3:$I$3)), 0)</f>
        <v>471</v>
      </c>
      <c r="H5">
        <f>ROUND(State_lookup!D4*(National_totals!$I$3/SUM(National_totals!$C$3:$I$3)), 0)</f>
        <v>2</v>
      </c>
    </row>
    <row r="6" spans="1:8" x14ac:dyDescent="0.45">
      <c r="A6" t="str">
        <f>State_lookup!B5</f>
        <v>California</v>
      </c>
      <c r="B6">
        <f>ROUND(State_lookup!D5*(National_totals!$C$3/SUM(National_totals!$C$3:$I$3)), 0)</f>
        <v>27</v>
      </c>
      <c r="C6">
        <f>ROUND(State_lookup!D5*(National_totals!$D$3/SUM(National_totals!$C$3:$I$3)), 0)</f>
        <v>11443</v>
      </c>
      <c r="D6">
        <f>ROUND(State_lookup!D5*(National_totals!$E$3/SUM(National_totals!$C$3:$I$3)), 0)</f>
        <v>9005</v>
      </c>
      <c r="E6">
        <f>ROUND(State_lookup!D5*(National_totals!$F$3/SUM(National_totals!$C$3:$I$3)), 0)</f>
        <v>71547</v>
      </c>
      <c r="F6">
        <f>ROUND(State_lookup!D5*(National_totals!$G$3/SUM(National_totals!$C$3:$I$3)), 0)</f>
        <v>0</v>
      </c>
      <c r="G6">
        <f>ROUND(State_lookup!D5*(National_totals!$H$3/SUM(National_totals!$C$3:$I$3)), 0)</f>
        <v>4192</v>
      </c>
      <c r="H6">
        <f>ROUND(State_lookup!D5*(National_totals!$I$3/SUM(National_totals!$C$3:$I$3)), 0)</f>
        <v>16</v>
      </c>
    </row>
    <row r="7" spans="1:8" x14ac:dyDescent="0.45">
      <c r="A7" t="str">
        <f>State_lookup!B6</f>
        <v>Colorado</v>
      </c>
      <c r="B7">
        <f>ROUND(State_lookup!D6*(National_totals!$C$3/SUM(National_totals!$C$3:$I$3)), 0)</f>
        <v>4</v>
      </c>
      <c r="C7">
        <f>ROUND(State_lookup!D6*(National_totals!$D$3/SUM(National_totals!$C$3:$I$3)), 0)</f>
        <v>1499</v>
      </c>
      <c r="D7">
        <f>ROUND(State_lookup!D6*(National_totals!$E$3/SUM(National_totals!$C$3:$I$3)), 0)</f>
        <v>1179</v>
      </c>
      <c r="E7">
        <f>ROUND(State_lookup!D6*(National_totals!$F$3/SUM(National_totals!$C$3:$I$3)), 0)</f>
        <v>9370</v>
      </c>
      <c r="F7">
        <f>ROUND(State_lookup!D6*(National_totals!$G$3/SUM(National_totals!$C$3:$I$3)), 0)</f>
        <v>0</v>
      </c>
      <c r="G7">
        <f>ROUND(State_lookup!D6*(National_totals!$H$3/SUM(National_totals!$C$3:$I$3)), 0)</f>
        <v>549</v>
      </c>
      <c r="H7">
        <f>ROUND(State_lookup!D6*(National_totals!$I$3/SUM(National_totals!$C$3:$I$3)), 0)</f>
        <v>2</v>
      </c>
    </row>
    <row r="8" spans="1:8" x14ac:dyDescent="0.45">
      <c r="A8" t="str">
        <f>State_lookup!B7</f>
        <v>Connecticut</v>
      </c>
      <c r="B8">
        <f>ROUND(State_lookup!D7*(National_totals!$C$3/SUM(National_totals!$C$3:$I$3)), 0)</f>
        <v>3</v>
      </c>
      <c r="C8">
        <f>ROUND(State_lookup!D7*(National_totals!$D$3/SUM(National_totals!$C$3:$I$3)), 0)</f>
        <v>1176</v>
      </c>
      <c r="D8">
        <f>ROUND(State_lookup!D7*(National_totals!$E$3/SUM(National_totals!$C$3:$I$3)), 0)</f>
        <v>925</v>
      </c>
      <c r="E8">
        <f>ROUND(State_lookup!D7*(National_totals!$F$3/SUM(National_totals!$C$3:$I$3)), 0)</f>
        <v>7352</v>
      </c>
      <c r="F8">
        <f>ROUND(State_lookup!D7*(National_totals!$G$3/SUM(National_totals!$C$3:$I$3)), 0)</f>
        <v>0</v>
      </c>
      <c r="G8">
        <f>ROUND(State_lookup!D7*(National_totals!$H$3/SUM(National_totals!$C$3:$I$3)), 0)</f>
        <v>431</v>
      </c>
      <c r="H8">
        <f>ROUND(State_lookup!D7*(National_totals!$I$3/SUM(National_totals!$C$3:$I$3)), 0)</f>
        <v>2</v>
      </c>
    </row>
    <row r="9" spans="1:8" x14ac:dyDescent="0.45">
      <c r="A9" t="str">
        <f>State_lookup!B8</f>
        <v>Delaware</v>
      </c>
      <c r="B9">
        <f>ROUND(State_lookup!D8*(National_totals!$C$3/SUM(National_totals!$C$3:$I$3)), 0)</f>
        <v>1</v>
      </c>
      <c r="C9">
        <f>ROUND(State_lookup!D8*(National_totals!$D$3/SUM(National_totals!$C$3:$I$3)), 0)</f>
        <v>414</v>
      </c>
      <c r="D9">
        <f>ROUND(State_lookup!D8*(National_totals!$E$3/SUM(National_totals!$C$3:$I$3)), 0)</f>
        <v>326</v>
      </c>
      <c r="E9">
        <f>ROUND(State_lookup!D8*(National_totals!$F$3/SUM(National_totals!$C$3:$I$3)), 0)</f>
        <v>2590</v>
      </c>
      <c r="F9">
        <f>ROUND(State_lookup!D8*(National_totals!$G$3/SUM(National_totals!$C$3:$I$3)), 0)</f>
        <v>0</v>
      </c>
      <c r="G9">
        <f>ROUND(State_lookup!D8*(National_totals!$H$3/SUM(National_totals!$C$3:$I$3)), 0)</f>
        <v>152</v>
      </c>
      <c r="H9">
        <f>ROUND(State_lookup!D8*(National_totals!$I$3/SUM(National_totals!$C$3:$I$3)), 0)</f>
        <v>1</v>
      </c>
    </row>
    <row r="10" spans="1:8" x14ac:dyDescent="0.45">
      <c r="A10" t="str">
        <f>State_lookup!B9</f>
        <v>Florida</v>
      </c>
      <c r="B10">
        <f>ROUND(State_lookup!D9*(National_totals!$C$3/SUM(National_totals!$C$3:$I$3)), 0)</f>
        <v>16</v>
      </c>
      <c r="C10">
        <f>ROUND(State_lookup!D9*(National_totals!$D$3/SUM(National_totals!$C$3:$I$3)), 0)</f>
        <v>6834</v>
      </c>
      <c r="D10">
        <f>ROUND(State_lookup!D9*(National_totals!$E$3/SUM(National_totals!$C$3:$I$3)), 0)</f>
        <v>5378</v>
      </c>
      <c r="E10">
        <f>ROUND(State_lookup!D9*(National_totals!$F$3/SUM(National_totals!$C$3:$I$3)), 0)</f>
        <v>42728</v>
      </c>
      <c r="F10">
        <f>ROUND(State_lookup!D9*(National_totals!$G$3/SUM(National_totals!$C$3:$I$3)), 0)</f>
        <v>0</v>
      </c>
      <c r="G10">
        <f>ROUND(State_lookup!D9*(National_totals!$H$3/SUM(National_totals!$C$3:$I$3)), 0)</f>
        <v>2503</v>
      </c>
      <c r="H10">
        <f>ROUND(State_lookup!D9*(National_totals!$I$3/SUM(National_totals!$C$3:$I$3)), 0)</f>
        <v>9</v>
      </c>
    </row>
    <row r="11" spans="1:8" x14ac:dyDescent="0.45">
      <c r="A11" t="str">
        <f>State_lookup!B10</f>
        <v>Georgia</v>
      </c>
      <c r="B11">
        <f>ROUND(State_lookup!D10*(National_totals!$C$3/SUM(National_totals!$C$3:$I$3)), 0)</f>
        <v>11</v>
      </c>
      <c r="C11">
        <f>ROUND(State_lookup!D10*(National_totals!$D$3/SUM(National_totals!$C$3:$I$3)), 0)</f>
        <v>4683</v>
      </c>
      <c r="D11">
        <f>ROUND(State_lookup!D10*(National_totals!$E$3/SUM(National_totals!$C$3:$I$3)), 0)</f>
        <v>3685</v>
      </c>
      <c r="E11">
        <f>ROUND(State_lookup!D10*(National_totals!$F$3/SUM(National_totals!$C$3:$I$3)), 0)</f>
        <v>29280</v>
      </c>
      <c r="F11">
        <f>ROUND(State_lookup!D10*(National_totals!$G$3/SUM(National_totals!$C$3:$I$3)), 0)</f>
        <v>0</v>
      </c>
      <c r="G11">
        <f>ROUND(State_lookup!D10*(National_totals!$H$3/SUM(National_totals!$C$3:$I$3)), 0)</f>
        <v>1716</v>
      </c>
      <c r="H11">
        <f>ROUND(State_lookup!D10*(National_totals!$I$3/SUM(National_totals!$C$3:$I$3)), 0)</f>
        <v>6</v>
      </c>
    </row>
    <row r="12" spans="1:8" x14ac:dyDescent="0.45">
      <c r="A12" t="str">
        <f>State_lookup!B11</f>
        <v>Idaho</v>
      </c>
      <c r="B12">
        <f>ROUND(State_lookup!D11*(National_totals!$C$3/SUM(National_totals!$C$3:$I$3)), 0)</f>
        <v>1</v>
      </c>
      <c r="C12">
        <f>ROUND(State_lookup!D11*(National_totals!$D$3/SUM(National_totals!$C$3:$I$3)), 0)</f>
        <v>485</v>
      </c>
      <c r="D12">
        <f>ROUND(State_lookup!D11*(National_totals!$E$3/SUM(National_totals!$C$3:$I$3)), 0)</f>
        <v>382</v>
      </c>
      <c r="E12">
        <f>ROUND(State_lookup!D11*(National_totals!$F$3/SUM(National_totals!$C$3:$I$3)), 0)</f>
        <v>3035</v>
      </c>
      <c r="F12">
        <f>ROUND(State_lookup!D11*(National_totals!$G$3/SUM(National_totals!$C$3:$I$3)), 0)</f>
        <v>0</v>
      </c>
      <c r="G12">
        <f>ROUND(State_lookup!D11*(National_totals!$H$3/SUM(National_totals!$C$3:$I$3)), 0)</f>
        <v>178</v>
      </c>
      <c r="H12">
        <f>ROUND(State_lookup!D11*(National_totals!$I$3/SUM(National_totals!$C$3:$I$3)), 0)</f>
        <v>1</v>
      </c>
    </row>
    <row r="13" spans="1:8" x14ac:dyDescent="0.45">
      <c r="A13" t="str">
        <f>State_lookup!B12</f>
        <v>Illinois</v>
      </c>
      <c r="B13">
        <f>ROUND(State_lookup!D12*(National_totals!$C$3/SUM(National_totals!$C$3:$I$3)), 0)</f>
        <v>11</v>
      </c>
      <c r="C13">
        <f>ROUND(State_lookup!D12*(National_totals!$D$3/SUM(National_totals!$C$3:$I$3)), 0)</f>
        <v>4659</v>
      </c>
      <c r="D13">
        <f>ROUND(State_lookup!D12*(National_totals!$E$3/SUM(National_totals!$C$3:$I$3)), 0)</f>
        <v>3667</v>
      </c>
      <c r="E13">
        <f>ROUND(State_lookup!D12*(National_totals!$F$3/SUM(National_totals!$C$3:$I$3)), 0)</f>
        <v>29133</v>
      </c>
      <c r="F13">
        <f>ROUND(State_lookup!D12*(National_totals!$G$3/SUM(National_totals!$C$3:$I$3)), 0)</f>
        <v>0</v>
      </c>
      <c r="G13">
        <f>ROUND(State_lookup!D12*(National_totals!$H$3/SUM(National_totals!$C$3:$I$3)), 0)</f>
        <v>1707</v>
      </c>
      <c r="H13">
        <f>ROUND(State_lookup!D12*(National_totals!$I$3/SUM(National_totals!$C$3:$I$3)), 0)</f>
        <v>6</v>
      </c>
    </row>
    <row r="14" spans="1:8" x14ac:dyDescent="0.45">
      <c r="A14" t="str">
        <f>State_lookup!B13</f>
        <v>Indiana</v>
      </c>
      <c r="B14">
        <f>ROUND(State_lookup!D13*(National_totals!$C$3/SUM(National_totals!$C$3:$I$3)), 0)</f>
        <v>9</v>
      </c>
      <c r="C14">
        <f>ROUND(State_lookup!D13*(National_totals!$D$3/SUM(National_totals!$C$3:$I$3)), 0)</f>
        <v>3848</v>
      </c>
      <c r="D14">
        <f>ROUND(State_lookup!D13*(National_totals!$E$3/SUM(National_totals!$C$3:$I$3)), 0)</f>
        <v>3028</v>
      </c>
      <c r="E14">
        <f>ROUND(State_lookup!D13*(National_totals!$F$3/SUM(National_totals!$C$3:$I$3)), 0)</f>
        <v>24060</v>
      </c>
      <c r="F14">
        <f>ROUND(State_lookup!D13*(National_totals!$G$3/SUM(National_totals!$C$3:$I$3)), 0)</f>
        <v>0</v>
      </c>
      <c r="G14">
        <f>ROUND(State_lookup!D13*(National_totals!$H$3/SUM(National_totals!$C$3:$I$3)), 0)</f>
        <v>1410</v>
      </c>
      <c r="H14">
        <f>ROUND(State_lookup!D13*(National_totals!$I$3/SUM(National_totals!$C$3:$I$3)), 0)</f>
        <v>5</v>
      </c>
    </row>
    <row r="15" spans="1:8" x14ac:dyDescent="0.45">
      <c r="A15" t="str">
        <f>State_lookup!B14</f>
        <v>Iowa</v>
      </c>
      <c r="B15">
        <f>ROUND(State_lookup!D14*(National_totals!$C$3/SUM(National_totals!$C$3:$I$3)), 0)</f>
        <v>3</v>
      </c>
      <c r="C15">
        <f>ROUND(State_lookup!D14*(National_totals!$D$3/SUM(National_totals!$C$3:$I$3)), 0)</f>
        <v>1090</v>
      </c>
      <c r="D15">
        <f>ROUND(State_lookup!D14*(National_totals!$E$3/SUM(National_totals!$C$3:$I$3)), 0)</f>
        <v>858</v>
      </c>
      <c r="E15">
        <f>ROUND(State_lookup!D14*(National_totals!$F$3/SUM(National_totals!$C$3:$I$3)), 0)</f>
        <v>6816</v>
      </c>
      <c r="F15">
        <f>ROUND(State_lookup!D14*(National_totals!$G$3/SUM(National_totals!$C$3:$I$3)), 0)</f>
        <v>0</v>
      </c>
      <c r="G15">
        <f>ROUND(State_lookup!D14*(National_totals!$H$3/SUM(National_totals!$C$3:$I$3)), 0)</f>
        <v>399</v>
      </c>
      <c r="H15">
        <f>ROUND(State_lookup!D14*(National_totals!$I$3/SUM(National_totals!$C$3:$I$3)), 0)</f>
        <v>1</v>
      </c>
    </row>
    <row r="16" spans="1:8" x14ac:dyDescent="0.45">
      <c r="A16" t="str">
        <f>State_lookup!B15</f>
        <v>Kansas</v>
      </c>
      <c r="B16">
        <f>ROUND(State_lookup!D15*(National_totals!$C$3/SUM(National_totals!$C$3:$I$3)), 0)</f>
        <v>0</v>
      </c>
      <c r="C16">
        <f>ROUND(State_lookup!D15*(National_totals!$D$3/SUM(National_totals!$C$3:$I$3)), 0)</f>
        <v>171</v>
      </c>
      <c r="D16">
        <f>ROUND(State_lookup!D15*(National_totals!$E$3/SUM(National_totals!$C$3:$I$3)), 0)</f>
        <v>134</v>
      </c>
      <c r="E16">
        <f>ROUND(State_lookup!D15*(National_totals!$F$3/SUM(National_totals!$C$3:$I$3)), 0)</f>
        <v>1066</v>
      </c>
      <c r="F16">
        <f>ROUND(State_lookup!D15*(National_totals!$G$3/SUM(National_totals!$C$3:$I$3)), 0)</f>
        <v>0</v>
      </c>
      <c r="G16">
        <f>ROUND(State_lookup!D15*(National_totals!$H$3/SUM(National_totals!$C$3:$I$3)), 0)</f>
        <v>62</v>
      </c>
      <c r="H16">
        <f>ROUND(State_lookup!D15*(National_totals!$I$3/SUM(National_totals!$C$3:$I$3)), 0)</f>
        <v>0</v>
      </c>
    </row>
    <row r="17" spans="1:8" x14ac:dyDescent="0.45">
      <c r="A17" t="str">
        <f>State_lookup!B16</f>
        <v>Kentucky</v>
      </c>
      <c r="B17">
        <f>ROUND(State_lookup!D16*(National_totals!$C$3/SUM(National_totals!$C$3:$I$3)), 0)</f>
        <v>4</v>
      </c>
      <c r="C17">
        <f>ROUND(State_lookup!D16*(National_totals!$D$3/SUM(National_totals!$C$3:$I$3)), 0)</f>
        <v>1835</v>
      </c>
      <c r="D17">
        <f>ROUND(State_lookup!D16*(National_totals!$E$3/SUM(National_totals!$C$3:$I$3)), 0)</f>
        <v>1444</v>
      </c>
      <c r="E17">
        <f>ROUND(State_lookup!D16*(National_totals!$F$3/SUM(National_totals!$C$3:$I$3)), 0)</f>
        <v>11471</v>
      </c>
      <c r="F17">
        <f>ROUND(State_lookup!D16*(National_totals!$G$3/SUM(National_totals!$C$3:$I$3)), 0)</f>
        <v>0</v>
      </c>
      <c r="G17">
        <f>ROUND(State_lookup!D16*(National_totals!$H$3/SUM(National_totals!$C$3:$I$3)), 0)</f>
        <v>672</v>
      </c>
      <c r="H17">
        <f>ROUND(State_lookup!D16*(National_totals!$I$3/SUM(National_totals!$C$3:$I$3)), 0)</f>
        <v>2</v>
      </c>
    </row>
    <row r="18" spans="1:8" x14ac:dyDescent="0.45">
      <c r="A18" t="str">
        <f>State_lookup!B17</f>
        <v>Louisiana</v>
      </c>
      <c r="B18">
        <f>ROUND(State_lookup!D17*(National_totals!$C$3/SUM(National_totals!$C$3:$I$3)), 0)</f>
        <v>9</v>
      </c>
      <c r="C18">
        <f>ROUND(State_lookup!D17*(National_totals!$D$3/SUM(National_totals!$C$3:$I$3)), 0)</f>
        <v>3999</v>
      </c>
      <c r="D18">
        <f>ROUND(State_lookup!D17*(National_totals!$E$3/SUM(National_totals!$C$3:$I$3)), 0)</f>
        <v>3147</v>
      </c>
      <c r="E18">
        <f>ROUND(State_lookup!D17*(National_totals!$F$3/SUM(National_totals!$C$3:$I$3)), 0)</f>
        <v>25003</v>
      </c>
      <c r="F18">
        <f>ROUND(State_lookup!D17*(National_totals!$G$3/SUM(National_totals!$C$3:$I$3)), 0)</f>
        <v>0</v>
      </c>
      <c r="G18">
        <f>ROUND(State_lookup!D17*(National_totals!$H$3/SUM(National_totals!$C$3:$I$3)), 0)</f>
        <v>1465</v>
      </c>
      <c r="H18">
        <f>ROUND(State_lookup!D17*(National_totals!$I$3/SUM(National_totals!$C$3:$I$3)), 0)</f>
        <v>5</v>
      </c>
    </row>
    <row r="19" spans="1:8" x14ac:dyDescent="0.45">
      <c r="A19" t="str">
        <f>State_lookup!B18</f>
        <v>Maine</v>
      </c>
      <c r="B19">
        <f>ROUND(State_lookup!D18*(National_totals!$C$3/SUM(National_totals!$C$3:$I$3)), 0)</f>
        <v>0</v>
      </c>
      <c r="C19">
        <f>ROUND(State_lookup!D18*(National_totals!$D$3/SUM(National_totals!$C$3:$I$3)), 0)</f>
        <v>196</v>
      </c>
      <c r="D19">
        <f>ROUND(State_lookup!D18*(National_totals!$E$3/SUM(National_totals!$C$3:$I$3)), 0)</f>
        <v>154</v>
      </c>
      <c r="E19">
        <f>ROUND(State_lookup!D18*(National_totals!$F$3/SUM(National_totals!$C$3:$I$3)), 0)</f>
        <v>1225</v>
      </c>
      <c r="F19">
        <f>ROUND(State_lookup!D18*(National_totals!$G$3/SUM(National_totals!$C$3:$I$3)), 0)</f>
        <v>0</v>
      </c>
      <c r="G19">
        <f>ROUND(State_lookup!D18*(National_totals!$H$3/SUM(National_totals!$C$3:$I$3)), 0)</f>
        <v>72</v>
      </c>
      <c r="H19">
        <f>ROUND(State_lookup!D18*(National_totals!$I$3/SUM(National_totals!$C$3:$I$3)), 0)</f>
        <v>0</v>
      </c>
    </row>
    <row r="20" spans="1:8" x14ac:dyDescent="0.45">
      <c r="A20" t="str">
        <f>State_lookup!B19</f>
        <v>Maryland</v>
      </c>
      <c r="B20">
        <f>ROUND(State_lookup!D19*(National_totals!$C$3/SUM(National_totals!$C$3:$I$3)), 0)</f>
        <v>4</v>
      </c>
      <c r="C20">
        <f>ROUND(State_lookup!D19*(National_totals!$D$3/SUM(National_totals!$C$3:$I$3)), 0)</f>
        <v>1892</v>
      </c>
      <c r="D20">
        <f>ROUND(State_lookup!D19*(National_totals!$E$3/SUM(National_totals!$C$3:$I$3)), 0)</f>
        <v>1489</v>
      </c>
      <c r="E20">
        <f>ROUND(State_lookup!D19*(National_totals!$F$3/SUM(National_totals!$C$3:$I$3)), 0)</f>
        <v>11827</v>
      </c>
      <c r="F20">
        <f>ROUND(State_lookup!D19*(National_totals!$G$3/SUM(National_totals!$C$3:$I$3)), 0)</f>
        <v>0</v>
      </c>
      <c r="G20">
        <f>ROUND(State_lookup!D19*(National_totals!$H$3/SUM(National_totals!$C$3:$I$3)), 0)</f>
        <v>693</v>
      </c>
      <c r="H20">
        <f>ROUND(State_lookup!D19*(National_totals!$I$3/SUM(National_totals!$C$3:$I$3)), 0)</f>
        <v>3</v>
      </c>
    </row>
    <row r="21" spans="1:8" x14ac:dyDescent="0.45">
      <c r="A21" t="str">
        <f>State_lookup!B20</f>
        <v>Massachusetts</v>
      </c>
      <c r="B21">
        <f>ROUND(State_lookup!D20*(National_totals!$C$3/SUM(National_totals!$C$3:$I$3)), 0)</f>
        <v>4</v>
      </c>
      <c r="C21">
        <f>ROUND(State_lookup!D20*(National_totals!$D$3/SUM(National_totals!$C$3:$I$3)), 0)</f>
        <v>1653</v>
      </c>
      <c r="D21">
        <f>ROUND(State_lookup!D20*(National_totals!$E$3/SUM(National_totals!$C$3:$I$3)), 0)</f>
        <v>1301</v>
      </c>
      <c r="E21">
        <f>ROUND(State_lookup!D20*(National_totals!$F$3/SUM(National_totals!$C$3:$I$3)), 0)</f>
        <v>10337</v>
      </c>
      <c r="F21">
        <f>ROUND(State_lookup!D20*(National_totals!$G$3/SUM(National_totals!$C$3:$I$3)), 0)</f>
        <v>0</v>
      </c>
      <c r="G21">
        <f>ROUND(State_lookup!D20*(National_totals!$H$3/SUM(National_totals!$C$3:$I$3)), 0)</f>
        <v>606</v>
      </c>
      <c r="H21">
        <f>ROUND(State_lookup!D20*(National_totals!$I$3/SUM(National_totals!$C$3:$I$3)), 0)</f>
        <v>2</v>
      </c>
    </row>
    <row r="22" spans="1:8" x14ac:dyDescent="0.45">
      <c r="A22" t="str">
        <f>State_lookup!B21</f>
        <v>Michigan</v>
      </c>
      <c r="B22">
        <f>ROUND(State_lookup!D21*(National_totals!$C$3/SUM(National_totals!$C$3:$I$3)), 0)</f>
        <v>1</v>
      </c>
      <c r="C22">
        <f>ROUND(State_lookup!D21*(National_totals!$D$3/SUM(National_totals!$C$3:$I$3)), 0)</f>
        <v>268</v>
      </c>
      <c r="D22">
        <f>ROUND(State_lookup!D21*(National_totals!$E$3/SUM(National_totals!$C$3:$I$3)), 0)</f>
        <v>211</v>
      </c>
      <c r="E22">
        <f>ROUND(State_lookup!D21*(National_totals!$F$3/SUM(National_totals!$C$3:$I$3)), 0)</f>
        <v>1677</v>
      </c>
      <c r="F22">
        <f>ROUND(State_lookup!D21*(National_totals!$G$3/SUM(National_totals!$C$3:$I$3)), 0)</f>
        <v>0</v>
      </c>
      <c r="G22">
        <f>ROUND(State_lookup!D21*(National_totals!$H$3/SUM(National_totals!$C$3:$I$3)), 0)</f>
        <v>98</v>
      </c>
      <c r="H22">
        <f>ROUND(State_lookup!D21*(National_totals!$I$3/SUM(National_totals!$C$3:$I$3)), 0)</f>
        <v>0</v>
      </c>
    </row>
    <row r="23" spans="1:8" x14ac:dyDescent="0.45">
      <c r="A23" t="str">
        <f>State_lookup!B22</f>
        <v>Minnesota</v>
      </c>
      <c r="B23">
        <f>ROUND(State_lookup!D22*(National_totals!$C$3/SUM(National_totals!$C$3:$I$3)), 0)</f>
        <v>4</v>
      </c>
      <c r="C23">
        <f>ROUND(State_lookup!D22*(National_totals!$D$3/SUM(National_totals!$C$3:$I$3)), 0)</f>
        <v>1687</v>
      </c>
      <c r="D23">
        <f>ROUND(State_lookup!D22*(National_totals!$E$3/SUM(National_totals!$C$3:$I$3)), 0)</f>
        <v>1327</v>
      </c>
      <c r="E23">
        <f>ROUND(State_lookup!D22*(National_totals!$F$3/SUM(National_totals!$C$3:$I$3)), 0)</f>
        <v>10547</v>
      </c>
      <c r="F23">
        <f>ROUND(State_lookup!D22*(National_totals!$G$3/SUM(National_totals!$C$3:$I$3)), 0)</f>
        <v>0</v>
      </c>
      <c r="G23">
        <f>ROUND(State_lookup!D22*(National_totals!$H$3/SUM(National_totals!$C$3:$I$3)), 0)</f>
        <v>618</v>
      </c>
      <c r="H23">
        <f>ROUND(State_lookup!D22*(National_totals!$I$3/SUM(National_totals!$C$3:$I$3)), 0)</f>
        <v>2</v>
      </c>
    </row>
    <row r="24" spans="1:8" x14ac:dyDescent="0.45">
      <c r="A24" t="str">
        <f>State_lookup!B23</f>
        <v>Mississippi</v>
      </c>
      <c r="B24">
        <f>ROUND(State_lookup!D23*(National_totals!$C$3/SUM(National_totals!$C$3:$I$3)), 0)</f>
        <v>2</v>
      </c>
      <c r="C24">
        <f>ROUND(State_lookup!D23*(National_totals!$D$3/SUM(National_totals!$C$3:$I$3)), 0)</f>
        <v>1011</v>
      </c>
      <c r="D24">
        <f>ROUND(State_lookup!D23*(National_totals!$E$3/SUM(National_totals!$C$3:$I$3)), 0)</f>
        <v>796</v>
      </c>
      <c r="E24">
        <f>ROUND(State_lookup!D23*(National_totals!$F$3/SUM(National_totals!$C$3:$I$3)), 0)</f>
        <v>6323</v>
      </c>
      <c r="F24">
        <f>ROUND(State_lookup!D23*(National_totals!$G$3/SUM(National_totals!$C$3:$I$3)), 0)</f>
        <v>0</v>
      </c>
      <c r="G24">
        <f>ROUND(State_lookup!D23*(National_totals!$H$3/SUM(National_totals!$C$3:$I$3)), 0)</f>
        <v>370</v>
      </c>
      <c r="H24">
        <f>ROUND(State_lookup!D23*(National_totals!$I$3/SUM(National_totals!$C$3:$I$3)), 0)</f>
        <v>1</v>
      </c>
    </row>
    <row r="25" spans="1:8" x14ac:dyDescent="0.45">
      <c r="A25" t="str">
        <f>State_lookup!B24</f>
        <v>Missouri</v>
      </c>
      <c r="B25">
        <f>ROUND(State_lookup!D24*(National_totals!$C$3/SUM(National_totals!$C$3:$I$3)), 0)</f>
        <v>6</v>
      </c>
      <c r="C25">
        <f>ROUND(State_lookup!D24*(National_totals!$D$3/SUM(National_totals!$C$3:$I$3)), 0)</f>
        <v>2724</v>
      </c>
      <c r="D25">
        <f>ROUND(State_lookup!D24*(National_totals!$E$3/SUM(National_totals!$C$3:$I$3)), 0)</f>
        <v>2144</v>
      </c>
      <c r="E25">
        <f>ROUND(State_lookup!D24*(National_totals!$F$3/SUM(National_totals!$C$3:$I$3)), 0)</f>
        <v>17030</v>
      </c>
      <c r="F25">
        <f>ROUND(State_lookup!D24*(National_totals!$G$3/SUM(National_totals!$C$3:$I$3)), 0)</f>
        <v>0</v>
      </c>
      <c r="G25">
        <f>ROUND(State_lookup!D24*(National_totals!$H$3/SUM(National_totals!$C$3:$I$3)), 0)</f>
        <v>998</v>
      </c>
      <c r="H25">
        <f>ROUND(State_lookup!D24*(National_totals!$I$3/SUM(National_totals!$C$3:$I$3)), 0)</f>
        <v>4</v>
      </c>
    </row>
    <row r="26" spans="1:8" x14ac:dyDescent="0.45">
      <c r="A26" t="str">
        <f>State_lookup!B25</f>
        <v>Montana</v>
      </c>
      <c r="B26">
        <f>ROUND(State_lookup!D25*(National_totals!$C$3/SUM(National_totals!$C$3:$I$3)), 0)</f>
        <v>2</v>
      </c>
      <c r="C26">
        <f>ROUND(State_lookup!D25*(National_totals!$D$3/SUM(National_totals!$C$3:$I$3)), 0)</f>
        <v>669</v>
      </c>
      <c r="D26">
        <f>ROUND(State_lookup!D25*(National_totals!$E$3/SUM(National_totals!$C$3:$I$3)), 0)</f>
        <v>527</v>
      </c>
      <c r="E26">
        <f>ROUND(State_lookup!D25*(National_totals!$F$3/SUM(National_totals!$C$3:$I$3)), 0)</f>
        <v>4185</v>
      </c>
      <c r="F26">
        <f>ROUND(State_lookup!D25*(National_totals!$G$3/SUM(National_totals!$C$3:$I$3)), 0)</f>
        <v>0</v>
      </c>
      <c r="G26">
        <f>ROUND(State_lookup!D25*(National_totals!$H$3/SUM(National_totals!$C$3:$I$3)), 0)</f>
        <v>245</v>
      </c>
      <c r="H26">
        <f>ROUND(State_lookup!D25*(National_totals!$I$3/SUM(National_totals!$C$3:$I$3)), 0)</f>
        <v>1</v>
      </c>
    </row>
    <row r="27" spans="1:8" x14ac:dyDescent="0.45">
      <c r="A27" t="str">
        <f>State_lookup!B26</f>
        <v>Nebraska</v>
      </c>
      <c r="B27">
        <f>ROUND(State_lookup!D26*(National_totals!$C$3/SUM(National_totals!$C$3:$I$3)), 0)</f>
        <v>3</v>
      </c>
      <c r="C27">
        <f>ROUND(State_lookup!D26*(National_totals!$D$3/SUM(National_totals!$C$3:$I$3)), 0)</f>
        <v>1071</v>
      </c>
      <c r="D27">
        <f>ROUND(State_lookup!D26*(National_totals!$E$3/SUM(National_totals!$C$3:$I$3)), 0)</f>
        <v>843</v>
      </c>
      <c r="E27">
        <f>ROUND(State_lookup!D26*(National_totals!$F$3/SUM(National_totals!$C$3:$I$3)), 0)</f>
        <v>6696</v>
      </c>
      <c r="F27">
        <f>ROUND(State_lookup!D26*(National_totals!$G$3/SUM(National_totals!$C$3:$I$3)), 0)</f>
        <v>0</v>
      </c>
      <c r="G27">
        <f>ROUND(State_lookup!D26*(National_totals!$H$3/SUM(National_totals!$C$3:$I$3)), 0)</f>
        <v>392</v>
      </c>
      <c r="H27">
        <f>ROUND(State_lookup!D26*(National_totals!$I$3/SUM(National_totals!$C$3:$I$3)), 0)</f>
        <v>1</v>
      </c>
    </row>
    <row r="28" spans="1:8" x14ac:dyDescent="0.45">
      <c r="A28" t="str">
        <f>State_lookup!B27</f>
        <v>Nevada</v>
      </c>
      <c r="B28">
        <f>ROUND(State_lookup!D27*(National_totals!$C$3/SUM(National_totals!$C$3:$I$3)), 0)</f>
        <v>2</v>
      </c>
      <c r="C28">
        <f>ROUND(State_lookup!D27*(National_totals!$D$3/SUM(National_totals!$C$3:$I$3)), 0)</f>
        <v>937</v>
      </c>
      <c r="D28">
        <f>ROUND(State_lookup!D27*(National_totals!$E$3/SUM(National_totals!$C$3:$I$3)), 0)</f>
        <v>738</v>
      </c>
      <c r="E28">
        <f>ROUND(State_lookup!D27*(National_totals!$F$3/SUM(National_totals!$C$3:$I$3)), 0)</f>
        <v>5860</v>
      </c>
      <c r="F28">
        <f>ROUND(State_lookup!D27*(National_totals!$G$3/SUM(National_totals!$C$3:$I$3)), 0)</f>
        <v>0</v>
      </c>
      <c r="G28">
        <f>ROUND(State_lookup!D27*(National_totals!$H$3/SUM(National_totals!$C$3:$I$3)), 0)</f>
        <v>343</v>
      </c>
      <c r="H28">
        <f>ROUND(State_lookup!D27*(National_totals!$I$3/SUM(National_totals!$C$3:$I$3)), 0)</f>
        <v>1</v>
      </c>
    </row>
    <row r="29" spans="1:8" x14ac:dyDescent="0.45">
      <c r="A29" t="str">
        <f>State_lookup!B28</f>
        <v>New Hampshire</v>
      </c>
      <c r="B29">
        <f>ROUND(State_lookup!D28*(National_totals!$C$3/SUM(National_totals!$C$3:$I$3)), 0)</f>
        <v>1</v>
      </c>
      <c r="C29">
        <f>ROUND(State_lookup!D28*(National_totals!$D$3/SUM(National_totals!$C$3:$I$3)), 0)</f>
        <v>291</v>
      </c>
      <c r="D29">
        <f>ROUND(State_lookup!D28*(National_totals!$E$3/SUM(National_totals!$C$3:$I$3)), 0)</f>
        <v>229</v>
      </c>
      <c r="E29">
        <f>ROUND(State_lookup!D28*(National_totals!$F$3/SUM(National_totals!$C$3:$I$3)), 0)</f>
        <v>1819</v>
      </c>
      <c r="F29">
        <f>ROUND(State_lookup!D28*(National_totals!$G$3/SUM(National_totals!$C$3:$I$3)), 0)</f>
        <v>0</v>
      </c>
      <c r="G29">
        <f>ROUND(State_lookup!D28*(National_totals!$H$3/SUM(National_totals!$C$3:$I$3)), 0)</f>
        <v>107</v>
      </c>
      <c r="H29">
        <f>ROUND(State_lookup!D28*(National_totals!$I$3/SUM(National_totals!$C$3:$I$3)), 0)</f>
        <v>0</v>
      </c>
    </row>
    <row r="30" spans="1:8" x14ac:dyDescent="0.45">
      <c r="A30" t="str">
        <f>State_lookup!B29</f>
        <v>New Jersey</v>
      </c>
      <c r="B30">
        <f>ROUND(State_lookup!D29*(National_totals!$C$3/SUM(National_totals!$C$3:$I$3)), 0)</f>
        <v>7</v>
      </c>
      <c r="C30">
        <f>ROUND(State_lookup!D29*(National_totals!$D$3/SUM(National_totals!$C$3:$I$3)), 0)</f>
        <v>2999</v>
      </c>
      <c r="D30">
        <f>ROUND(State_lookup!D29*(National_totals!$E$3/SUM(National_totals!$C$3:$I$3)), 0)</f>
        <v>2360</v>
      </c>
      <c r="E30">
        <f>ROUND(State_lookup!D29*(National_totals!$F$3/SUM(National_totals!$C$3:$I$3)), 0)</f>
        <v>18749</v>
      </c>
      <c r="F30">
        <f>ROUND(State_lookup!D29*(National_totals!$G$3/SUM(National_totals!$C$3:$I$3)), 0)</f>
        <v>0</v>
      </c>
      <c r="G30">
        <f>ROUND(State_lookup!D29*(National_totals!$H$3/SUM(National_totals!$C$3:$I$3)), 0)</f>
        <v>1099</v>
      </c>
      <c r="H30">
        <f>ROUND(State_lookup!D29*(National_totals!$I$3/SUM(National_totals!$C$3:$I$3)), 0)</f>
        <v>4</v>
      </c>
    </row>
    <row r="31" spans="1:8" x14ac:dyDescent="0.45">
      <c r="A31" t="str">
        <f>State_lookup!B30</f>
        <v>New Mexico</v>
      </c>
      <c r="B31">
        <f>ROUND(State_lookup!D30*(National_totals!$C$3/SUM(National_totals!$C$3:$I$3)), 0)</f>
        <v>2</v>
      </c>
      <c r="C31">
        <f>ROUND(State_lookup!D30*(National_totals!$D$3/SUM(National_totals!$C$3:$I$3)), 0)</f>
        <v>834</v>
      </c>
      <c r="D31">
        <f>ROUND(State_lookup!D30*(National_totals!$E$3/SUM(National_totals!$C$3:$I$3)), 0)</f>
        <v>656</v>
      </c>
      <c r="E31">
        <f>ROUND(State_lookup!D30*(National_totals!$F$3/SUM(National_totals!$C$3:$I$3)), 0)</f>
        <v>5214</v>
      </c>
      <c r="F31">
        <f>ROUND(State_lookup!D30*(National_totals!$G$3/SUM(National_totals!$C$3:$I$3)), 0)</f>
        <v>0</v>
      </c>
      <c r="G31">
        <f>ROUND(State_lookup!D30*(National_totals!$H$3/SUM(National_totals!$C$3:$I$3)), 0)</f>
        <v>305</v>
      </c>
      <c r="H31">
        <f>ROUND(State_lookup!D30*(National_totals!$I$3/SUM(National_totals!$C$3:$I$3)), 0)</f>
        <v>1</v>
      </c>
    </row>
    <row r="32" spans="1:8" x14ac:dyDescent="0.45">
      <c r="A32" t="str">
        <f>State_lookup!B31</f>
        <v>New York</v>
      </c>
      <c r="B32">
        <f>ROUND(State_lookup!D31*(National_totals!$C$3/SUM(National_totals!$C$3:$I$3)), 0)</f>
        <v>54</v>
      </c>
      <c r="C32">
        <f>ROUND(State_lookup!D31*(National_totals!$D$3/SUM(National_totals!$C$3:$I$3)), 0)</f>
        <v>23268</v>
      </c>
      <c r="D32">
        <f>ROUND(State_lookup!D31*(National_totals!$E$3/SUM(National_totals!$C$3:$I$3)), 0)</f>
        <v>18312</v>
      </c>
      <c r="E32">
        <f>ROUND(State_lookup!D31*(National_totals!$F$3/SUM(National_totals!$C$3:$I$3)), 0)</f>
        <v>145485</v>
      </c>
      <c r="F32">
        <f>ROUND(State_lookup!D31*(National_totals!$G$3/SUM(National_totals!$C$3:$I$3)), 0)</f>
        <v>0</v>
      </c>
      <c r="G32">
        <f>ROUND(State_lookup!D31*(National_totals!$H$3/SUM(National_totals!$C$3:$I$3)), 0)</f>
        <v>8524</v>
      </c>
      <c r="H32">
        <f>ROUND(State_lookup!D31*(National_totals!$I$3/SUM(National_totals!$C$3:$I$3)), 0)</f>
        <v>32</v>
      </c>
    </row>
    <row r="33" spans="1:8" x14ac:dyDescent="0.45">
      <c r="A33" t="str">
        <f>State_lookup!B32</f>
        <v>North Carolina</v>
      </c>
      <c r="B33">
        <f>ROUND(State_lookup!D32*(National_totals!$C$3/SUM(National_totals!$C$3:$I$3)), 0)</f>
        <v>9</v>
      </c>
      <c r="C33">
        <f>ROUND(State_lookup!D32*(National_totals!$D$3/SUM(National_totals!$C$3:$I$3)), 0)</f>
        <v>3863</v>
      </c>
      <c r="D33">
        <f>ROUND(State_lookup!D32*(National_totals!$E$3/SUM(National_totals!$C$3:$I$3)), 0)</f>
        <v>3040</v>
      </c>
      <c r="E33">
        <f>ROUND(State_lookup!D32*(National_totals!$F$3/SUM(National_totals!$C$3:$I$3)), 0)</f>
        <v>24151</v>
      </c>
      <c r="F33">
        <f>ROUND(State_lookup!D32*(National_totals!$G$3/SUM(National_totals!$C$3:$I$3)), 0)</f>
        <v>0</v>
      </c>
      <c r="G33">
        <f>ROUND(State_lookup!D32*(National_totals!$H$3/SUM(National_totals!$C$3:$I$3)), 0)</f>
        <v>1415</v>
      </c>
      <c r="H33">
        <f>ROUND(State_lookup!D32*(National_totals!$I$3/SUM(National_totals!$C$3:$I$3)), 0)</f>
        <v>5</v>
      </c>
    </row>
    <row r="34" spans="1:8" x14ac:dyDescent="0.45">
      <c r="A34" t="str">
        <f>State_lookup!B33</f>
        <v>North Dakota</v>
      </c>
      <c r="B34">
        <f>ROUND(State_lookup!D33*(National_totals!$C$3/SUM(National_totals!$C$3:$I$3)), 0)</f>
        <v>1</v>
      </c>
      <c r="C34">
        <f>ROUND(State_lookup!D33*(National_totals!$D$3/SUM(National_totals!$C$3:$I$3)), 0)</f>
        <v>429</v>
      </c>
      <c r="D34">
        <f>ROUND(State_lookup!D33*(National_totals!$E$3/SUM(National_totals!$C$3:$I$3)), 0)</f>
        <v>338</v>
      </c>
      <c r="E34">
        <f>ROUND(State_lookup!D33*(National_totals!$F$3/SUM(National_totals!$C$3:$I$3)), 0)</f>
        <v>2683</v>
      </c>
      <c r="F34">
        <f>ROUND(State_lookup!D33*(National_totals!$G$3/SUM(National_totals!$C$3:$I$3)), 0)</f>
        <v>0</v>
      </c>
      <c r="G34">
        <f>ROUND(State_lookup!D33*(National_totals!$H$3/SUM(National_totals!$C$3:$I$3)), 0)</f>
        <v>157</v>
      </c>
      <c r="H34">
        <f>ROUND(State_lookup!D33*(National_totals!$I$3/SUM(National_totals!$C$3:$I$3)), 0)</f>
        <v>1</v>
      </c>
    </row>
    <row r="35" spans="1:8" x14ac:dyDescent="0.45">
      <c r="A35" t="str">
        <f>State_lookup!B34</f>
        <v>Ohio</v>
      </c>
      <c r="B35">
        <f>ROUND(State_lookup!D34*(National_totals!$C$3/SUM(National_totals!$C$3:$I$3)), 0)</f>
        <v>10</v>
      </c>
      <c r="C35">
        <f>ROUND(State_lookup!D34*(National_totals!$D$3/SUM(National_totals!$C$3:$I$3)), 0)</f>
        <v>4192</v>
      </c>
      <c r="D35">
        <f>ROUND(State_lookup!D34*(National_totals!$E$3/SUM(National_totals!$C$3:$I$3)), 0)</f>
        <v>3299</v>
      </c>
      <c r="E35">
        <f>ROUND(State_lookup!D34*(National_totals!$F$3/SUM(National_totals!$C$3:$I$3)), 0)</f>
        <v>26209</v>
      </c>
      <c r="F35">
        <f>ROUND(State_lookup!D34*(National_totals!$G$3/SUM(National_totals!$C$3:$I$3)), 0)</f>
        <v>0</v>
      </c>
      <c r="G35">
        <f>ROUND(State_lookup!D34*(National_totals!$H$3/SUM(National_totals!$C$3:$I$3)), 0)</f>
        <v>1536</v>
      </c>
      <c r="H35">
        <f>ROUND(State_lookup!D34*(National_totals!$I$3/SUM(National_totals!$C$3:$I$3)), 0)</f>
        <v>6</v>
      </c>
    </row>
    <row r="36" spans="1:8" x14ac:dyDescent="0.45">
      <c r="A36" t="str">
        <f>State_lookup!B35</f>
        <v>Oklahoma</v>
      </c>
      <c r="B36">
        <f>ROUND(State_lookup!D35*(National_totals!$C$3/SUM(National_totals!$C$3:$I$3)), 0)</f>
        <v>1</v>
      </c>
      <c r="C36">
        <f>ROUND(State_lookup!D35*(National_totals!$D$3/SUM(National_totals!$C$3:$I$3)), 0)</f>
        <v>244</v>
      </c>
      <c r="D36">
        <f>ROUND(State_lookup!D35*(National_totals!$E$3/SUM(National_totals!$C$3:$I$3)), 0)</f>
        <v>192</v>
      </c>
      <c r="E36">
        <f>ROUND(State_lookup!D35*(National_totals!$F$3/SUM(National_totals!$C$3:$I$3)), 0)</f>
        <v>1526</v>
      </c>
      <c r="F36">
        <f>ROUND(State_lookup!D35*(National_totals!$G$3/SUM(National_totals!$C$3:$I$3)), 0)</f>
        <v>0</v>
      </c>
      <c r="G36">
        <f>ROUND(State_lookup!D35*(National_totals!$H$3/SUM(National_totals!$C$3:$I$3)), 0)</f>
        <v>89</v>
      </c>
      <c r="H36">
        <f>ROUND(State_lookup!D35*(National_totals!$I$3/SUM(National_totals!$C$3:$I$3)), 0)</f>
        <v>0</v>
      </c>
    </row>
    <row r="37" spans="1:8" x14ac:dyDescent="0.45">
      <c r="A37" t="str">
        <f>State_lookup!B36</f>
        <v>Oregon</v>
      </c>
      <c r="B37">
        <f>ROUND(State_lookup!D36*(National_totals!$C$3/SUM(National_totals!$C$3:$I$3)), 0)</f>
        <v>5</v>
      </c>
      <c r="C37">
        <f>ROUND(State_lookup!D36*(National_totals!$D$3/SUM(National_totals!$C$3:$I$3)), 0)</f>
        <v>2162</v>
      </c>
      <c r="D37">
        <f>ROUND(State_lookup!D36*(National_totals!$E$3/SUM(National_totals!$C$3:$I$3)), 0)</f>
        <v>1702</v>
      </c>
      <c r="E37">
        <f>ROUND(State_lookup!D36*(National_totals!$F$3/SUM(National_totals!$C$3:$I$3)), 0)</f>
        <v>13519</v>
      </c>
      <c r="F37">
        <f>ROUND(State_lookup!D36*(National_totals!$G$3/SUM(National_totals!$C$3:$I$3)), 0)</f>
        <v>0</v>
      </c>
      <c r="G37">
        <f>ROUND(State_lookup!D36*(National_totals!$H$3/SUM(National_totals!$C$3:$I$3)), 0)</f>
        <v>792</v>
      </c>
      <c r="H37">
        <f>ROUND(State_lookup!D36*(National_totals!$I$3/SUM(National_totals!$C$3:$I$3)), 0)</f>
        <v>3</v>
      </c>
    </row>
    <row r="38" spans="1:8" x14ac:dyDescent="0.45">
      <c r="A38" t="str">
        <f>State_lookup!B37</f>
        <v>Pennsylvania</v>
      </c>
      <c r="B38">
        <f>ROUND(State_lookup!D37*(National_totals!$C$3/SUM(National_totals!$C$3:$I$3)), 0)</f>
        <v>15</v>
      </c>
      <c r="C38">
        <f>ROUND(State_lookup!D37*(National_totals!$D$3/SUM(National_totals!$C$3:$I$3)), 0)</f>
        <v>6396</v>
      </c>
      <c r="D38">
        <f>ROUND(State_lookup!D37*(National_totals!$E$3/SUM(National_totals!$C$3:$I$3)), 0)</f>
        <v>5034</v>
      </c>
      <c r="E38">
        <f>ROUND(State_lookup!D37*(National_totals!$F$3/SUM(National_totals!$C$3:$I$3)), 0)</f>
        <v>39992</v>
      </c>
      <c r="F38">
        <f>ROUND(State_lookup!D37*(National_totals!$G$3/SUM(National_totals!$C$3:$I$3)), 0)</f>
        <v>0</v>
      </c>
      <c r="G38">
        <f>ROUND(State_lookup!D37*(National_totals!$H$3/SUM(National_totals!$C$3:$I$3)), 0)</f>
        <v>2343</v>
      </c>
      <c r="H38">
        <f>ROUND(State_lookup!D37*(National_totals!$I$3/SUM(National_totals!$C$3:$I$3)), 0)</f>
        <v>9</v>
      </c>
    </row>
    <row r="39" spans="1:8" x14ac:dyDescent="0.45">
      <c r="A39" t="str">
        <f>State_lookup!B38</f>
        <v>Rhode Island</v>
      </c>
      <c r="B39">
        <f>ROUND(State_lookup!D38*(National_totals!$C$3/SUM(National_totals!$C$3:$I$3)), 0)</f>
        <v>1</v>
      </c>
      <c r="C39">
        <f>ROUND(State_lookup!D38*(National_totals!$D$3/SUM(National_totals!$C$3:$I$3)), 0)</f>
        <v>261</v>
      </c>
      <c r="D39">
        <f>ROUND(State_lookup!D38*(National_totals!$E$3/SUM(National_totals!$C$3:$I$3)), 0)</f>
        <v>206</v>
      </c>
      <c r="E39">
        <f>ROUND(State_lookup!D38*(National_totals!$F$3/SUM(National_totals!$C$3:$I$3)), 0)</f>
        <v>1633</v>
      </c>
      <c r="F39">
        <f>ROUND(State_lookup!D38*(National_totals!$G$3/SUM(National_totals!$C$3:$I$3)), 0)</f>
        <v>0</v>
      </c>
      <c r="G39">
        <f>ROUND(State_lookup!D38*(National_totals!$H$3/SUM(National_totals!$C$3:$I$3)), 0)</f>
        <v>96</v>
      </c>
      <c r="H39">
        <f>ROUND(State_lookup!D38*(National_totals!$I$3/SUM(National_totals!$C$3:$I$3)), 0)</f>
        <v>0</v>
      </c>
    </row>
    <row r="40" spans="1:8" x14ac:dyDescent="0.45">
      <c r="A40" t="str">
        <f>State_lookup!B39</f>
        <v>South Carolina</v>
      </c>
      <c r="B40">
        <f>ROUND(State_lookup!D39*(National_totals!$C$3/SUM(National_totals!$C$3:$I$3)), 0)</f>
        <v>4</v>
      </c>
      <c r="C40">
        <f>ROUND(State_lookup!D39*(National_totals!$D$3/SUM(National_totals!$C$3:$I$3)), 0)</f>
        <v>1709</v>
      </c>
      <c r="D40">
        <f>ROUND(State_lookup!D39*(National_totals!$E$3/SUM(National_totals!$C$3:$I$3)), 0)</f>
        <v>1345</v>
      </c>
      <c r="E40">
        <f>ROUND(State_lookup!D39*(National_totals!$F$3/SUM(National_totals!$C$3:$I$3)), 0)</f>
        <v>10686</v>
      </c>
      <c r="F40">
        <f>ROUND(State_lookup!D39*(National_totals!$G$3/SUM(National_totals!$C$3:$I$3)), 0)</f>
        <v>0</v>
      </c>
      <c r="G40">
        <f>ROUND(State_lookup!D39*(National_totals!$H$3/SUM(National_totals!$C$3:$I$3)), 0)</f>
        <v>626</v>
      </c>
      <c r="H40">
        <f>ROUND(State_lookup!D39*(National_totals!$I$3/SUM(National_totals!$C$3:$I$3)), 0)</f>
        <v>2</v>
      </c>
    </row>
    <row r="41" spans="1:8" x14ac:dyDescent="0.45">
      <c r="A41" t="str">
        <f>State_lookup!B40</f>
        <v>South Dakota</v>
      </c>
      <c r="B41">
        <f>ROUND(State_lookup!D40*(National_totals!$C$3/SUM(National_totals!$C$3:$I$3)), 0)</f>
        <v>6</v>
      </c>
      <c r="C41">
        <f>ROUND(State_lookup!D40*(National_totals!$D$3/SUM(National_totals!$C$3:$I$3)), 0)</f>
        <v>2747</v>
      </c>
      <c r="D41">
        <f>ROUND(State_lookup!D40*(National_totals!$E$3/SUM(National_totals!$C$3:$I$3)), 0)</f>
        <v>2162</v>
      </c>
      <c r="E41">
        <f>ROUND(State_lookup!D40*(National_totals!$F$3/SUM(National_totals!$C$3:$I$3)), 0)</f>
        <v>17178</v>
      </c>
      <c r="F41">
        <f>ROUND(State_lookup!D40*(National_totals!$G$3/SUM(National_totals!$C$3:$I$3)), 0)</f>
        <v>0</v>
      </c>
      <c r="G41">
        <f>ROUND(State_lookup!D40*(National_totals!$H$3/SUM(National_totals!$C$3:$I$3)), 0)</f>
        <v>1006</v>
      </c>
      <c r="H41">
        <f>ROUND(State_lookup!D40*(National_totals!$I$3/SUM(National_totals!$C$3:$I$3)), 0)</f>
        <v>4</v>
      </c>
    </row>
    <row r="42" spans="1:8" x14ac:dyDescent="0.45">
      <c r="A42" t="str">
        <f>State_lookup!B41</f>
        <v>Tennessee</v>
      </c>
      <c r="B42">
        <f>ROUND(State_lookup!D41*(National_totals!$C$3/SUM(National_totals!$C$3:$I$3)), 0)</f>
        <v>6</v>
      </c>
      <c r="C42">
        <f>ROUND(State_lookup!D41*(National_totals!$D$3/SUM(National_totals!$C$3:$I$3)), 0)</f>
        <v>2600</v>
      </c>
      <c r="D42">
        <f>ROUND(State_lookup!D41*(National_totals!$E$3/SUM(National_totals!$C$3:$I$3)), 0)</f>
        <v>2046</v>
      </c>
      <c r="E42">
        <f>ROUND(State_lookup!D41*(National_totals!$F$3/SUM(National_totals!$C$3:$I$3)), 0)</f>
        <v>16256</v>
      </c>
      <c r="F42">
        <f>ROUND(State_lookup!D41*(National_totals!$G$3/SUM(National_totals!$C$3:$I$3)), 0)</f>
        <v>0</v>
      </c>
      <c r="G42">
        <f>ROUND(State_lookup!D41*(National_totals!$H$3/SUM(National_totals!$C$3:$I$3)), 0)</f>
        <v>952</v>
      </c>
      <c r="H42">
        <f>ROUND(State_lookup!D41*(National_totals!$I$3/SUM(National_totals!$C$3:$I$3)), 0)</f>
        <v>4</v>
      </c>
    </row>
    <row r="43" spans="1:8" x14ac:dyDescent="0.45">
      <c r="A43" t="str">
        <f>State_lookup!B42</f>
        <v>Texas</v>
      </c>
      <c r="B43">
        <f>ROUND(State_lookup!D42*(National_totals!$C$3/SUM(National_totals!$C$3:$I$3)), 0)</f>
        <v>18</v>
      </c>
      <c r="C43">
        <f>ROUND(State_lookup!D42*(National_totals!$D$3/SUM(National_totals!$C$3:$I$3)), 0)</f>
        <v>7739</v>
      </c>
      <c r="D43">
        <f>ROUND(State_lookup!D42*(National_totals!$E$3/SUM(National_totals!$C$3:$I$3)), 0)</f>
        <v>6091</v>
      </c>
      <c r="E43">
        <f>ROUND(State_lookup!D42*(National_totals!$F$3/SUM(National_totals!$C$3:$I$3)), 0)</f>
        <v>48391</v>
      </c>
      <c r="F43">
        <f>ROUND(State_lookup!D42*(National_totals!$G$3/SUM(National_totals!$C$3:$I$3)), 0)</f>
        <v>0</v>
      </c>
      <c r="G43">
        <f>ROUND(State_lookup!D42*(National_totals!$H$3/SUM(National_totals!$C$3:$I$3)), 0)</f>
        <v>2835</v>
      </c>
      <c r="H43">
        <f>ROUND(State_lookup!D42*(National_totals!$I$3/SUM(National_totals!$C$3:$I$3)), 0)</f>
        <v>10</v>
      </c>
    </row>
    <row r="44" spans="1:8" x14ac:dyDescent="0.45">
      <c r="A44" t="str">
        <f>State_lookup!B43</f>
        <v>Utah</v>
      </c>
      <c r="B44">
        <f>ROUND(State_lookup!D43*(National_totals!$C$3/SUM(National_totals!$C$3:$I$3)), 0)</f>
        <v>2</v>
      </c>
      <c r="C44">
        <f>ROUND(State_lookup!D43*(National_totals!$D$3/SUM(National_totals!$C$3:$I$3)), 0)</f>
        <v>954</v>
      </c>
      <c r="D44">
        <f>ROUND(State_lookup!D43*(National_totals!$E$3/SUM(National_totals!$C$3:$I$3)), 0)</f>
        <v>751</v>
      </c>
      <c r="E44">
        <f>ROUND(State_lookup!D43*(National_totals!$F$3/SUM(National_totals!$C$3:$I$3)), 0)</f>
        <v>5967</v>
      </c>
      <c r="F44">
        <f>ROUND(State_lookup!D43*(National_totals!$G$3/SUM(National_totals!$C$3:$I$3)), 0)</f>
        <v>0</v>
      </c>
      <c r="G44">
        <f>ROUND(State_lookup!D43*(National_totals!$H$3/SUM(National_totals!$C$3:$I$3)), 0)</f>
        <v>350</v>
      </c>
      <c r="H44">
        <f>ROUND(State_lookup!D43*(National_totals!$I$3/SUM(National_totals!$C$3:$I$3)), 0)</f>
        <v>1</v>
      </c>
    </row>
    <row r="45" spans="1:8" x14ac:dyDescent="0.45">
      <c r="A45" t="str">
        <f>State_lookup!B44</f>
        <v>Vermont</v>
      </c>
      <c r="B45">
        <f>ROUND(State_lookup!D44*(National_totals!$C$3/SUM(National_totals!$C$3:$I$3)), 0)</f>
        <v>1</v>
      </c>
      <c r="C45">
        <f>ROUND(State_lookup!D44*(National_totals!$D$3/SUM(National_totals!$C$3:$I$3)), 0)</f>
        <v>257</v>
      </c>
      <c r="D45">
        <f>ROUND(State_lookup!D44*(National_totals!$E$3/SUM(National_totals!$C$3:$I$3)), 0)</f>
        <v>202</v>
      </c>
      <c r="E45">
        <f>ROUND(State_lookup!D44*(National_totals!$F$3/SUM(National_totals!$C$3:$I$3)), 0)</f>
        <v>1607</v>
      </c>
      <c r="F45">
        <f>ROUND(State_lookup!D44*(National_totals!$G$3/SUM(National_totals!$C$3:$I$3)), 0)</f>
        <v>0</v>
      </c>
      <c r="G45">
        <f>ROUND(State_lookup!D44*(National_totals!$H$3/SUM(National_totals!$C$3:$I$3)), 0)</f>
        <v>94</v>
      </c>
      <c r="H45">
        <f>ROUND(State_lookup!D44*(National_totals!$I$3/SUM(National_totals!$C$3:$I$3)), 0)</f>
        <v>0</v>
      </c>
    </row>
    <row r="46" spans="1:8" x14ac:dyDescent="0.45">
      <c r="A46" t="str">
        <f>State_lookup!B45</f>
        <v>Virginia</v>
      </c>
      <c r="B46">
        <f>ROUND(State_lookup!D45*(National_totals!$C$3/SUM(National_totals!$C$3:$I$3)), 0)</f>
        <v>10</v>
      </c>
      <c r="C46">
        <f>ROUND(State_lookup!D45*(National_totals!$D$3/SUM(National_totals!$C$3:$I$3)), 0)</f>
        <v>4350</v>
      </c>
      <c r="D46">
        <f>ROUND(State_lookup!D45*(National_totals!$E$3/SUM(National_totals!$C$3:$I$3)), 0)</f>
        <v>3423</v>
      </c>
      <c r="E46">
        <f>ROUND(State_lookup!D45*(National_totals!$F$3/SUM(National_totals!$C$3:$I$3)), 0)</f>
        <v>27197</v>
      </c>
      <c r="F46">
        <f>ROUND(State_lookup!D45*(National_totals!$G$3/SUM(National_totals!$C$3:$I$3)), 0)</f>
        <v>0</v>
      </c>
      <c r="G46">
        <f>ROUND(State_lookup!D45*(National_totals!$H$3/SUM(National_totals!$C$3:$I$3)), 0)</f>
        <v>1593</v>
      </c>
      <c r="H46">
        <f>ROUND(State_lookup!D45*(National_totals!$I$3/SUM(National_totals!$C$3:$I$3)), 0)</f>
        <v>6</v>
      </c>
    </row>
    <row r="47" spans="1:8" x14ac:dyDescent="0.45">
      <c r="A47" t="str">
        <f>State_lookup!B46</f>
        <v>Washington</v>
      </c>
      <c r="B47">
        <f>ROUND(State_lookup!D46*(National_totals!$C$3/SUM(National_totals!$C$3:$I$3)), 0)</f>
        <v>7</v>
      </c>
      <c r="C47">
        <f>ROUND(State_lookup!D46*(National_totals!$D$3/SUM(National_totals!$C$3:$I$3)), 0)</f>
        <v>2884</v>
      </c>
      <c r="D47">
        <f>ROUND(State_lookup!D46*(National_totals!$E$3/SUM(National_totals!$C$3:$I$3)), 0)</f>
        <v>2270</v>
      </c>
      <c r="E47">
        <f>ROUND(State_lookup!D46*(National_totals!$F$3/SUM(National_totals!$C$3:$I$3)), 0)</f>
        <v>18033</v>
      </c>
      <c r="F47">
        <f>ROUND(State_lookup!D46*(National_totals!$G$3/SUM(National_totals!$C$3:$I$3)), 0)</f>
        <v>0</v>
      </c>
      <c r="G47">
        <f>ROUND(State_lookup!D46*(National_totals!$H$3/SUM(National_totals!$C$3:$I$3)), 0)</f>
        <v>1057</v>
      </c>
      <c r="H47">
        <f>ROUND(State_lookup!D46*(National_totals!$I$3/SUM(National_totals!$C$3:$I$3)), 0)</f>
        <v>4</v>
      </c>
    </row>
    <row r="48" spans="1:8" x14ac:dyDescent="0.45">
      <c r="A48" t="str">
        <f>State_lookup!B47</f>
        <v>West Virginia</v>
      </c>
      <c r="B48">
        <f>ROUND(State_lookup!D47*(National_totals!$C$3/SUM(National_totals!$C$3:$I$3)), 0)</f>
        <v>0</v>
      </c>
      <c r="C48">
        <f>ROUND(State_lookup!D47*(National_totals!$D$3/SUM(National_totals!$C$3:$I$3)), 0)</f>
        <v>19</v>
      </c>
      <c r="D48">
        <f>ROUND(State_lookup!D47*(National_totals!$E$3/SUM(National_totals!$C$3:$I$3)), 0)</f>
        <v>15</v>
      </c>
      <c r="E48">
        <f>ROUND(State_lookup!D47*(National_totals!$F$3/SUM(National_totals!$C$3:$I$3)), 0)</f>
        <v>119</v>
      </c>
      <c r="F48">
        <f>ROUND(State_lookup!D47*(National_totals!$G$3/SUM(National_totals!$C$3:$I$3)), 0)</f>
        <v>0</v>
      </c>
      <c r="G48">
        <f>ROUND(State_lookup!D47*(National_totals!$H$3/SUM(National_totals!$C$3:$I$3)), 0)</f>
        <v>7</v>
      </c>
      <c r="H48">
        <f>ROUND(State_lookup!D47*(National_totals!$I$3/SUM(National_totals!$C$3:$I$3)), 0)</f>
        <v>0</v>
      </c>
    </row>
    <row r="49" spans="1:8" x14ac:dyDescent="0.45">
      <c r="A49" t="str">
        <f>State_lookup!B48</f>
        <v>Wisconsin</v>
      </c>
      <c r="B49">
        <f>ROUND(State_lookup!D48*(National_totals!$C$3/SUM(National_totals!$C$3:$I$3)), 0)</f>
        <v>3</v>
      </c>
      <c r="C49">
        <f>ROUND(State_lookup!D48*(National_totals!$D$3/SUM(National_totals!$C$3:$I$3)), 0)</f>
        <v>1372</v>
      </c>
      <c r="D49">
        <f>ROUND(State_lookup!D48*(National_totals!$E$3/SUM(National_totals!$C$3:$I$3)), 0)</f>
        <v>1080</v>
      </c>
      <c r="E49">
        <f>ROUND(State_lookup!D48*(National_totals!$F$3/SUM(National_totals!$C$3:$I$3)), 0)</f>
        <v>8577</v>
      </c>
      <c r="F49">
        <f>ROUND(State_lookup!D48*(National_totals!$G$3/SUM(National_totals!$C$3:$I$3)), 0)</f>
        <v>0</v>
      </c>
      <c r="G49">
        <f>ROUND(State_lookup!D48*(National_totals!$H$3/SUM(National_totals!$C$3:$I$3)), 0)</f>
        <v>503</v>
      </c>
      <c r="H49">
        <f>ROUND(State_lookup!D48*(National_totals!$I$3/SUM(National_totals!$C$3:$I$3)), 0)</f>
        <v>2</v>
      </c>
    </row>
    <row r="50" spans="1:8" x14ac:dyDescent="0.45">
      <c r="A50" t="str">
        <f>State_lookup!B49</f>
        <v>Wyoming</v>
      </c>
      <c r="B50">
        <f>ROUND(State_lookup!D49*(National_totals!$C$3/SUM(National_totals!$C$3:$I$3)), 0)</f>
        <v>1</v>
      </c>
      <c r="C50">
        <f>ROUND(State_lookup!D49*(National_totals!$D$3/SUM(National_totals!$C$3:$I$3)), 0)</f>
        <v>232</v>
      </c>
      <c r="D50">
        <f>ROUND(State_lookup!D49*(National_totals!$E$3/SUM(National_totals!$C$3:$I$3)), 0)</f>
        <v>183</v>
      </c>
      <c r="E50">
        <f>ROUND(State_lookup!D49*(National_totals!$F$3/SUM(National_totals!$C$3:$I$3)), 0)</f>
        <v>1452</v>
      </c>
      <c r="F50">
        <f>ROUND(State_lookup!D49*(National_totals!$G$3/SUM(National_totals!$C$3:$I$3)), 0)</f>
        <v>0</v>
      </c>
      <c r="G50">
        <f>ROUND(State_lookup!D49*(National_totals!$H$3/SUM(National_totals!$C$3:$I$3)), 0)</f>
        <v>85</v>
      </c>
      <c r="H50">
        <f>ROUND(State_lookup!D49*(National_totals!$I$3/SUM(National_totals!$C$3:$I$3)), 0)</f>
        <v>0</v>
      </c>
    </row>
    <row r="51" spans="1:8" x14ac:dyDescent="0.45">
      <c r="A51" s="4" t="s">
        <v>335</v>
      </c>
      <c r="B51" s="4">
        <f t="shared" ref="B51:H51" si="0">SUM(B3:B50)</f>
        <v>301</v>
      </c>
      <c r="C51" s="4">
        <f t="shared" si="0"/>
        <v>128421</v>
      </c>
      <c r="D51" s="4">
        <f t="shared" si="0"/>
        <v>101067</v>
      </c>
      <c r="E51" s="4">
        <f t="shared" si="0"/>
        <v>802956</v>
      </c>
      <c r="F51" s="4">
        <f t="shared" si="0"/>
        <v>0</v>
      </c>
      <c r="G51" s="4">
        <f t="shared" si="0"/>
        <v>47045</v>
      </c>
      <c r="H51" s="4">
        <f t="shared" si="0"/>
        <v>172</v>
      </c>
    </row>
    <row r="52" spans="1:8" x14ac:dyDescent="0.45">
      <c r="A52" s="4" t="s">
        <v>336</v>
      </c>
      <c r="B52" s="4">
        <f>National_totals!$C$3</f>
        <v>300</v>
      </c>
      <c r="C52" s="4">
        <f>National_totals!$D$3</f>
        <v>128402</v>
      </c>
      <c r="D52" s="4">
        <f>National_totals!$E$3</f>
        <v>101051</v>
      </c>
      <c r="E52" s="4">
        <f>National_totals!$F$3</f>
        <v>802832</v>
      </c>
      <c r="F52" s="4">
        <f>National_totals!$G$3</f>
        <v>0</v>
      </c>
      <c r="G52" s="4">
        <f>National_totals!$H$3</f>
        <v>47038</v>
      </c>
      <c r="H52" s="4">
        <f>National_totals!$I$3</f>
        <v>174</v>
      </c>
    </row>
    <row r="53" spans="1:8" x14ac:dyDescent="0.45">
      <c r="A53" s="4" t="s">
        <v>337</v>
      </c>
      <c r="B53" s="7">
        <f t="shared" ref="B53:H53" si="1">IFERROR((B51-B52)/B52, 0)</f>
        <v>3.3333333333333335E-3</v>
      </c>
      <c r="C53" s="7">
        <f t="shared" si="1"/>
        <v>1.4797277300976621E-4</v>
      </c>
      <c r="D53" s="7">
        <f t="shared" si="1"/>
        <v>1.5833588979822071E-4</v>
      </c>
      <c r="E53" s="7">
        <f t="shared" si="1"/>
        <v>1.5445323554616656E-4</v>
      </c>
      <c r="F53" s="7">
        <f t="shared" si="1"/>
        <v>0</v>
      </c>
      <c r="G53" s="7">
        <f t="shared" si="1"/>
        <v>1.4881585101407372E-4</v>
      </c>
      <c r="H53" s="7">
        <f t="shared" si="1"/>
        <v>-1.1494252873563218E-2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339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IFERROR(ROUND(State_lookup!H2/SUM(State_lookup!H2:H49)*National_totals!$C$4, 0), 0)</f>
        <v>0</v>
      </c>
      <c r="C3">
        <f>IFERROR(ROUND(State_lookup!H2/SUM(State_lookup!H2:H49)*National_totals!$D$4, 0), 0)</f>
        <v>0</v>
      </c>
      <c r="D3">
        <f>IFERROR(ROUND(State_lookup!H2/SUM(State_lookup!H2:H49)*National_totals!$E$4, 0), 0)</f>
        <v>0</v>
      </c>
      <c r="E3">
        <f>IFERROR(ROUND(MAX(State_lookup!H2/SUM(State_lookup!H2:H49)*National_totals!$F$4, Keys!$C$59), 0), 0)</f>
        <v>24</v>
      </c>
      <c r="F3">
        <f>IFERROR(ROUND(State_lookup!H2/SUM(State_lookup!H2:H49)*National_totals!$G$4, 0), 0)</f>
        <v>0</v>
      </c>
      <c r="G3">
        <f>IFERROR(ROUND(State_lookup!H2/SUM(State_lookup!H2:H49)*National_totals!$H$4, 0), 0)</f>
        <v>0</v>
      </c>
      <c r="H3">
        <f>IFERROR(ROUND(State_lookup!H2/SUM(State_lookup!H2:H49)*National_totals!$I$4, 0), 0)</f>
        <v>0</v>
      </c>
    </row>
    <row r="4" spans="1:8" x14ac:dyDescent="0.45">
      <c r="A4" t="str">
        <f>State_lookup!B3</f>
        <v>Arizona</v>
      </c>
      <c r="B4">
        <f>IFERROR(ROUND(State_lookup!H3/SUM(State_lookup!H2:H49)*National_totals!$C$4, 0), 0)</f>
        <v>0</v>
      </c>
      <c r="C4">
        <f>IFERROR(ROUND(State_lookup!H3/SUM(State_lookup!H2:H49)*National_totals!$D$4, 0), 0)</f>
        <v>0</v>
      </c>
      <c r="D4">
        <f>IFERROR(ROUND(State_lookup!H3/SUM(State_lookup!H2:H49)*National_totals!$E$4, 0), 0)</f>
        <v>0</v>
      </c>
      <c r="E4">
        <f>IFERROR(ROUND(MAX(State_lookup!H3/SUM(State_lookup!H2:H49)*National_totals!$F$4, Keys!$C$59), 0), 0)</f>
        <v>194</v>
      </c>
      <c r="F4">
        <f>IFERROR(ROUND(State_lookup!H3/SUM(State_lookup!H2:H49)*National_totals!$G$4, 0), 0)</f>
        <v>0</v>
      </c>
      <c r="G4">
        <f>IFERROR(ROUND(State_lookup!H3/SUM(State_lookup!H2:H49)*National_totals!$H$4, 0), 0)</f>
        <v>0</v>
      </c>
      <c r="H4">
        <f>IFERROR(ROUND(State_lookup!H3/SUM(State_lookup!H2:H49)*National_totals!$I$4, 0), 0)</f>
        <v>0</v>
      </c>
    </row>
    <row r="5" spans="1:8" x14ac:dyDescent="0.45">
      <c r="A5" t="str">
        <f>State_lookup!B4</f>
        <v>Arkansas</v>
      </c>
      <c r="B5">
        <f>IFERROR(ROUND(State_lookup!H4/SUM(State_lookup!H2:H49)*National_totals!$C$4, 0), 0)</f>
        <v>0</v>
      </c>
      <c r="C5">
        <f>IFERROR(ROUND(State_lookup!H4/SUM(State_lookup!H2:H49)*National_totals!$D$4, 0), 0)</f>
        <v>0</v>
      </c>
      <c r="D5">
        <f>IFERROR(ROUND(State_lookup!H4/SUM(State_lookup!H2:H49)*National_totals!$E$4, 0), 0)</f>
        <v>0</v>
      </c>
      <c r="E5">
        <f>IFERROR(ROUND(MAX(State_lookup!H4/SUM(State_lookup!H2:H49)*National_totals!$F$4, Keys!$C$59), 0), 0)</f>
        <v>24</v>
      </c>
      <c r="F5">
        <f>IFERROR(ROUND(State_lookup!H4/SUM(State_lookup!H2:H49)*National_totals!$G$4, 0), 0)</f>
        <v>0</v>
      </c>
      <c r="G5">
        <f>IFERROR(ROUND(State_lookup!H4/SUM(State_lookup!H2:H49)*National_totals!$H$4, 0), 0)</f>
        <v>0</v>
      </c>
      <c r="H5">
        <f>IFERROR(ROUND(State_lookup!H4/SUM(State_lookup!H2:H49)*National_totals!$I$4, 0), 0)</f>
        <v>0</v>
      </c>
    </row>
    <row r="6" spans="1:8" x14ac:dyDescent="0.45">
      <c r="A6" t="str">
        <f>State_lookup!B5</f>
        <v>California</v>
      </c>
      <c r="B6">
        <f>IFERROR(ROUND(State_lookup!H5/SUM(State_lookup!H2:H49)*National_totals!$C$4, 0), 0)</f>
        <v>0</v>
      </c>
      <c r="C6">
        <f>IFERROR(ROUND(State_lookup!H5/SUM(State_lookup!H2:H49)*National_totals!$D$4, 0), 0)</f>
        <v>0</v>
      </c>
      <c r="D6">
        <f>IFERROR(ROUND(State_lookup!H5/SUM(State_lookup!H2:H49)*National_totals!$E$4, 0), 0)</f>
        <v>0</v>
      </c>
      <c r="E6">
        <f>IFERROR(ROUND(MAX(State_lookup!H5/SUM(State_lookup!H2:H49)*National_totals!$F$4, Keys!$C$59), 0), 0)</f>
        <v>903</v>
      </c>
      <c r="F6">
        <f>IFERROR(ROUND(State_lookup!H5/SUM(State_lookup!H2:H49)*National_totals!$G$4, 0), 0)</f>
        <v>0</v>
      </c>
      <c r="G6">
        <f>IFERROR(ROUND(State_lookup!H5/SUM(State_lookup!H2:H49)*National_totals!$H$4, 0), 0)</f>
        <v>0</v>
      </c>
      <c r="H6">
        <f>IFERROR(ROUND(State_lookup!H5/SUM(State_lookup!H2:H49)*National_totals!$I$4, 0), 0)</f>
        <v>0</v>
      </c>
    </row>
    <row r="7" spans="1:8" x14ac:dyDescent="0.45">
      <c r="A7" t="str">
        <f>State_lookup!B6</f>
        <v>Colorado</v>
      </c>
      <c r="B7">
        <f>IFERROR(ROUND(State_lookup!H6/SUM(State_lookup!H2:H49)*National_totals!$C$4, 0), 0)</f>
        <v>0</v>
      </c>
      <c r="C7">
        <f>IFERROR(ROUND(State_lookup!H6/SUM(State_lookup!H2:H49)*National_totals!$D$4, 0), 0)</f>
        <v>0</v>
      </c>
      <c r="D7">
        <f>IFERROR(ROUND(State_lookup!H6/SUM(State_lookup!H2:H49)*National_totals!$E$4, 0), 0)</f>
        <v>0</v>
      </c>
      <c r="E7">
        <f>IFERROR(ROUND(MAX(State_lookup!H6/SUM(State_lookup!H2:H49)*National_totals!$F$4, Keys!$C$59), 0), 0)</f>
        <v>267</v>
      </c>
      <c r="F7">
        <f>IFERROR(ROUND(State_lookup!H6/SUM(State_lookup!H2:H49)*National_totals!$G$4, 0), 0)</f>
        <v>0</v>
      </c>
      <c r="G7">
        <f>IFERROR(ROUND(State_lookup!H6/SUM(State_lookup!H2:H49)*National_totals!$H$4, 0), 0)</f>
        <v>0</v>
      </c>
      <c r="H7">
        <f>IFERROR(ROUND(State_lookup!H6/SUM(State_lookup!H2:H49)*National_totals!$I$4, 0), 0)</f>
        <v>0</v>
      </c>
    </row>
    <row r="8" spans="1:8" x14ac:dyDescent="0.45">
      <c r="A8" t="str">
        <f>State_lookup!B7</f>
        <v>Connecticut</v>
      </c>
      <c r="B8">
        <f>IFERROR(ROUND(State_lookup!H7/SUM(State_lookup!H2:H49)*National_totals!$C$4, 0), 0)</f>
        <v>0</v>
      </c>
      <c r="C8">
        <f>IFERROR(ROUND(State_lookup!H7/SUM(State_lookup!H2:H49)*National_totals!$D$4, 0), 0)</f>
        <v>0</v>
      </c>
      <c r="D8">
        <f>IFERROR(ROUND(State_lookup!H7/SUM(State_lookup!H2:H49)*National_totals!$E$4, 0), 0)</f>
        <v>0</v>
      </c>
      <c r="E8">
        <f>IFERROR(ROUND(MAX(State_lookup!H7/SUM(State_lookup!H2:H49)*National_totals!$F$4, Keys!$C$59), 0), 0)</f>
        <v>25</v>
      </c>
      <c r="F8">
        <f>IFERROR(ROUND(State_lookup!H7/SUM(State_lookup!H2:H49)*National_totals!$G$4, 0), 0)</f>
        <v>0</v>
      </c>
      <c r="G8">
        <f>IFERROR(ROUND(State_lookup!H7/SUM(State_lookup!H2:H49)*National_totals!$H$4, 0), 0)</f>
        <v>0</v>
      </c>
      <c r="H8">
        <f>IFERROR(ROUND(State_lookup!H7/SUM(State_lookup!H2:H49)*National_totals!$I$4, 0), 0)</f>
        <v>0</v>
      </c>
    </row>
    <row r="9" spans="1:8" x14ac:dyDescent="0.45">
      <c r="A9" t="str">
        <f>State_lookup!B8</f>
        <v>Delaware</v>
      </c>
      <c r="B9">
        <f>IFERROR(ROUND(State_lookup!H8/SUM(State_lookup!H2:H49)*National_totals!$C$4, 0), 0)</f>
        <v>0</v>
      </c>
      <c r="C9">
        <f>IFERROR(ROUND(State_lookup!H8/SUM(State_lookup!H2:H49)*National_totals!$D$4, 0), 0)</f>
        <v>0</v>
      </c>
      <c r="D9">
        <f>IFERROR(ROUND(State_lookup!H8/SUM(State_lookup!H2:H49)*National_totals!$E$4, 0), 0)</f>
        <v>0</v>
      </c>
      <c r="E9">
        <f>IFERROR(ROUND(MAX(State_lookup!H8/SUM(State_lookup!H2:H49)*National_totals!$F$4, Keys!$C$59), 0), 0)</f>
        <v>24</v>
      </c>
      <c r="F9">
        <f>IFERROR(ROUND(State_lookup!H8/SUM(State_lookup!H2:H49)*National_totals!$G$4, 0), 0)</f>
        <v>0</v>
      </c>
      <c r="G9">
        <f>IFERROR(ROUND(State_lookup!H8/SUM(State_lookup!H2:H49)*National_totals!$H$4, 0), 0)</f>
        <v>0</v>
      </c>
      <c r="H9">
        <f>IFERROR(ROUND(State_lookup!H8/SUM(State_lookup!H2:H49)*National_totals!$I$4, 0), 0)</f>
        <v>0</v>
      </c>
    </row>
    <row r="10" spans="1:8" x14ac:dyDescent="0.45">
      <c r="A10" t="str">
        <f>State_lookup!B9</f>
        <v>Florida</v>
      </c>
      <c r="B10">
        <f>IFERROR(ROUND(State_lookup!H9/SUM(State_lookup!H2:H49)*National_totals!$C$4, 0), 0)</f>
        <v>0</v>
      </c>
      <c r="C10">
        <f>IFERROR(ROUND(State_lookup!H9/SUM(State_lookup!H2:H49)*National_totals!$D$4, 0), 0)</f>
        <v>0</v>
      </c>
      <c r="D10">
        <f>IFERROR(ROUND(State_lookup!H9/SUM(State_lookup!H2:H49)*National_totals!$E$4, 0), 0)</f>
        <v>0</v>
      </c>
      <c r="E10">
        <f>IFERROR(ROUND(MAX(State_lookup!H9/SUM(State_lookup!H2:H49)*National_totals!$F$4, Keys!$C$59), 0), 0)</f>
        <v>717</v>
      </c>
      <c r="F10">
        <f>IFERROR(ROUND(State_lookup!H9/SUM(State_lookup!H2:H49)*National_totals!$G$4, 0), 0)</f>
        <v>0</v>
      </c>
      <c r="G10">
        <f>IFERROR(ROUND(State_lookup!H9/SUM(State_lookup!H2:H49)*National_totals!$H$4, 0), 0)</f>
        <v>0</v>
      </c>
      <c r="H10">
        <f>IFERROR(ROUND(State_lookup!H9/SUM(State_lookup!H2:H49)*National_totals!$I$4, 0), 0)</f>
        <v>0</v>
      </c>
    </row>
    <row r="11" spans="1:8" x14ac:dyDescent="0.45">
      <c r="A11" t="str">
        <f>State_lookup!B10</f>
        <v>Georgia</v>
      </c>
      <c r="B11">
        <f>IFERROR(ROUND(State_lookup!H10/SUM(State_lookup!H2:H49)*National_totals!$C$4, 0), 0)</f>
        <v>0</v>
      </c>
      <c r="C11">
        <f>IFERROR(ROUND(State_lookup!H10/SUM(State_lookup!H2:H49)*National_totals!$D$4, 0), 0)</f>
        <v>0</v>
      </c>
      <c r="D11">
        <f>IFERROR(ROUND(State_lookup!H10/SUM(State_lookup!H2:H49)*National_totals!$E$4, 0), 0)</f>
        <v>0</v>
      </c>
      <c r="E11">
        <f>IFERROR(ROUND(MAX(State_lookup!H10/SUM(State_lookup!H2:H49)*National_totals!$F$4, Keys!$C$59), 0), 0)</f>
        <v>415</v>
      </c>
      <c r="F11">
        <f>IFERROR(ROUND(State_lookup!H10/SUM(State_lookup!H2:H49)*National_totals!$G$4, 0), 0)</f>
        <v>0</v>
      </c>
      <c r="G11">
        <f>IFERROR(ROUND(State_lookup!H10/SUM(State_lookup!H2:H49)*National_totals!$H$4, 0), 0)</f>
        <v>0</v>
      </c>
      <c r="H11">
        <f>IFERROR(ROUND(State_lookup!H10/SUM(State_lookup!H2:H49)*National_totals!$I$4, 0), 0)</f>
        <v>0</v>
      </c>
    </row>
    <row r="12" spans="1:8" x14ac:dyDescent="0.45">
      <c r="A12" t="str">
        <f>State_lookup!B11</f>
        <v>Idaho</v>
      </c>
      <c r="B12">
        <f>IFERROR(ROUND(State_lookup!H11/SUM(State_lookup!H2:H49)*National_totals!$C$4, 0), 0)</f>
        <v>0</v>
      </c>
      <c r="C12">
        <f>IFERROR(ROUND(State_lookup!H11/SUM(State_lookup!H2:H49)*National_totals!$D$4, 0), 0)</f>
        <v>0</v>
      </c>
      <c r="D12">
        <f>IFERROR(ROUND(State_lookup!H11/SUM(State_lookup!H2:H49)*National_totals!$E$4, 0), 0)</f>
        <v>0</v>
      </c>
      <c r="E12">
        <f>IFERROR(ROUND(MAX(State_lookup!H11/SUM(State_lookup!H2:H49)*National_totals!$F$4, Keys!$C$59), 0), 0)</f>
        <v>24</v>
      </c>
      <c r="F12">
        <f>IFERROR(ROUND(State_lookup!H11/SUM(State_lookup!H2:H49)*National_totals!$G$4, 0), 0)</f>
        <v>0</v>
      </c>
      <c r="G12">
        <f>IFERROR(ROUND(State_lookup!H11/SUM(State_lookup!H2:H49)*National_totals!$H$4, 0), 0)</f>
        <v>0</v>
      </c>
      <c r="H12">
        <f>IFERROR(ROUND(State_lookup!H11/SUM(State_lookup!H2:H49)*National_totals!$I$4, 0), 0)</f>
        <v>0</v>
      </c>
    </row>
    <row r="13" spans="1:8" x14ac:dyDescent="0.45">
      <c r="A13" t="str">
        <f>State_lookup!B12</f>
        <v>Illinois</v>
      </c>
      <c r="B13">
        <f>IFERROR(ROUND(State_lookup!H12/SUM(State_lookup!H2:H49)*National_totals!$C$4, 0), 0)</f>
        <v>0</v>
      </c>
      <c r="C13">
        <f>IFERROR(ROUND(State_lookup!H12/SUM(State_lookup!H2:H49)*National_totals!$D$4, 0), 0)</f>
        <v>0</v>
      </c>
      <c r="D13">
        <f>IFERROR(ROUND(State_lookup!H12/SUM(State_lookup!H2:H49)*National_totals!$E$4, 0), 0)</f>
        <v>0</v>
      </c>
      <c r="E13">
        <f>IFERROR(ROUND(MAX(State_lookup!H12/SUM(State_lookup!H2:H49)*National_totals!$F$4, Keys!$C$59), 0), 0)</f>
        <v>392</v>
      </c>
      <c r="F13">
        <f>IFERROR(ROUND(State_lookup!H12/SUM(State_lookup!H2:H49)*National_totals!$G$4, 0), 0)</f>
        <v>0</v>
      </c>
      <c r="G13">
        <f>IFERROR(ROUND(State_lookup!H12/SUM(State_lookup!H2:H49)*National_totals!$H$4, 0), 0)</f>
        <v>0</v>
      </c>
      <c r="H13">
        <f>IFERROR(ROUND(State_lookup!H12/SUM(State_lookup!H2:H49)*National_totals!$I$4, 0), 0)</f>
        <v>0</v>
      </c>
    </row>
    <row r="14" spans="1:8" x14ac:dyDescent="0.45">
      <c r="A14" t="str">
        <f>State_lookup!B13</f>
        <v>Indiana</v>
      </c>
      <c r="B14">
        <f>IFERROR(ROUND(State_lookup!H13/SUM(State_lookup!H2:H49)*National_totals!$C$4, 0), 0)</f>
        <v>0</v>
      </c>
      <c r="C14">
        <f>IFERROR(ROUND(State_lookup!H13/SUM(State_lookup!H2:H49)*National_totals!$D$4, 0), 0)</f>
        <v>0</v>
      </c>
      <c r="D14">
        <f>IFERROR(ROUND(State_lookup!H13/SUM(State_lookup!H2:H49)*National_totals!$E$4, 0), 0)</f>
        <v>0</v>
      </c>
      <c r="E14">
        <f>IFERROR(ROUND(MAX(State_lookup!H13/SUM(State_lookup!H2:H49)*National_totals!$F$4, Keys!$C$59), 0), 0)</f>
        <v>43</v>
      </c>
      <c r="F14">
        <f>IFERROR(ROUND(State_lookup!H13/SUM(State_lookup!H2:H49)*National_totals!$G$4, 0), 0)</f>
        <v>0</v>
      </c>
      <c r="G14">
        <f>IFERROR(ROUND(State_lookup!H13/SUM(State_lookup!H2:H49)*National_totals!$H$4, 0), 0)</f>
        <v>0</v>
      </c>
      <c r="H14">
        <f>IFERROR(ROUND(State_lookup!H13/SUM(State_lookup!H2:H49)*National_totals!$I$4, 0), 0)</f>
        <v>0</v>
      </c>
    </row>
    <row r="15" spans="1:8" x14ac:dyDescent="0.45">
      <c r="A15" t="str">
        <f>State_lookup!B14</f>
        <v>Iowa</v>
      </c>
      <c r="B15">
        <f>IFERROR(ROUND(State_lookup!H14/SUM(State_lookup!H2:H49)*National_totals!$C$4, 0), 0)</f>
        <v>0</v>
      </c>
      <c r="C15">
        <f>IFERROR(ROUND(State_lookup!H14/SUM(State_lookup!H2:H49)*National_totals!$D$4, 0), 0)</f>
        <v>0</v>
      </c>
      <c r="D15">
        <f>IFERROR(ROUND(State_lookup!H14/SUM(State_lookup!H2:H49)*National_totals!$E$4, 0), 0)</f>
        <v>0</v>
      </c>
      <c r="E15">
        <f>IFERROR(ROUND(MAX(State_lookup!H14/SUM(State_lookup!H2:H49)*National_totals!$F$4, Keys!$C$59), 0), 0)</f>
        <v>24</v>
      </c>
      <c r="F15">
        <f>IFERROR(ROUND(State_lookup!H14/SUM(State_lookup!H2:H49)*National_totals!$G$4, 0), 0)</f>
        <v>0</v>
      </c>
      <c r="G15">
        <f>IFERROR(ROUND(State_lookup!H14/SUM(State_lookup!H2:H49)*National_totals!$H$4, 0), 0)</f>
        <v>0</v>
      </c>
      <c r="H15">
        <f>IFERROR(ROUND(State_lookup!H14/SUM(State_lookup!H2:H49)*National_totals!$I$4, 0), 0)</f>
        <v>0</v>
      </c>
    </row>
    <row r="16" spans="1:8" x14ac:dyDescent="0.45">
      <c r="A16" t="str">
        <f>State_lookup!B15</f>
        <v>Kansas</v>
      </c>
      <c r="B16">
        <f>IFERROR(ROUND(State_lookup!H15/SUM(State_lookup!H2:H49)*National_totals!$C$4, 0), 0)</f>
        <v>0</v>
      </c>
      <c r="C16">
        <f>IFERROR(ROUND(State_lookup!H15/SUM(State_lookup!H2:H49)*National_totals!$D$4, 0), 0)</f>
        <v>0</v>
      </c>
      <c r="D16">
        <f>IFERROR(ROUND(State_lookup!H15/SUM(State_lookup!H2:H49)*National_totals!$E$4, 0), 0)</f>
        <v>0</v>
      </c>
      <c r="E16">
        <f>IFERROR(ROUND(MAX(State_lookup!H15/SUM(State_lookup!H2:H49)*National_totals!$F$4, Keys!$C$59), 0), 0)</f>
        <v>24</v>
      </c>
      <c r="F16">
        <f>IFERROR(ROUND(State_lookup!H15/SUM(State_lookup!H2:H49)*National_totals!$G$4, 0), 0)</f>
        <v>0</v>
      </c>
      <c r="G16">
        <f>IFERROR(ROUND(State_lookup!H15/SUM(State_lookup!H2:H49)*National_totals!$H$4, 0), 0)</f>
        <v>0</v>
      </c>
      <c r="H16">
        <f>IFERROR(ROUND(State_lookup!H15/SUM(State_lookup!H2:H49)*National_totals!$I$4, 0), 0)</f>
        <v>0</v>
      </c>
    </row>
    <row r="17" spans="1:8" x14ac:dyDescent="0.45">
      <c r="A17" t="str">
        <f>State_lookup!B16</f>
        <v>Kentucky</v>
      </c>
      <c r="B17">
        <f>IFERROR(ROUND(State_lookup!H16/SUM(State_lookup!H2:H49)*National_totals!$C$4, 0), 0)</f>
        <v>0</v>
      </c>
      <c r="C17">
        <f>IFERROR(ROUND(State_lookup!H16/SUM(State_lookup!H2:H49)*National_totals!$D$4, 0), 0)</f>
        <v>0</v>
      </c>
      <c r="D17">
        <f>IFERROR(ROUND(State_lookup!H16/SUM(State_lookup!H2:H49)*National_totals!$E$4, 0), 0)</f>
        <v>0</v>
      </c>
      <c r="E17">
        <f>IFERROR(ROUND(MAX(State_lookup!H16/SUM(State_lookup!H2:H49)*National_totals!$F$4, Keys!$C$59), 0), 0)</f>
        <v>54</v>
      </c>
      <c r="F17">
        <f>IFERROR(ROUND(State_lookup!H16/SUM(State_lookup!H2:H49)*National_totals!$G$4, 0), 0)</f>
        <v>0</v>
      </c>
      <c r="G17">
        <f>IFERROR(ROUND(State_lookup!H16/SUM(State_lookup!H2:H49)*National_totals!$H$4, 0), 0)</f>
        <v>0</v>
      </c>
      <c r="H17">
        <f>IFERROR(ROUND(State_lookup!H16/SUM(State_lookup!H2:H49)*National_totals!$I$4, 0), 0)</f>
        <v>0</v>
      </c>
    </row>
    <row r="18" spans="1:8" x14ac:dyDescent="0.45">
      <c r="A18" t="str">
        <f>State_lookup!B17</f>
        <v>Louisiana</v>
      </c>
      <c r="B18">
        <f>IFERROR(ROUND(State_lookup!H17/SUM(State_lookup!H2:H49)*National_totals!$C$4, 0), 0)</f>
        <v>0</v>
      </c>
      <c r="C18">
        <f>IFERROR(ROUND(State_lookup!H17/SUM(State_lookup!H2:H49)*National_totals!$D$4, 0), 0)</f>
        <v>0</v>
      </c>
      <c r="D18">
        <f>IFERROR(ROUND(State_lookup!H17/SUM(State_lookup!H2:H49)*National_totals!$E$4, 0), 0)</f>
        <v>0</v>
      </c>
      <c r="E18">
        <f>IFERROR(ROUND(MAX(State_lookup!H17/SUM(State_lookup!H2:H49)*National_totals!$F$4, Keys!$C$59), 0), 0)</f>
        <v>61</v>
      </c>
      <c r="F18">
        <f>IFERROR(ROUND(State_lookup!H17/SUM(State_lookup!H2:H49)*National_totals!$G$4, 0), 0)</f>
        <v>0</v>
      </c>
      <c r="G18">
        <f>IFERROR(ROUND(State_lookup!H17/SUM(State_lookup!H2:H49)*National_totals!$H$4, 0), 0)</f>
        <v>0</v>
      </c>
      <c r="H18">
        <f>IFERROR(ROUND(State_lookup!H17/SUM(State_lookup!H2:H49)*National_totals!$I$4, 0), 0)</f>
        <v>0</v>
      </c>
    </row>
    <row r="19" spans="1:8" x14ac:dyDescent="0.45">
      <c r="A19" t="str">
        <f>State_lookup!B18</f>
        <v>Maine</v>
      </c>
      <c r="B19">
        <f>IFERROR(ROUND(State_lookup!H18/SUM(State_lookup!H2:H49)*National_totals!$C$4, 0), 0)</f>
        <v>0</v>
      </c>
      <c r="C19">
        <f>IFERROR(ROUND(State_lookup!H18/SUM(State_lookup!H2:H49)*National_totals!$D$4, 0), 0)</f>
        <v>0</v>
      </c>
      <c r="D19">
        <f>IFERROR(ROUND(State_lookup!H18/SUM(State_lookup!H2:H49)*National_totals!$E$4, 0), 0)</f>
        <v>0</v>
      </c>
      <c r="E19">
        <f>IFERROR(ROUND(MAX(State_lookup!H18/SUM(State_lookup!H2:H49)*National_totals!$F$4, Keys!$C$59), 0), 0)</f>
        <v>24</v>
      </c>
      <c r="F19">
        <f>IFERROR(ROUND(State_lookup!H18/SUM(State_lookup!H2:H49)*National_totals!$G$4, 0), 0)</f>
        <v>0</v>
      </c>
      <c r="G19">
        <f>IFERROR(ROUND(State_lookup!H18/SUM(State_lookup!H2:H49)*National_totals!$H$4, 0), 0)</f>
        <v>0</v>
      </c>
      <c r="H19">
        <f>IFERROR(ROUND(State_lookup!H18/SUM(State_lookup!H2:H49)*National_totals!$I$4, 0), 0)</f>
        <v>0</v>
      </c>
    </row>
    <row r="20" spans="1:8" x14ac:dyDescent="0.45">
      <c r="A20" t="str">
        <f>State_lookup!B19</f>
        <v>Maryland</v>
      </c>
      <c r="B20">
        <f>IFERROR(ROUND(State_lookup!H19/SUM(State_lookup!H2:H49)*National_totals!$C$4, 0), 0)</f>
        <v>0</v>
      </c>
      <c r="C20">
        <f>IFERROR(ROUND(State_lookup!H19/SUM(State_lookup!H2:H49)*National_totals!$D$4, 0), 0)</f>
        <v>0</v>
      </c>
      <c r="D20">
        <f>IFERROR(ROUND(State_lookup!H19/SUM(State_lookup!H2:H49)*National_totals!$E$4, 0), 0)</f>
        <v>0</v>
      </c>
      <c r="E20">
        <f>IFERROR(ROUND(MAX(State_lookup!H19/SUM(State_lookup!H2:H49)*National_totals!$F$4, Keys!$C$59), 0), 0)</f>
        <v>100</v>
      </c>
      <c r="F20">
        <f>IFERROR(ROUND(State_lookup!H19/SUM(State_lookup!H2:H49)*National_totals!$G$4, 0), 0)</f>
        <v>0</v>
      </c>
      <c r="G20">
        <f>IFERROR(ROUND(State_lookup!H19/SUM(State_lookup!H2:H49)*National_totals!$H$4, 0), 0)</f>
        <v>0</v>
      </c>
      <c r="H20">
        <f>IFERROR(ROUND(State_lookup!H19/SUM(State_lookup!H2:H49)*National_totals!$I$4, 0), 0)</f>
        <v>0</v>
      </c>
    </row>
    <row r="21" spans="1:8" x14ac:dyDescent="0.45">
      <c r="A21" t="str">
        <f>State_lookup!B20</f>
        <v>Massachusetts</v>
      </c>
      <c r="B21">
        <f>IFERROR(ROUND(State_lookup!H20/SUM(State_lookup!H2:H49)*National_totals!$C$4, 0), 0)</f>
        <v>0</v>
      </c>
      <c r="C21">
        <f>IFERROR(ROUND(State_lookup!H20/SUM(State_lookup!H2:H49)*National_totals!$D$4, 0), 0)</f>
        <v>0</v>
      </c>
      <c r="D21">
        <f>IFERROR(ROUND(State_lookup!H20/SUM(State_lookup!H2:H49)*National_totals!$E$4, 0), 0)</f>
        <v>0</v>
      </c>
      <c r="E21">
        <f>IFERROR(ROUND(MAX(State_lookup!H20/SUM(State_lookup!H2:H49)*National_totals!$F$4, Keys!$C$59), 0), 0)</f>
        <v>157</v>
      </c>
      <c r="F21">
        <f>IFERROR(ROUND(State_lookup!H20/SUM(State_lookup!H2:H49)*National_totals!$G$4, 0), 0)</f>
        <v>0</v>
      </c>
      <c r="G21">
        <f>IFERROR(ROUND(State_lookup!H20/SUM(State_lookup!H2:H49)*National_totals!$H$4, 0), 0)</f>
        <v>0</v>
      </c>
      <c r="H21">
        <f>IFERROR(ROUND(State_lookup!H20/SUM(State_lookup!H2:H49)*National_totals!$I$4, 0), 0)</f>
        <v>0</v>
      </c>
    </row>
    <row r="22" spans="1:8" x14ac:dyDescent="0.45">
      <c r="A22" t="str">
        <f>State_lookup!B21</f>
        <v>Michigan</v>
      </c>
      <c r="B22">
        <f>IFERROR(ROUND(State_lookup!H21/SUM(State_lookup!H2:H49)*National_totals!$C$4, 0), 0)</f>
        <v>0</v>
      </c>
      <c r="C22">
        <f>IFERROR(ROUND(State_lookup!H21/SUM(State_lookup!H2:H49)*National_totals!$D$4, 0), 0)</f>
        <v>0</v>
      </c>
      <c r="D22">
        <f>IFERROR(ROUND(State_lookup!H21/SUM(State_lookup!H2:H49)*National_totals!$E$4, 0), 0)</f>
        <v>0</v>
      </c>
      <c r="E22">
        <f>IFERROR(ROUND(MAX(State_lookup!H21/SUM(State_lookup!H2:H49)*National_totals!$F$4, Keys!$C$59), 0), 0)</f>
        <v>159</v>
      </c>
      <c r="F22">
        <f>IFERROR(ROUND(State_lookup!H21/SUM(State_lookup!H2:H49)*National_totals!$G$4, 0), 0)</f>
        <v>0</v>
      </c>
      <c r="G22">
        <f>IFERROR(ROUND(State_lookup!H21/SUM(State_lookup!H2:H49)*National_totals!$H$4, 0), 0)</f>
        <v>0</v>
      </c>
      <c r="H22">
        <f>IFERROR(ROUND(State_lookup!H21/SUM(State_lookup!H2:H49)*National_totals!$I$4, 0), 0)</f>
        <v>0</v>
      </c>
    </row>
    <row r="23" spans="1:8" x14ac:dyDescent="0.45">
      <c r="A23" t="str">
        <f>State_lookup!B22</f>
        <v>Minnesota</v>
      </c>
      <c r="B23">
        <f>IFERROR(ROUND(State_lookup!H22/SUM(State_lookup!H2:H49)*National_totals!$C$4, 0), 0)</f>
        <v>0</v>
      </c>
      <c r="C23">
        <f>IFERROR(ROUND(State_lookup!H22/SUM(State_lookup!H2:H49)*National_totals!$D$4, 0), 0)</f>
        <v>0</v>
      </c>
      <c r="D23">
        <f>IFERROR(ROUND(State_lookup!H22/SUM(State_lookup!H2:H49)*National_totals!$E$4, 0), 0)</f>
        <v>0</v>
      </c>
      <c r="E23">
        <f>IFERROR(ROUND(MAX(State_lookup!H22/SUM(State_lookup!H2:H49)*National_totals!$F$4, Keys!$C$59), 0), 0)</f>
        <v>147</v>
      </c>
      <c r="F23">
        <f>IFERROR(ROUND(State_lookup!H22/SUM(State_lookup!H2:H49)*National_totals!$G$4, 0), 0)</f>
        <v>0</v>
      </c>
      <c r="G23">
        <f>IFERROR(ROUND(State_lookup!H22/SUM(State_lookup!H2:H49)*National_totals!$H$4, 0), 0)</f>
        <v>0</v>
      </c>
      <c r="H23">
        <f>IFERROR(ROUND(State_lookup!H22/SUM(State_lookup!H2:H49)*National_totals!$I$4, 0), 0)</f>
        <v>0</v>
      </c>
    </row>
    <row r="24" spans="1:8" x14ac:dyDescent="0.45">
      <c r="A24" t="str">
        <f>State_lookup!B23</f>
        <v>Mississippi</v>
      </c>
      <c r="B24">
        <f>IFERROR(ROUND(State_lookup!H23/SUM(State_lookup!H2:H49)*National_totals!$C$4, 0), 0)</f>
        <v>0</v>
      </c>
      <c r="C24">
        <f>IFERROR(ROUND(State_lookup!H23/SUM(State_lookup!H2:H49)*National_totals!$D$4, 0), 0)</f>
        <v>0</v>
      </c>
      <c r="D24">
        <f>IFERROR(ROUND(State_lookup!H23/SUM(State_lookup!H2:H49)*National_totals!$E$4, 0), 0)</f>
        <v>0</v>
      </c>
      <c r="E24">
        <f>IFERROR(ROUND(MAX(State_lookup!H23/SUM(State_lookup!H2:H49)*National_totals!$F$4, Keys!$C$59), 0), 0)</f>
        <v>24</v>
      </c>
      <c r="F24">
        <f>IFERROR(ROUND(State_lookup!H23/SUM(State_lookup!H2:H49)*National_totals!$G$4, 0), 0)</f>
        <v>0</v>
      </c>
      <c r="G24">
        <f>IFERROR(ROUND(State_lookup!H23/SUM(State_lookup!H2:H49)*National_totals!$H$4, 0), 0)</f>
        <v>0</v>
      </c>
      <c r="H24">
        <f>IFERROR(ROUND(State_lookup!H23/SUM(State_lookup!H2:H49)*National_totals!$I$4, 0), 0)</f>
        <v>0</v>
      </c>
    </row>
    <row r="25" spans="1:8" x14ac:dyDescent="0.45">
      <c r="A25" t="str">
        <f>State_lookup!B24</f>
        <v>Missouri</v>
      </c>
      <c r="B25">
        <f>IFERROR(ROUND(State_lookup!H24/SUM(State_lookup!H2:H49)*National_totals!$C$4, 0), 0)</f>
        <v>0</v>
      </c>
      <c r="C25">
        <f>IFERROR(ROUND(State_lookup!H24/SUM(State_lookup!H2:H49)*National_totals!$D$4, 0), 0)</f>
        <v>0</v>
      </c>
      <c r="D25">
        <f>IFERROR(ROUND(State_lookup!H24/SUM(State_lookup!H2:H49)*National_totals!$E$4, 0), 0)</f>
        <v>0</v>
      </c>
      <c r="E25">
        <f>IFERROR(ROUND(MAX(State_lookup!H24/SUM(State_lookup!H2:H49)*National_totals!$F$4, Keys!$C$59), 0), 0)</f>
        <v>107</v>
      </c>
      <c r="F25">
        <f>IFERROR(ROUND(State_lookup!H24/SUM(State_lookup!H2:H49)*National_totals!$G$4, 0), 0)</f>
        <v>0</v>
      </c>
      <c r="G25">
        <f>IFERROR(ROUND(State_lookup!H24/SUM(State_lookup!H2:H49)*National_totals!$H$4, 0), 0)</f>
        <v>0</v>
      </c>
      <c r="H25">
        <f>IFERROR(ROUND(State_lookup!H24/SUM(State_lookup!H2:H49)*National_totals!$I$4, 0), 0)</f>
        <v>0</v>
      </c>
    </row>
    <row r="26" spans="1:8" x14ac:dyDescent="0.45">
      <c r="A26" t="str">
        <f>State_lookup!B25</f>
        <v>Montana</v>
      </c>
      <c r="B26">
        <f>IFERROR(ROUND(State_lookup!H25/SUM(State_lookup!H2:H49)*National_totals!$C$4, 0), 0)</f>
        <v>0</v>
      </c>
      <c r="C26">
        <f>IFERROR(ROUND(State_lookup!H25/SUM(State_lookup!H2:H49)*National_totals!$D$4, 0), 0)</f>
        <v>0</v>
      </c>
      <c r="D26">
        <f>IFERROR(ROUND(State_lookup!H25/SUM(State_lookup!H2:H49)*National_totals!$E$4, 0), 0)</f>
        <v>0</v>
      </c>
      <c r="E26">
        <f>IFERROR(ROUND(MAX(State_lookup!H25/SUM(State_lookup!H2:H49)*National_totals!$F$4, Keys!$C$59), 0), 0)</f>
        <v>24</v>
      </c>
      <c r="F26">
        <f>IFERROR(ROUND(State_lookup!H25/SUM(State_lookup!H2:H49)*National_totals!$G$4, 0), 0)</f>
        <v>0</v>
      </c>
      <c r="G26">
        <f>IFERROR(ROUND(State_lookup!H25/SUM(State_lookup!H2:H49)*National_totals!$H$4, 0), 0)</f>
        <v>0</v>
      </c>
      <c r="H26">
        <f>IFERROR(ROUND(State_lookup!H25/SUM(State_lookup!H2:H49)*National_totals!$I$4, 0), 0)</f>
        <v>0</v>
      </c>
    </row>
    <row r="27" spans="1:8" x14ac:dyDescent="0.45">
      <c r="A27" t="str">
        <f>State_lookup!B26</f>
        <v>Nebraska</v>
      </c>
      <c r="B27">
        <f>IFERROR(ROUND(State_lookup!H26/SUM(State_lookup!H2:H49)*National_totals!$C$4, 0), 0)</f>
        <v>0</v>
      </c>
      <c r="C27">
        <f>IFERROR(ROUND(State_lookup!H26/SUM(State_lookup!H2:H49)*National_totals!$D$4, 0), 0)</f>
        <v>0</v>
      </c>
      <c r="D27">
        <f>IFERROR(ROUND(State_lookup!H26/SUM(State_lookup!H2:H49)*National_totals!$E$4, 0), 0)</f>
        <v>0</v>
      </c>
      <c r="E27">
        <f>IFERROR(ROUND(MAX(State_lookup!H26/SUM(State_lookup!H2:H49)*National_totals!$F$4, Keys!$C$59), 0), 0)</f>
        <v>24</v>
      </c>
      <c r="F27">
        <f>IFERROR(ROUND(State_lookup!H26/SUM(State_lookup!H2:H49)*National_totals!$G$4, 0), 0)</f>
        <v>0</v>
      </c>
      <c r="G27">
        <f>IFERROR(ROUND(State_lookup!H26/SUM(State_lookup!H2:H49)*National_totals!$H$4, 0), 0)</f>
        <v>0</v>
      </c>
      <c r="H27">
        <f>IFERROR(ROUND(State_lookup!H26/SUM(State_lookup!H2:H49)*National_totals!$I$4, 0), 0)</f>
        <v>0</v>
      </c>
    </row>
    <row r="28" spans="1:8" x14ac:dyDescent="0.45">
      <c r="A28" t="str">
        <f>State_lookup!B27</f>
        <v>Nevada</v>
      </c>
      <c r="B28">
        <f>IFERROR(ROUND(State_lookup!H27/SUM(State_lookup!H2:H49)*National_totals!$C$4, 0), 0)</f>
        <v>0</v>
      </c>
      <c r="C28">
        <f>IFERROR(ROUND(State_lookup!H27/SUM(State_lookup!H2:H49)*National_totals!$D$4, 0), 0)</f>
        <v>0</v>
      </c>
      <c r="D28">
        <f>IFERROR(ROUND(State_lookup!H27/SUM(State_lookup!H2:H49)*National_totals!$E$4, 0), 0)</f>
        <v>0</v>
      </c>
      <c r="E28">
        <f>IFERROR(ROUND(MAX(State_lookup!H27/SUM(State_lookup!H2:H49)*National_totals!$F$4, Keys!$C$59), 0), 0)</f>
        <v>203</v>
      </c>
      <c r="F28">
        <f>IFERROR(ROUND(State_lookup!H27/SUM(State_lookup!H2:H49)*National_totals!$G$4, 0), 0)</f>
        <v>0</v>
      </c>
      <c r="G28">
        <f>IFERROR(ROUND(State_lookup!H27/SUM(State_lookup!H2:H49)*National_totals!$H$4, 0), 0)</f>
        <v>0</v>
      </c>
      <c r="H28">
        <f>IFERROR(ROUND(State_lookup!H27/SUM(State_lookup!H2:H49)*National_totals!$I$4, 0), 0)</f>
        <v>0</v>
      </c>
    </row>
    <row r="29" spans="1:8" x14ac:dyDescent="0.45">
      <c r="A29" t="str">
        <f>State_lookup!B28</f>
        <v>New Hampshire</v>
      </c>
      <c r="B29">
        <f>IFERROR(ROUND(State_lookup!H28/SUM(State_lookup!H2:H49)*National_totals!$C$4, 0), 0)</f>
        <v>0</v>
      </c>
      <c r="C29">
        <f>IFERROR(ROUND(State_lookup!H28/SUM(State_lookup!H2:H49)*National_totals!$D$4, 0), 0)</f>
        <v>0</v>
      </c>
      <c r="D29">
        <f>IFERROR(ROUND(State_lookup!H28/SUM(State_lookup!H2:H49)*National_totals!$E$4, 0), 0)</f>
        <v>0</v>
      </c>
      <c r="E29">
        <f>IFERROR(ROUND(MAX(State_lookup!H28/SUM(State_lookup!H2:H49)*National_totals!$F$4, Keys!$C$59), 0), 0)</f>
        <v>24</v>
      </c>
      <c r="F29">
        <f>IFERROR(ROUND(State_lookup!H28/SUM(State_lookup!H2:H49)*National_totals!$G$4, 0), 0)</f>
        <v>0</v>
      </c>
      <c r="G29">
        <f>IFERROR(ROUND(State_lookup!H28/SUM(State_lookup!H2:H49)*National_totals!$H$4, 0), 0)</f>
        <v>0</v>
      </c>
      <c r="H29">
        <f>IFERROR(ROUND(State_lookup!H28/SUM(State_lookup!H2:H49)*National_totals!$I$4, 0), 0)</f>
        <v>0</v>
      </c>
    </row>
    <row r="30" spans="1:8" x14ac:dyDescent="0.45">
      <c r="A30" t="str">
        <f>State_lookup!B29</f>
        <v>New Jersey</v>
      </c>
      <c r="B30">
        <f>IFERROR(ROUND(State_lookup!H29/SUM(State_lookup!H2:H49)*National_totals!$C$4, 0), 0)</f>
        <v>0</v>
      </c>
      <c r="C30">
        <f>IFERROR(ROUND(State_lookup!H29/SUM(State_lookup!H2:H49)*National_totals!$D$4, 0), 0)</f>
        <v>0</v>
      </c>
      <c r="D30">
        <f>IFERROR(ROUND(State_lookup!H29/SUM(State_lookup!H2:H49)*National_totals!$E$4, 0), 0)</f>
        <v>0</v>
      </c>
      <c r="E30">
        <f>IFERROR(ROUND(MAX(State_lookup!H29/SUM(State_lookup!H2:H49)*National_totals!$F$4, Keys!$C$59), 0), 0)</f>
        <v>181</v>
      </c>
      <c r="F30">
        <f>IFERROR(ROUND(State_lookup!H29/SUM(State_lookup!H2:H49)*National_totals!$G$4, 0), 0)</f>
        <v>0</v>
      </c>
      <c r="G30">
        <f>IFERROR(ROUND(State_lookup!H29/SUM(State_lookup!H2:H49)*National_totals!$H$4, 0), 0)</f>
        <v>0</v>
      </c>
      <c r="H30">
        <f>IFERROR(ROUND(State_lookup!H29/SUM(State_lookup!H2:H49)*National_totals!$I$4, 0), 0)</f>
        <v>0</v>
      </c>
    </row>
    <row r="31" spans="1:8" x14ac:dyDescent="0.45">
      <c r="A31" t="str">
        <f>State_lookup!B30</f>
        <v>New Mexico</v>
      </c>
      <c r="B31">
        <f>IFERROR(ROUND(State_lookup!H30/SUM(State_lookup!H2:H49)*National_totals!$C$4, 0), 0)</f>
        <v>0</v>
      </c>
      <c r="C31">
        <f>IFERROR(ROUND(State_lookup!H30/SUM(State_lookup!H2:H49)*National_totals!$D$4, 0), 0)</f>
        <v>0</v>
      </c>
      <c r="D31">
        <f>IFERROR(ROUND(State_lookup!H30/SUM(State_lookup!H2:H49)*National_totals!$E$4, 0), 0)</f>
        <v>0</v>
      </c>
      <c r="E31">
        <f>IFERROR(ROUND(MAX(State_lookup!H30/SUM(State_lookup!H2:H49)*National_totals!$F$4, Keys!$C$59), 0), 0)</f>
        <v>24</v>
      </c>
      <c r="F31">
        <f>IFERROR(ROUND(State_lookup!H30/SUM(State_lookup!H2:H49)*National_totals!$G$4, 0), 0)</f>
        <v>0</v>
      </c>
      <c r="G31">
        <f>IFERROR(ROUND(State_lookup!H30/SUM(State_lookup!H2:H49)*National_totals!$H$4, 0), 0)</f>
        <v>0</v>
      </c>
      <c r="H31">
        <f>IFERROR(ROUND(State_lookup!H30/SUM(State_lookup!H2:H49)*National_totals!$I$4, 0), 0)</f>
        <v>0</v>
      </c>
    </row>
    <row r="32" spans="1:8" x14ac:dyDescent="0.45">
      <c r="A32" t="str">
        <f>State_lookup!B31</f>
        <v>New York</v>
      </c>
      <c r="B32">
        <f>IFERROR(ROUND(State_lookup!H31/SUM(State_lookup!H2:H49)*National_totals!$C$4, 0), 0)</f>
        <v>0</v>
      </c>
      <c r="C32">
        <f>IFERROR(ROUND(State_lookup!H31/SUM(State_lookup!H2:H49)*National_totals!$D$4, 0), 0)</f>
        <v>0</v>
      </c>
      <c r="D32">
        <f>IFERROR(ROUND(State_lookup!H31/SUM(State_lookup!H2:H49)*National_totals!$E$4, 0), 0)</f>
        <v>0</v>
      </c>
      <c r="E32">
        <f>IFERROR(ROUND(MAX(State_lookup!H31/SUM(State_lookup!H2:H49)*National_totals!$F$4, Keys!$C$59), 0), 0)</f>
        <v>415</v>
      </c>
      <c r="F32">
        <f>IFERROR(ROUND(State_lookup!H31/SUM(State_lookup!H2:H49)*National_totals!$G$4, 0), 0)</f>
        <v>0</v>
      </c>
      <c r="G32">
        <f>IFERROR(ROUND(State_lookup!H31/SUM(State_lookup!H2:H49)*National_totals!$H$4, 0), 0)</f>
        <v>0</v>
      </c>
      <c r="H32">
        <f>IFERROR(ROUND(State_lookup!H31/SUM(State_lookup!H2:H49)*National_totals!$I$4, 0), 0)</f>
        <v>0</v>
      </c>
    </row>
    <row r="33" spans="1:8" x14ac:dyDescent="0.45">
      <c r="A33" t="str">
        <f>State_lookup!B32</f>
        <v>North Carolina</v>
      </c>
      <c r="B33">
        <f>IFERROR(ROUND(State_lookup!H32/SUM(State_lookup!H2:H49)*National_totals!$C$4, 0), 0)</f>
        <v>0</v>
      </c>
      <c r="C33">
        <f>IFERROR(ROUND(State_lookup!H32/SUM(State_lookup!H2:H49)*National_totals!$D$4, 0), 0)</f>
        <v>0</v>
      </c>
      <c r="D33">
        <f>IFERROR(ROUND(State_lookup!H32/SUM(State_lookup!H2:H49)*National_totals!$E$4, 0), 0)</f>
        <v>0</v>
      </c>
      <c r="E33">
        <f>IFERROR(ROUND(MAX(State_lookup!H32/SUM(State_lookup!H2:H49)*National_totals!$F$4, Keys!$C$59), 0), 0)</f>
        <v>257</v>
      </c>
      <c r="F33">
        <f>IFERROR(ROUND(State_lookup!H32/SUM(State_lookup!H2:H49)*National_totals!$G$4, 0), 0)</f>
        <v>0</v>
      </c>
      <c r="G33">
        <f>IFERROR(ROUND(State_lookup!H32/SUM(State_lookup!H2:H49)*National_totals!$H$4, 0), 0)</f>
        <v>0</v>
      </c>
      <c r="H33">
        <f>IFERROR(ROUND(State_lookup!H32/SUM(State_lookup!H2:H49)*National_totals!$I$4, 0), 0)</f>
        <v>0</v>
      </c>
    </row>
    <row r="34" spans="1:8" x14ac:dyDescent="0.45">
      <c r="A34" t="str">
        <f>State_lookup!B33</f>
        <v>North Dakota</v>
      </c>
      <c r="B34">
        <f>IFERROR(ROUND(State_lookup!H33/SUM(State_lookup!H2:H49)*National_totals!$C$4, 0), 0)</f>
        <v>0</v>
      </c>
      <c r="C34">
        <f>IFERROR(ROUND(State_lookup!H33/SUM(State_lookup!H2:H49)*National_totals!$D$4, 0), 0)</f>
        <v>0</v>
      </c>
      <c r="D34">
        <f>IFERROR(ROUND(State_lookup!H33/SUM(State_lookup!H2:H49)*National_totals!$E$4, 0), 0)</f>
        <v>0</v>
      </c>
      <c r="E34">
        <f>IFERROR(ROUND(MAX(State_lookup!H33/SUM(State_lookup!H2:H49)*National_totals!$F$4, Keys!$C$59), 0), 0)</f>
        <v>24</v>
      </c>
      <c r="F34">
        <f>IFERROR(ROUND(State_lookup!H33/SUM(State_lookup!H2:H49)*National_totals!$G$4, 0), 0)</f>
        <v>0</v>
      </c>
      <c r="G34">
        <f>IFERROR(ROUND(State_lookup!H33/SUM(State_lookup!H2:H49)*National_totals!$H$4, 0), 0)</f>
        <v>0</v>
      </c>
      <c r="H34">
        <f>IFERROR(ROUND(State_lookup!H33/SUM(State_lookup!H2:H49)*National_totals!$I$4, 0), 0)</f>
        <v>0</v>
      </c>
    </row>
    <row r="35" spans="1:8" x14ac:dyDescent="0.45">
      <c r="A35" t="str">
        <f>State_lookup!B34</f>
        <v>Ohio</v>
      </c>
      <c r="B35">
        <f>IFERROR(ROUND(State_lookup!H34/SUM(State_lookup!H2:H49)*National_totals!$C$4, 0), 0)</f>
        <v>0</v>
      </c>
      <c r="C35">
        <f>IFERROR(ROUND(State_lookup!H34/SUM(State_lookup!H2:H49)*National_totals!$D$4, 0), 0)</f>
        <v>0</v>
      </c>
      <c r="D35">
        <f>IFERROR(ROUND(State_lookup!H34/SUM(State_lookup!H2:H49)*National_totals!$E$4, 0), 0)</f>
        <v>0</v>
      </c>
      <c r="E35">
        <f>IFERROR(ROUND(MAX(State_lookup!H34/SUM(State_lookup!H2:H49)*National_totals!$F$4, Keys!$C$59), 0), 0)</f>
        <v>80</v>
      </c>
      <c r="F35">
        <f>IFERROR(ROUND(State_lookup!H34/SUM(State_lookup!H2:H49)*National_totals!$G$4, 0), 0)</f>
        <v>0</v>
      </c>
      <c r="G35">
        <f>IFERROR(ROUND(State_lookup!H34/SUM(State_lookup!H2:H49)*National_totals!$H$4, 0), 0)</f>
        <v>0</v>
      </c>
      <c r="H35">
        <f>IFERROR(ROUND(State_lookup!H34/SUM(State_lookup!H2:H49)*National_totals!$I$4, 0), 0)</f>
        <v>0</v>
      </c>
    </row>
    <row r="36" spans="1:8" x14ac:dyDescent="0.45">
      <c r="A36" t="str">
        <f>State_lookup!B35</f>
        <v>Oklahoma</v>
      </c>
      <c r="B36">
        <f>IFERROR(ROUND(State_lookup!H35/SUM(State_lookup!H2:H49)*National_totals!$C$4, 0), 0)</f>
        <v>0</v>
      </c>
      <c r="C36">
        <f>IFERROR(ROUND(State_lookup!H35/SUM(State_lookup!H2:H49)*National_totals!$D$4, 0), 0)</f>
        <v>0</v>
      </c>
      <c r="D36">
        <f>IFERROR(ROUND(State_lookup!H35/SUM(State_lookup!H2:H49)*National_totals!$E$4, 0), 0)</f>
        <v>0</v>
      </c>
      <c r="E36">
        <f>IFERROR(ROUND(MAX(State_lookup!H35/SUM(State_lookup!H2:H49)*National_totals!$F$4, Keys!$C$59), 0), 0)</f>
        <v>28</v>
      </c>
      <c r="F36">
        <f>IFERROR(ROUND(State_lookup!H35/SUM(State_lookup!H2:H49)*National_totals!$G$4, 0), 0)</f>
        <v>0</v>
      </c>
      <c r="G36">
        <f>IFERROR(ROUND(State_lookup!H35/SUM(State_lookup!H2:H49)*National_totals!$H$4, 0), 0)</f>
        <v>0</v>
      </c>
      <c r="H36">
        <f>IFERROR(ROUND(State_lookup!H35/SUM(State_lookup!H2:H49)*National_totals!$I$4, 0), 0)</f>
        <v>0</v>
      </c>
    </row>
    <row r="37" spans="1:8" x14ac:dyDescent="0.45">
      <c r="A37" t="str">
        <f>State_lookup!B36</f>
        <v>Oregon</v>
      </c>
      <c r="B37">
        <f>IFERROR(ROUND(State_lookup!H36/SUM(State_lookup!H2:H49)*National_totals!$C$4, 0), 0)</f>
        <v>0</v>
      </c>
      <c r="C37">
        <f>IFERROR(ROUND(State_lookup!H36/SUM(State_lookup!H2:H49)*National_totals!$D$4, 0), 0)</f>
        <v>0</v>
      </c>
      <c r="D37">
        <f>IFERROR(ROUND(State_lookup!H36/SUM(State_lookup!H2:H49)*National_totals!$E$4, 0), 0)</f>
        <v>0</v>
      </c>
      <c r="E37">
        <f>IFERROR(ROUND(MAX(State_lookup!H36/SUM(State_lookup!H2:H49)*National_totals!$F$4, Keys!$C$59), 0), 0)</f>
        <v>85</v>
      </c>
      <c r="F37">
        <f>IFERROR(ROUND(State_lookup!H36/SUM(State_lookup!H2:H49)*National_totals!$G$4, 0), 0)</f>
        <v>0</v>
      </c>
      <c r="G37">
        <f>IFERROR(ROUND(State_lookup!H36/SUM(State_lookup!H2:H49)*National_totals!$H$4, 0), 0)</f>
        <v>0</v>
      </c>
      <c r="H37">
        <f>IFERROR(ROUND(State_lookup!H36/SUM(State_lookup!H2:H49)*National_totals!$I$4, 0), 0)</f>
        <v>0</v>
      </c>
    </row>
    <row r="38" spans="1:8" x14ac:dyDescent="0.45">
      <c r="A38" t="str">
        <f>State_lookup!B37</f>
        <v>Pennsylvania</v>
      </c>
      <c r="B38">
        <f>IFERROR(ROUND(State_lookup!H37/SUM(State_lookup!H2:H49)*National_totals!$C$4, 0), 0)</f>
        <v>0</v>
      </c>
      <c r="C38">
        <f>IFERROR(ROUND(State_lookup!H37/SUM(State_lookup!H2:H49)*National_totals!$D$4, 0), 0)</f>
        <v>0</v>
      </c>
      <c r="D38">
        <f>IFERROR(ROUND(State_lookup!H37/SUM(State_lookup!H2:H49)*National_totals!$E$4, 0), 0)</f>
        <v>0</v>
      </c>
      <c r="E38">
        <f>IFERROR(ROUND(MAX(State_lookup!H37/SUM(State_lookup!H2:H49)*National_totals!$F$4, Keys!$C$59), 0), 0)</f>
        <v>170</v>
      </c>
      <c r="F38">
        <f>IFERROR(ROUND(State_lookup!H37/SUM(State_lookup!H2:H49)*National_totals!$G$4, 0), 0)</f>
        <v>0</v>
      </c>
      <c r="G38">
        <f>IFERROR(ROUND(State_lookup!H37/SUM(State_lookup!H2:H49)*National_totals!$H$4, 0), 0)</f>
        <v>0</v>
      </c>
      <c r="H38">
        <f>IFERROR(ROUND(State_lookup!H37/SUM(State_lookup!H2:H49)*National_totals!$I$4, 0), 0)</f>
        <v>0</v>
      </c>
    </row>
    <row r="39" spans="1:8" x14ac:dyDescent="0.45">
      <c r="A39" t="str">
        <f>State_lookup!B38</f>
        <v>Rhode Island</v>
      </c>
      <c r="B39">
        <f>IFERROR(ROUND(State_lookup!H38/SUM(State_lookup!H2:H49)*National_totals!$C$4, 0), 0)</f>
        <v>0</v>
      </c>
      <c r="C39">
        <f>IFERROR(ROUND(State_lookup!H38/SUM(State_lookup!H2:H49)*National_totals!$D$4, 0), 0)</f>
        <v>0</v>
      </c>
      <c r="D39">
        <f>IFERROR(ROUND(State_lookup!H38/SUM(State_lookup!H2:H49)*National_totals!$E$4, 0), 0)</f>
        <v>0</v>
      </c>
      <c r="E39">
        <f>IFERROR(ROUND(MAX(State_lookup!H38/SUM(State_lookup!H2:H49)*National_totals!$F$4, Keys!$C$59), 0), 0)</f>
        <v>24</v>
      </c>
      <c r="F39">
        <f>IFERROR(ROUND(State_lookup!H38/SUM(State_lookup!H2:H49)*National_totals!$G$4, 0), 0)</f>
        <v>0</v>
      </c>
      <c r="G39">
        <f>IFERROR(ROUND(State_lookup!H38/SUM(State_lookup!H2:H49)*National_totals!$H$4, 0), 0)</f>
        <v>0</v>
      </c>
      <c r="H39">
        <f>IFERROR(ROUND(State_lookup!H38/SUM(State_lookup!H2:H49)*National_totals!$I$4, 0), 0)</f>
        <v>0</v>
      </c>
    </row>
    <row r="40" spans="1:8" x14ac:dyDescent="0.45">
      <c r="A40" t="str">
        <f>State_lookup!B39</f>
        <v>South Carolina</v>
      </c>
      <c r="B40">
        <f>IFERROR(ROUND(State_lookup!H39/SUM(State_lookup!H2:H49)*National_totals!$C$4, 0), 0)</f>
        <v>0</v>
      </c>
      <c r="C40">
        <f>IFERROR(ROUND(State_lookup!H39/SUM(State_lookup!H2:H49)*National_totals!$D$4, 0), 0)</f>
        <v>0</v>
      </c>
      <c r="D40">
        <f>IFERROR(ROUND(State_lookup!H39/SUM(State_lookup!H2:H49)*National_totals!$E$4, 0), 0)</f>
        <v>0</v>
      </c>
      <c r="E40">
        <f>IFERROR(ROUND(MAX(State_lookup!H39/SUM(State_lookup!H2:H49)*National_totals!$F$4, Keys!$C$59), 0), 0)</f>
        <v>43</v>
      </c>
      <c r="F40">
        <f>IFERROR(ROUND(State_lookup!H39/SUM(State_lookup!H2:H49)*National_totals!$G$4, 0), 0)</f>
        <v>0</v>
      </c>
      <c r="G40">
        <f>IFERROR(ROUND(State_lookup!H39/SUM(State_lookup!H2:H49)*National_totals!$H$4, 0), 0)</f>
        <v>0</v>
      </c>
      <c r="H40">
        <f>IFERROR(ROUND(State_lookup!H39/SUM(State_lookup!H2:H49)*National_totals!$I$4, 0), 0)</f>
        <v>0</v>
      </c>
    </row>
    <row r="41" spans="1:8" x14ac:dyDescent="0.45">
      <c r="A41" t="str">
        <f>State_lookup!B40</f>
        <v>South Dakota</v>
      </c>
      <c r="B41">
        <f>IFERROR(ROUND(State_lookup!H40/SUM(State_lookup!H2:H49)*National_totals!$C$4, 0), 0)</f>
        <v>0</v>
      </c>
      <c r="C41">
        <f>IFERROR(ROUND(State_lookup!H40/SUM(State_lookup!H2:H49)*National_totals!$D$4, 0), 0)</f>
        <v>0</v>
      </c>
      <c r="D41">
        <f>IFERROR(ROUND(State_lookup!H40/SUM(State_lookup!H2:H49)*National_totals!$E$4, 0), 0)</f>
        <v>0</v>
      </c>
      <c r="E41">
        <f>IFERROR(ROUND(MAX(State_lookup!H40/SUM(State_lookup!H2:H49)*National_totals!$F$4, Keys!$C$59), 0), 0)</f>
        <v>24</v>
      </c>
      <c r="F41">
        <f>IFERROR(ROUND(State_lookup!H40/SUM(State_lookup!H2:H49)*National_totals!$G$4, 0), 0)</f>
        <v>0</v>
      </c>
      <c r="G41">
        <f>IFERROR(ROUND(State_lookup!H40/SUM(State_lookup!H2:H49)*National_totals!$H$4, 0), 0)</f>
        <v>0</v>
      </c>
      <c r="H41">
        <f>IFERROR(ROUND(State_lookup!H40/SUM(State_lookup!H2:H49)*National_totals!$I$4, 0), 0)</f>
        <v>0</v>
      </c>
    </row>
    <row r="42" spans="1:8" x14ac:dyDescent="0.45">
      <c r="A42" t="str">
        <f>State_lookup!B41</f>
        <v>Tennessee</v>
      </c>
      <c r="B42">
        <f>IFERROR(ROUND(State_lookup!H41/SUM(State_lookup!H2:H49)*National_totals!$C$4, 0), 0)</f>
        <v>0</v>
      </c>
      <c r="C42">
        <f>IFERROR(ROUND(State_lookup!H41/SUM(State_lookup!H2:H49)*National_totals!$D$4, 0), 0)</f>
        <v>0</v>
      </c>
      <c r="D42">
        <f>IFERROR(ROUND(State_lookup!H41/SUM(State_lookup!H2:H49)*National_totals!$E$4, 0), 0)</f>
        <v>0</v>
      </c>
      <c r="E42">
        <f>IFERROR(ROUND(MAX(State_lookup!H41/SUM(State_lookup!H2:H49)*National_totals!$F$4, Keys!$C$59), 0), 0)</f>
        <v>99</v>
      </c>
      <c r="F42">
        <f>IFERROR(ROUND(State_lookup!H41/SUM(State_lookup!H2:H49)*National_totals!$G$4, 0), 0)</f>
        <v>0</v>
      </c>
      <c r="G42">
        <f>IFERROR(ROUND(State_lookup!H41/SUM(State_lookup!H2:H49)*National_totals!$H$4, 0), 0)</f>
        <v>0</v>
      </c>
      <c r="H42">
        <f>IFERROR(ROUND(State_lookup!H41/SUM(State_lookup!H2:H49)*National_totals!$I$4, 0), 0)</f>
        <v>0</v>
      </c>
    </row>
    <row r="43" spans="1:8" x14ac:dyDescent="0.45">
      <c r="A43" t="str">
        <f>State_lookup!B42</f>
        <v>Texas</v>
      </c>
      <c r="B43">
        <f>IFERROR(ROUND(State_lookup!H42/SUM(State_lookup!H2:H49)*National_totals!$C$4, 0), 0)</f>
        <v>0</v>
      </c>
      <c r="C43">
        <f>IFERROR(ROUND(State_lookup!H42/SUM(State_lookup!H2:H49)*National_totals!$D$4, 0), 0)</f>
        <v>0</v>
      </c>
      <c r="D43">
        <f>IFERROR(ROUND(State_lookup!H42/SUM(State_lookup!H2:H49)*National_totals!$E$4, 0), 0)</f>
        <v>0</v>
      </c>
      <c r="E43">
        <f>IFERROR(ROUND(MAX(State_lookup!H42/SUM(State_lookup!H2:H49)*National_totals!$F$4, Keys!$C$59), 0), 0)</f>
        <v>686</v>
      </c>
      <c r="F43">
        <f>IFERROR(ROUND(State_lookup!H42/SUM(State_lookup!H2:H49)*National_totals!$G$4, 0), 0)</f>
        <v>0</v>
      </c>
      <c r="G43">
        <f>IFERROR(ROUND(State_lookup!H42/SUM(State_lookup!H2:H49)*National_totals!$H$4, 0), 0)</f>
        <v>0</v>
      </c>
      <c r="H43">
        <f>IFERROR(ROUND(State_lookup!H42/SUM(State_lookup!H2:H49)*National_totals!$I$4, 0), 0)</f>
        <v>0</v>
      </c>
    </row>
    <row r="44" spans="1:8" x14ac:dyDescent="0.45">
      <c r="A44" t="str">
        <f>State_lookup!B43</f>
        <v>Utah</v>
      </c>
      <c r="B44">
        <f>IFERROR(ROUND(State_lookup!H43/SUM(State_lookup!H2:H49)*National_totals!$C$4, 0), 0)</f>
        <v>0</v>
      </c>
      <c r="C44">
        <f>IFERROR(ROUND(State_lookup!H43/SUM(State_lookup!H2:H49)*National_totals!$D$4, 0), 0)</f>
        <v>0</v>
      </c>
      <c r="D44">
        <f>IFERROR(ROUND(State_lookup!H43/SUM(State_lookup!H2:H49)*National_totals!$E$4, 0), 0)</f>
        <v>0</v>
      </c>
      <c r="E44">
        <f>IFERROR(ROUND(MAX(State_lookup!H43/SUM(State_lookup!H2:H49)*National_totals!$F$4, Keys!$C$59), 0), 0)</f>
        <v>99</v>
      </c>
      <c r="F44">
        <f>IFERROR(ROUND(State_lookup!H43/SUM(State_lookup!H2:H49)*National_totals!$G$4, 0), 0)</f>
        <v>0</v>
      </c>
      <c r="G44">
        <f>IFERROR(ROUND(State_lookup!H43/SUM(State_lookup!H2:H49)*National_totals!$H$4, 0), 0)</f>
        <v>0</v>
      </c>
      <c r="H44">
        <f>IFERROR(ROUND(State_lookup!H43/SUM(State_lookup!H2:H49)*National_totals!$I$4, 0), 0)</f>
        <v>0</v>
      </c>
    </row>
    <row r="45" spans="1:8" x14ac:dyDescent="0.45">
      <c r="A45" t="str">
        <f>State_lookup!B44</f>
        <v>Vermont</v>
      </c>
      <c r="B45">
        <f>IFERROR(ROUND(State_lookup!H44/SUM(State_lookup!H2:H49)*National_totals!$C$4, 0), 0)</f>
        <v>0</v>
      </c>
      <c r="C45">
        <f>IFERROR(ROUND(State_lookup!H44/SUM(State_lookup!H2:H49)*National_totals!$D$4, 0), 0)</f>
        <v>0</v>
      </c>
      <c r="D45">
        <f>IFERROR(ROUND(State_lookup!H44/SUM(State_lookup!H2:H49)*National_totals!$E$4, 0), 0)</f>
        <v>0</v>
      </c>
      <c r="E45">
        <f>IFERROR(ROUND(MAX(State_lookup!H44/SUM(State_lookup!H2:H49)*National_totals!$F$4, Keys!$C$59), 0), 0)</f>
        <v>24</v>
      </c>
      <c r="F45">
        <f>IFERROR(ROUND(State_lookup!H44/SUM(State_lookup!H2:H49)*National_totals!$G$4, 0), 0)</f>
        <v>0</v>
      </c>
      <c r="G45">
        <f>IFERROR(ROUND(State_lookup!H44/SUM(State_lookup!H2:H49)*National_totals!$H$4, 0), 0)</f>
        <v>0</v>
      </c>
      <c r="H45">
        <f>IFERROR(ROUND(State_lookup!H44/SUM(State_lookup!H2:H49)*National_totals!$I$4, 0), 0)</f>
        <v>0</v>
      </c>
    </row>
    <row r="46" spans="1:8" x14ac:dyDescent="0.45">
      <c r="A46" t="str">
        <f>State_lookup!B45</f>
        <v>Virginia</v>
      </c>
      <c r="B46">
        <f>IFERROR(ROUND(State_lookup!H45/SUM(State_lookup!H2:H49)*National_totals!$C$4, 0), 0)</f>
        <v>0</v>
      </c>
      <c r="C46">
        <f>IFERROR(ROUND(State_lookup!H45/SUM(State_lookup!H2:H49)*National_totals!$D$4, 0), 0)</f>
        <v>0</v>
      </c>
      <c r="D46">
        <f>IFERROR(ROUND(State_lookup!H45/SUM(State_lookup!H2:H49)*National_totals!$E$4, 0), 0)</f>
        <v>0</v>
      </c>
      <c r="E46">
        <f>IFERROR(ROUND(MAX(State_lookup!H45/SUM(State_lookup!H2:H49)*National_totals!$F$4, Keys!$C$59), 0), 0)</f>
        <v>215</v>
      </c>
      <c r="F46">
        <f>IFERROR(ROUND(State_lookup!H45/SUM(State_lookup!H2:H49)*National_totals!$G$4, 0), 0)</f>
        <v>0</v>
      </c>
      <c r="G46">
        <f>IFERROR(ROUND(State_lookup!H45/SUM(State_lookup!H2:H49)*National_totals!$H$4, 0), 0)</f>
        <v>0</v>
      </c>
      <c r="H46">
        <f>IFERROR(ROUND(State_lookup!H45/SUM(State_lookup!H2:H49)*National_totals!$I$4, 0), 0)</f>
        <v>0</v>
      </c>
    </row>
    <row r="47" spans="1:8" x14ac:dyDescent="0.45">
      <c r="A47" t="str">
        <f>State_lookup!B46</f>
        <v>Washington</v>
      </c>
      <c r="B47">
        <f>IFERROR(ROUND(State_lookup!H46/SUM(State_lookup!H2:H49)*National_totals!$C$4, 0), 0)</f>
        <v>0</v>
      </c>
      <c r="C47">
        <f>IFERROR(ROUND(State_lookup!H46/SUM(State_lookup!H2:H49)*National_totals!$D$4, 0), 0)</f>
        <v>0</v>
      </c>
      <c r="D47">
        <f>IFERROR(ROUND(State_lookup!H46/SUM(State_lookup!H2:H49)*National_totals!$E$4, 0), 0)</f>
        <v>0</v>
      </c>
      <c r="E47">
        <f>IFERROR(ROUND(MAX(State_lookup!H46/SUM(State_lookup!H2:H49)*National_totals!$F$4, Keys!$C$59), 0), 0)</f>
        <v>213</v>
      </c>
      <c r="F47">
        <f>IFERROR(ROUND(State_lookup!H46/SUM(State_lookup!H2:H49)*National_totals!$G$4, 0), 0)</f>
        <v>0</v>
      </c>
      <c r="G47">
        <f>IFERROR(ROUND(State_lookup!H46/SUM(State_lookup!H2:H49)*National_totals!$H$4, 0), 0)</f>
        <v>0</v>
      </c>
      <c r="H47">
        <f>IFERROR(ROUND(State_lookup!H46/SUM(State_lookup!H2:H49)*National_totals!$I$4, 0), 0)</f>
        <v>0</v>
      </c>
    </row>
    <row r="48" spans="1:8" x14ac:dyDescent="0.45">
      <c r="A48" t="str">
        <f>State_lookup!B47</f>
        <v>West Virginia</v>
      </c>
      <c r="B48">
        <f>IFERROR(ROUND(State_lookup!H47/SUM(State_lookup!H2:H49)*National_totals!$C$4, 0), 0)</f>
        <v>0</v>
      </c>
      <c r="C48">
        <f>IFERROR(ROUND(State_lookup!H47/SUM(State_lookup!H2:H49)*National_totals!$D$4, 0), 0)</f>
        <v>0</v>
      </c>
      <c r="D48">
        <f>IFERROR(ROUND(State_lookup!H47/SUM(State_lookup!H2:H49)*National_totals!$E$4, 0), 0)</f>
        <v>0</v>
      </c>
      <c r="E48">
        <f>IFERROR(ROUND(MAX(State_lookup!H47/SUM(State_lookup!H2:H49)*National_totals!$F$4, Keys!$C$59), 0), 0)</f>
        <v>24</v>
      </c>
      <c r="F48">
        <f>IFERROR(ROUND(State_lookup!H47/SUM(State_lookup!H2:H49)*National_totals!$G$4, 0), 0)</f>
        <v>0</v>
      </c>
      <c r="G48">
        <f>IFERROR(ROUND(State_lookup!H47/SUM(State_lookup!H2:H49)*National_totals!$H$4, 0), 0)</f>
        <v>0</v>
      </c>
      <c r="H48">
        <f>IFERROR(ROUND(State_lookup!H47/SUM(State_lookup!H2:H49)*National_totals!$I$4, 0), 0)</f>
        <v>0</v>
      </c>
    </row>
    <row r="49" spans="1:8" x14ac:dyDescent="0.45">
      <c r="A49" t="str">
        <f>State_lookup!B48</f>
        <v>Wisconsin</v>
      </c>
      <c r="B49">
        <f>IFERROR(ROUND(State_lookup!H48/SUM(State_lookup!H2:H49)*National_totals!$C$4, 0), 0)</f>
        <v>0</v>
      </c>
      <c r="C49">
        <f>IFERROR(ROUND(State_lookup!H48/SUM(State_lookup!H2:H49)*National_totals!$D$4, 0), 0)</f>
        <v>0</v>
      </c>
      <c r="D49">
        <f>IFERROR(ROUND(State_lookup!H48/SUM(State_lookup!H2:H49)*National_totals!$E$4, 0), 0)</f>
        <v>0</v>
      </c>
      <c r="E49">
        <f>IFERROR(ROUND(MAX(State_lookup!H48/SUM(State_lookup!H2:H49)*National_totals!$F$4, Keys!$C$59), 0), 0)</f>
        <v>42</v>
      </c>
      <c r="F49">
        <f>IFERROR(ROUND(State_lookup!H48/SUM(State_lookup!H2:H49)*National_totals!$G$4, 0), 0)</f>
        <v>0</v>
      </c>
      <c r="G49">
        <f>IFERROR(ROUND(State_lookup!H48/SUM(State_lookup!H2:H49)*National_totals!$H$4, 0), 0)</f>
        <v>0</v>
      </c>
      <c r="H49">
        <f>IFERROR(ROUND(State_lookup!H48/SUM(State_lookup!H2:H49)*National_totals!$I$4, 0), 0)</f>
        <v>0</v>
      </c>
    </row>
    <row r="50" spans="1:8" x14ac:dyDescent="0.45">
      <c r="A50" t="str">
        <f>State_lookup!B49</f>
        <v>Wyoming</v>
      </c>
      <c r="B50">
        <f>IFERROR(ROUND(State_lookup!H49/SUM(State_lookup!H2:H49)*National_totals!$C$4, 0), 0)</f>
        <v>0</v>
      </c>
      <c r="C50">
        <f>IFERROR(ROUND(State_lookup!H49/SUM(State_lookup!H2:H49)*National_totals!$D$4, 0), 0)</f>
        <v>0</v>
      </c>
      <c r="D50">
        <f>IFERROR(ROUND(State_lookup!H49/SUM(State_lookup!H2:H49)*National_totals!$E$4, 0), 0)</f>
        <v>0</v>
      </c>
      <c r="E50">
        <f>IFERROR(ROUND(MAX(State_lookup!H49/SUM(State_lookup!H2:H49)*National_totals!$F$4, Keys!$C$59), 0), 0)</f>
        <v>24</v>
      </c>
      <c r="F50">
        <f>IFERROR(ROUND(State_lookup!H49/SUM(State_lookup!H2:H49)*National_totals!$G$4, 0), 0)</f>
        <v>0</v>
      </c>
      <c r="G50">
        <f>IFERROR(ROUND(State_lookup!H49/SUM(State_lookup!H2:H49)*National_totals!$H$4, 0), 0)</f>
        <v>0</v>
      </c>
      <c r="H50">
        <f>IFERROR(ROUND(State_lookup!H49/SUM(State_lookup!H2:H49)*National_totals!$I$4, 0),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0</v>
      </c>
      <c r="E51" s="4">
        <f t="shared" si="0"/>
        <v>6989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National_totals!$C$4</f>
        <v>0</v>
      </c>
      <c r="C52" s="4">
        <f>National_totals!$D$4</f>
        <v>0</v>
      </c>
      <c r="D52" s="4">
        <f>National_totals!$E$4</f>
        <v>0</v>
      </c>
      <c r="E52" s="4">
        <f>National_totals!$F$4</f>
        <v>6767</v>
      </c>
      <c r="F52" s="4">
        <f>National_totals!$G$4</f>
        <v>0</v>
      </c>
      <c r="G52" s="4">
        <f>National_totals!$H$4</f>
        <v>0</v>
      </c>
      <c r="H52" s="4">
        <f>National_totals!$I$4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3.2806265701196984E-2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340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IFERROR(ROUND(State_lookup!K2/SUM(State_lookup!K2:K49)*National_totals!$C$5, 0), 0)</f>
        <v>0</v>
      </c>
      <c r="C3">
        <f>IFERROR(ROUND(State_lookup!J2/SUM(State_lookup!J2:J49)*National_totals!$D$5, 0), 0)</f>
        <v>0</v>
      </c>
      <c r="D3">
        <f>IFERROR(ROUND(State_lookup!J2/SUM(State_lookup!J2:J49)*National_totals!$E$5, 0), 0)</f>
        <v>0</v>
      </c>
      <c r="E3">
        <f>IFERROR(ROUND(State_lookup!J2/SUM(State_lookup!J2:J49)*National_totals!$F$5, 0), 0)</f>
        <v>0</v>
      </c>
      <c r="F3">
        <f>IFERROR(ROUND(State_lookup!J2/SUM(State_lookup!J2:J49)*National_totals!$G$5, 0), 0)</f>
        <v>0</v>
      </c>
      <c r="G3">
        <f>IFERROR(ROUND(State_lookup!J2/SUM(State_lookup!J2:J49)*National_totals!$H$5, 0), 0)</f>
        <v>0</v>
      </c>
      <c r="H3">
        <f>IFERROR(ROUND(State_lookup!J2/SUM(State_lookup!J2:J49)*National_totals!$I$5, 0), 0)</f>
        <v>0</v>
      </c>
    </row>
    <row r="4" spans="1:8" x14ac:dyDescent="0.45">
      <c r="A4" t="str">
        <f>State_lookup!B3</f>
        <v>Arizona</v>
      </c>
      <c r="B4">
        <f>IFERROR(ROUND(State_lookup!K3/SUM(State_lookup!K2:K49)*National_totals!$C$5, 0), 0)</f>
        <v>21</v>
      </c>
      <c r="C4">
        <f>IFERROR(ROUND(State_lookup!J3/SUM(State_lookup!J2:J49)*National_totals!$D$5, 0), 0)</f>
        <v>0</v>
      </c>
      <c r="D4">
        <f>IFERROR(ROUND(State_lookup!J3/SUM(State_lookup!J2:J49)*National_totals!$E$5, 0), 0)</f>
        <v>0</v>
      </c>
      <c r="E4">
        <f>IFERROR(ROUND(State_lookup!J3/SUM(State_lookup!J2:J49)*National_totals!$F$5, 0), 0)</f>
        <v>0</v>
      </c>
      <c r="F4">
        <f>IFERROR(ROUND(State_lookup!J3/SUM(State_lookup!J2:J49)*National_totals!$G$5, 0), 0)</f>
        <v>0</v>
      </c>
      <c r="G4">
        <f>IFERROR(ROUND(State_lookup!J3/SUM(State_lookup!J2:J49)*National_totals!$H$5, 0), 0)</f>
        <v>0</v>
      </c>
      <c r="H4">
        <f>IFERROR(ROUND(State_lookup!J3/SUM(State_lookup!J2:J49)*National_totals!$I$5, 0), 0)</f>
        <v>0</v>
      </c>
    </row>
    <row r="5" spans="1:8" x14ac:dyDescent="0.45">
      <c r="A5" t="str">
        <f>State_lookup!B4</f>
        <v>Arkansas</v>
      </c>
      <c r="B5">
        <f>IFERROR(ROUND(State_lookup!K4/SUM(State_lookup!K2:K49)*National_totals!$C$5, 0), 0)</f>
        <v>3</v>
      </c>
      <c r="C5">
        <f>IFERROR(ROUND(State_lookup!J4/SUM(State_lookup!J2:J49)*National_totals!$D$5, 0), 0)</f>
        <v>0</v>
      </c>
      <c r="D5">
        <f>IFERROR(ROUND(State_lookup!J4/SUM(State_lookup!J2:J49)*National_totals!$E$5, 0), 0)</f>
        <v>0</v>
      </c>
      <c r="E5">
        <f>IFERROR(ROUND(State_lookup!J4/SUM(State_lookup!J2:J49)*National_totals!$F$5, 0), 0)</f>
        <v>0</v>
      </c>
      <c r="F5">
        <f>IFERROR(ROUND(State_lookup!J4/SUM(State_lookup!J2:J49)*National_totals!$G$5, 0), 0)</f>
        <v>0</v>
      </c>
      <c r="G5">
        <f>IFERROR(ROUND(State_lookup!J4/SUM(State_lookup!J2:J49)*National_totals!$H$5, 0), 0)</f>
        <v>0</v>
      </c>
      <c r="H5">
        <f>IFERROR(ROUND(State_lookup!J4/SUM(State_lookup!J2:J49)*National_totals!$I$5, 0), 0)</f>
        <v>0</v>
      </c>
    </row>
    <row r="6" spans="1:8" x14ac:dyDescent="0.45">
      <c r="A6" t="str">
        <f>State_lookup!B5</f>
        <v>California</v>
      </c>
      <c r="B6">
        <f>IFERROR(ROUND(State_lookup!K5/SUM(State_lookup!K2:K49)*National_totals!$C$5, 0), 0)</f>
        <v>403</v>
      </c>
      <c r="C6">
        <f>IFERROR(ROUND(State_lookup!J5/SUM(State_lookup!J2:J49)*National_totals!$D$5, 0), 0)</f>
        <v>0</v>
      </c>
      <c r="D6">
        <f>IFERROR(ROUND(State_lookup!J5/SUM(State_lookup!J2:J49)*National_totals!$E$5, 0), 0)</f>
        <v>0</v>
      </c>
      <c r="E6">
        <f>IFERROR(ROUND(State_lookup!J5/SUM(State_lookup!J2:J49)*National_totals!$F$5, 0), 0)</f>
        <v>22</v>
      </c>
      <c r="F6">
        <f>IFERROR(ROUND(State_lookup!J5/SUM(State_lookup!J2:J49)*National_totals!$G$5, 0), 0)</f>
        <v>0</v>
      </c>
      <c r="G6">
        <f>IFERROR(ROUND(State_lookup!J5/SUM(State_lookup!J2:J49)*National_totals!$H$5, 0), 0)</f>
        <v>0</v>
      </c>
      <c r="H6">
        <f>IFERROR(ROUND(State_lookup!J5/SUM(State_lookup!J2:J49)*National_totals!$I$5, 0), 0)</f>
        <v>0</v>
      </c>
    </row>
    <row r="7" spans="1:8" x14ac:dyDescent="0.45">
      <c r="A7" t="str">
        <f>State_lookup!B6</f>
        <v>Colorado</v>
      </c>
      <c r="B7">
        <f>IFERROR(ROUND(State_lookup!K6/SUM(State_lookup!K2:K49)*National_totals!$C$5, 0), 0)</f>
        <v>64</v>
      </c>
      <c r="C7">
        <f>IFERROR(ROUND(State_lookup!J6/SUM(State_lookup!J2:J49)*National_totals!$D$5, 0), 0)</f>
        <v>0</v>
      </c>
      <c r="D7">
        <f>IFERROR(ROUND(State_lookup!J6/SUM(State_lookup!J2:J49)*National_totals!$E$5, 0), 0)</f>
        <v>0</v>
      </c>
      <c r="E7">
        <f>IFERROR(ROUND(State_lookup!J6/SUM(State_lookup!J2:J49)*National_totals!$F$5, 0), 0)</f>
        <v>0</v>
      </c>
      <c r="F7">
        <f>IFERROR(ROUND(State_lookup!J6/SUM(State_lookup!J2:J49)*National_totals!$G$5, 0), 0)</f>
        <v>0</v>
      </c>
      <c r="G7">
        <f>IFERROR(ROUND(State_lookup!J6/SUM(State_lookup!J2:J49)*National_totals!$H$5, 0), 0)</f>
        <v>0</v>
      </c>
      <c r="H7">
        <f>IFERROR(ROUND(State_lookup!J6/SUM(State_lookup!J2:J49)*National_totals!$I$5, 0), 0)</f>
        <v>0</v>
      </c>
    </row>
    <row r="8" spans="1:8" x14ac:dyDescent="0.45">
      <c r="A8" t="str">
        <f>State_lookup!B7</f>
        <v>Connecticut</v>
      </c>
      <c r="B8">
        <f>IFERROR(ROUND(State_lookup!K7/SUM(State_lookup!K2:K49)*National_totals!$C$5, 0), 0)</f>
        <v>0</v>
      </c>
      <c r="C8">
        <f>IFERROR(ROUND(State_lookup!J7/SUM(State_lookup!J2:J49)*National_totals!$D$5, 0), 0)</f>
        <v>0</v>
      </c>
      <c r="D8">
        <f>IFERROR(ROUND(State_lookup!J7/SUM(State_lookup!J2:J49)*National_totals!$E$5, 0), 0)</f>
        <v>0</v>
      </c>
      <c r="E8">
        <f>IFERROR(ROUND(State_lookup!J7/SUM(State_lookup!J2:J49)*National_totals!$F$5, 0), 0)</f>
        <v>4</v>
      </c>
      <c r="F8">
        <f>IFERROR(ROUND(State_lookup!J7/SUM(State_lookup!J2:J49)*National_totals!$G$5, 0), 0)</f>
        <v>0</v>
      </c>
      <c r="G8">
        <f>IFERROR(ROUND(State_lookup!J7/SUM(State_lookup!J2:J49)*National_totals!$H$5, 0), 0)</f>
        <v>0</v>
      </c>
      <c r="H8">
        <f>IFERROR(ROUND(State_lookup!J7/SUM(State_lookup!J2:J49)*National_totals!$I$5, 0), 0)</f>
        <v>0</v>
      </c>
    </row>
    <row r="9" spans="1:8" x14ac:dyDescent="0.45">
      <c r="A9" t="str">
        <f>State_lookup!B8</f>
        <v>Delaware</v>
      </c>
      <c r="B9">
        <f>IFERROR(ROUND(State_lookup!K8/SUM(State_lookup!K2:K49)*National_totals!$C$5, 0), 0)</f>
        <v>0</v>
      </c>
      <c r="C9">
        <f>IFERROR(ROUND(State_lookup!J8/SUM(State_lookup!J2:J49)*National_totals!$D$5, 0), 0)</f>
        <v>0</v>
      </c>
      <c r="D9">
        <f>IFERROR(ROUND(State_lookup!J8/SUM(State_lookup!J2:J49)*National_totals!$E$5, 0), 0)</f>
        <v>0</v>
      </c>
      <c r="E9">
        <f>IFERROR(ROUND(State_lookup!J8/SUM(State_lookup!J2:J49)*National_totals!$F$5, 0), 0)</f>
        <v>0</v>
      </c>
      <c r="F9">
        <f>IFERROR(ROUND(State_lookup!J8/SUM(State_lookup!J2:J49)*National_totals!$G$5, 0), 0)</f>
        <v>0</v>
      </c>
      <c r="G9">
        <f>IFERROR(ROUND(State_lookup!J8/SUM(State_lookup!J2:J49)*National_totals!$H$5, 0), 0)</f>
        <v>0</v>
      </c>
      <c r="H9">
        <f>IFERROR(ROUND(State_lookup!J8/SUM(State_lookup!J2:J49)*National_totals!$I$5, 0), 0)</f>
        <v>0</v>
      </c>
    </row>
    <row r="10" spans="1:8" x14ac:dyDescent="0.45">
      <c r="A10" t="str">
        <f>State_lookup!B9</f>
        <v>Florida</v>
      </c>
      <c r="B10">
        <f>IFERROR(ROUND(State_lookup!K9/SUM(State_lookup!K2:K49)*National_totals!$C$5, 0), 0)</f>
        <v>26</v>
      </c>
      <c r="C10">
        <f>IFERROR(ROUND(State_lookup!J9/SUM(State_lookup!J2:J49)*National_totals!$D$5, 0), 0)</f>
        <v>0</v>
      </c>
      <c r="D10">
        <f>IFERROR(ROUND(State_lookup!J9/SUM(State_lookup!J2:J49)*National_totals!$E$5, 0), 0)</f>
        <v>0</v>
      </c>
      <c r="E10">
        <f>IFERROR(ROUND(State_lookup!J9/SUM(State_lookup!J2:J49)*National_totals!$F$5, 0), 0)</f>
        <v>9</v>
      </c>
      <c r="F10">
        <f>IFERROR(ROUND(State_lookup!J9/SUM(State_lookup!J2:J49)*National_totals!$G$5, 0), 0)</f>
        <v>0</v>
      </c>
      <c r="G10">
        <f>IFERROR(ROUND(State_lookup!J9/SUM(State_lookup!J2:J49)*National_totals!$H$5, 0), 0)</f>
        <v>0</v>
      </c>
      <c r="H10">
        <f>IFERROR(ROUND(State_lookup!J9/SUM(State_lookup!J2:J49)*National_totals!$I$5, 0), 0)</f>
        <v>0</v>
      </c>
    </row>
    <row r="11" spans="1:8" x14ac:dyDescent="0.45">
      <c r="A11" t="str">
        <f>State_lookup!B10</f>
        <v>Georgia</v>
      </c>
      <c r="B11">
        <f>IFERROR(ROUND(State_lookup!K10/SUM(State_lookup!K2:K49)*National_totals!$C$5, 0), 0)</f>
        <v>37</v>
      </c>
      <c r="C11">
        <f>IFERROR(ROUND(State_lookup!J10/SUM(State_lookup!J2:J49)*National_totals!$D$5, 0), 0)</f>
        <v>0</v>
      </c>
      <c r="D11">
        <f>IFERROR(ROUND(State_lookup!J10/SUM(State_lookup!J2:J49)*National_totals!$E$5, 0), 0)</f>
        <v>0</v>
      </c>
      <c r="E11">
        <f>IFERROR(ROUND(State_lookup!J10/SUM(State_lookup!J2:J49)*National_totals!$F$5, 0), 0)</f>
        <v>0</v>
      </c>
      <c r="F11">
        <f>IFERROR(ROUND(State_lookup!J10/SUM(State_lookup!J2:J49)*National_totals!$G$5, 0), 0)</f>
        <v>0</v>
      </c>
      <c r="G11">
        <f>IFERROR(ROUND(State_lookup!J10/SUM(State_lookup!J2:J49)*National_totals!$H$5, 0), 0)</f>
        <v>0</v>
      </c>
      <c r="H11">
        <f>IFERROR(ROUND(State_lookup!J10/SUM(State_lookup!J2:J49)*National_totals!$I$5, 0), 0)</f>
        <v>0</v>
      </c>
    </row>
    <row r="12" spans="1:8" x14ac:dyDescent="0.45">
      <c r="A12" t="str">
        <f>State_lookup!B11</f>
        <v>Idaho</v>
      </c>
      <c r="B12">
        <f>IFERROR(ROUND(State_lookup!K11/SUM(State_lookup!K2:K49)*National_totals!$C$5, 0), 0)</f>
        <v>0</v>
      </c>
      <c r="C12">
        <f>IFERROR(ROUND(State_lookup!J11/SUM(State_lookup!J2:J49)*National_totals!$D$5, 0), 0)</f>
        <v>0</v>
      </c>
      <c r="D12">
        <f>IFERROR(ROUND(State_lookup!J11/SUM(State_lookup!J2:J49)*National_totals!$E$5, 0), 0)</f>
        <v>0</v>
      </c>
      <c r="E12">
        <f>IFERROR(ROUND(State_lookup!J11/SUM(State_lookup!J2:J49)*National_totals!$F$5, 0), 0)</f>
        <v>0</v>
      </c>
      <c r="F12">
        <f>IFERROR(ROUND(State_lookup!J11/SUM(State_lookup!J2:J49)*National_totals!$G$5, 0), 0)</f>
        <v>0</v>
      </c>
      <c r="G12">
        <f>IFERROR(ROUND(State_lookup!J11/SUM(State_lookup!J2:J49)*National_totals!$H$5, 0), 0)</f>
        <v>0</v>
      </c>
      <c r="H12">
        <f>IFERROR(ROUND(State_lookup!J11/SUM(State_lookup!J2:J49)*National_totals!$I$5, 0), 0)</f>
        <v>0</v>
      </c>
    </row>
    <row r="13" spans="1:8" x14ac:dyDescent="0.45">
      <c r="A13" t="str">
        <f>State_lookup!B12</f>
        <v>Illinois</v>
      </c>
      <c r="B13">
        <f>IFERROR(ROUND(State_lookup!K12/SUM(State_lookup!K2:K49)*National_totals!$C$5, 0), 0)</f>
        <v>250</v>
      </c>
      <c r="C13">
        <f>IFERROR(ROUND(State_lookup!J12/SUM(State_lookup!J2:J49)*National_totals!$D$5, 0), 0)</f>
        <v>0</v>
      </c>
      <c r="D13">
        <f>IFERROR(ROUND(State_lookup!J12/SUM(State_lookup!J2:J49)*National_totals!$E$5, 0), 0)</f>
        <v>0</v>
      </c>
      <c r="E13">
        <f>IFERROR(ROUND(State_lookup!J12/SUM(State_lookup!J2:J49)*National_totals!$F$5, 0), 0)</f>
        <v>17</v>
      </c>
      <c r="F13">
        <f>IFERROR(ROUND(State_lookup!J12/SUM(State_lookup!J2:J49)*National_totals!$G$5, 0), 0)</f>
        <v>0</v>
      </c>
      <c r="G13">
        <f>IFERROR(ROUND(State_lookup!J12/SUM(State_lookup!J2:J49)*National_totals!$H$5, 0), 0)</f>
        <v>0</v>
      </c>
      <c r="H13">
        <f>IFERROR(ROUND(State_lookup!J12/SUM(State_lookup!J2:J49)*National_totals!$I$5, 0), 0)</f>
        <v>0</v>
      </c>
    </row>
    <row r="14" spans="1:8" x14ac:dyDescent="0.45">
      <c r="A14" t="str">
        <f>State_lookup!B13</f>
        <v>Indiana</v>
      </c>
      <c r="B14">
        <f>IFERROR(ROUND(State_lookup!K13/SUM(State_lookup!K2:K49)*National_totals!$C$5, 0), 0)</f>
        <v>15</v>
      </c>
      <c r="C14">
        <f>IFERROR(ROUND(State_lookup!J13/SUM(State_lookup!J2:J49)*National_totals!$D$5, 0), 0)</f>
        <v>0</v>
      </c>
      <c r="D14">
        <f>IFERROR(ROUND(State_lookup!J13/SUM(State_lookup!J2:J49)*National_totals!$E$5, 0), 0)</f>
        <v>0</v>
      </c>
      <c r="E14">
        <f>IFERROR(ROUND(State_lookup!J13/SUM(State_lookup!J2:J49)*National_totals!$F$5, 0), 0)</f>
        <v>0</v>
      </c>
      <c r="F14">
        <f>IFERROR(ROUND(State_lookup!J13/SUM(State_lookup!J2:J49)*National_totals!$G$5, 0), 0)</f>
        <v>0</v>
      </c>
      <c r="G14">
        <f>IFERROR(ROUND(State_lookup!J13/SUM(State_lookup!J2:J49)*National_totals!$H$5, 0), 0)</f>
        <v>0</v>
      </c>
      <c r="H14">
        <f>IFERROR(ROUND(State_lookup!J13/SUM(State_lookup!J2:J49)*National_totals!$I$5, 0), 0)</f>
        <v>0</v>
      </c>
    </row>
    <row r="15" spans="1:8" x14ac:dyDescent="0.45">
      <c r="A15" t="str">
        <f>State_lookup!B14</f>
        <v>Iowa</v>
      </c>
      <c r="B15">
        <f>IFERROR(ROUND(State_lookup!K14/SUM(State_lookup!K2:K49)*National_totals!$C$5, 0), 0)</f>
        <v>0</v>
      </c>
      <c r="C15">
        <f>IFERROR(ROUND(State_lookup!J14/SUM(State_lookup!J2:J49)*National_totals!$D$5, 0), 0)</f>
        <v>0</v>
      </c>
      <c r="D15">
        <f>IFERROR(ROUND(State_lookup!J14/SUM(State_lookup!J2:J49)*National_totals!$E$5, 0), 0)</f>
        <v>0</v>
      </c>
      <c r="E15">
        <f>IFERROR(ROUND(State_lookup!J14/SUM(State_lookup!J2:J49)*National_totals!$F$5, 0), 0)</f>
        <v>0</v>
      </c>
      <c r="F15">
        <f>IFERROR(ROUND(State_lookup!J14/SUM(State_lookup!J2:J49)*National_totals!$G$5, 0), 0)</f>
        <v>0</v>
      </c>
      <c r="G15">
        <f>IFERROR(ROUND(State_lookup!J14/SUM(State_lookup!J2:J49)*National_totals!$H$5, 0), 0)</f>
        <v>0</v>
      </c>
      <c r="H15">
        <f>IFERROR(ROUND(State_lookup!J14/SUM(State_lookup!J2:J49)*National_totals!$I$5, 0), 0)</f>
        <v>0</v>
      </c>
    </row>
    <row r="16" spans="1:8" x14ac:dyDescent="0.45">
      <c r="A16" t="str">
        <f>State_lookup!B15</f>
        <v>Kansas</v>
      </c>
      <c r="B16">
        <f>IFERROR(ROUND(State_lookup!K15/SUM(State_lookup!K2:K49)*National_totals!$C$5, 0), 0)</f>
        <v>0</v>
      </c>
      <c r="C16">
        <f>IFERROR(ROUND(State_lookup!J15/SUM(State_lookup!J2:J49)*National_totals!$D$5, 0), 0)</f>
        <v>0</v>
      </c>
      <c r="D16">
        <f>IFERROR(ROUND(State_lookup!J15/SUM(State_lookup!J2:J49)*National_totals!$E$5, 0), 0)</f>
        <v>0</v>
      </c>
      <c r="E16">
        <f>IFERROR(ROUND(State_lookup!J15/SUM(State_lookup!J2:J49)*National_totals!$F$5, 0), 0)</f>
        <v>0</v>
      </c>
      <c r="F16">
        <f>IFERROR(ROUND(State_lookup!J15/SUM(State_lookup!J2:J49)*National_totals!$G$5, 0), 0)</f>
        <v>0</v>
      </c>
      <c r="G16">
        <f>IFERROR(ROUND(State_lookup!J15/SUM(State_lookup!J2:J49)*National_totals!$H$5, 0), 0)</f>
        <v>0</v>
      </c>
      <c r="H16">
        <f>IFERROR(ROUND(State_lookup!J15/SUM(State_lookup!J2:J49)*National_totals!$I$5, 0), 0)</f>
        <v>0</v>
      </c>
    </row>
    <row r="17" spans="1:8" x14ac:dyDescent="0.45">
      <c r="A17" t="str">
        <f>State_lookup!B16</f>
        <v>Kentucky</v>
      </c>
      <c r="B17">
        <f>IFERROR(ROUND(State_lookup!K16/SUM(State_lookup!K2:K49)*National_totals!$C$5, 0), 0)</f>
        <v>0</v>
      </c>
      <c r="C17">
        <f>IFERROR(ROUND(State_lookup!J16/SUM(State_lookup!J2:J49)*National_totals!$D$5, 0), 0)</f>
        <v>0</v>
      </c>
      <c r="D17">
        <f>IFERROR(ROUND(State_lookup!J16/SUM(State_lookup!J2:J49)*National_totals!$E$5, 0), 0)</f>
        <v>0</v>
      </c>
      <c r="E17">
        <f>IFERROR(ROUND(State_lookup!J16/SUM(State_lookup!J2:J49)*National_totals!$F$5, 0), 0)</f>
        <v>0</v>
      </c>
      <c r="F17">
        <f>IFERROR(ROUND(State_lookup!J16/SUM(State_lookup!J2:J49)*National_totals!$G$5, 0), 0)</f>
        <v>0</v>
      </c>
      <c r="G17">
        <f>IFERROR(ROUND(State_lookup!J16/SUM(State_lookup!J2:J49)*National_totals!$H$5, 0), 0)</f>
        <v>0</v>
      </c>
      <c r="H17">
        <f>IFERROR(ROUND(State_lookup!J16/SUM(State_lookup!J2:J49)*National_totals!$I$5, 0), 0)</f>
        <v>0</v>
      </c>
    </row>
    <row r="18" spans="1:8" x14ac:dyDescent="0.45">
      <c r="A18" t="str">
        <f>State_lookup!B17</f>
        <v>Louisiana</v>
      </c>
      <c r="B18">
        <f>IFERROR(ROUND(State_lookup!K17/SUM(State_lookup!K2:K49)*National_totals!$C$5, 0), 0)</f>
        <v>28</v>
      </c>
      <c r="C18">
        <f>IFERROR(ROUND(State_lookup!J17/SUM(State_lookup!J2:J49)*National_totals!$D$5, 0), 0)</f>
        <v>0</v>
      </c>
      <c r="D18">
        <f>IFERROR(ROUND(State_lookup!J17/SUM(State_lookup!J2:J49)*National_totals!$E$5, 0), 0)</f>
        <v>0</v>
      </c>
      <c r="E18">
        <f>IFERROR(ROUND(State_lookup!J17/SUM(State_lookup!J2:J49)*National_totals!$F$5, 0), 0)</f>
        <v>0</v>
      </c>
      <c r="F18">
        <f>IFERROR(ROUND(State_lookup!J17/SUM(State_lookup!J2:J49)*National_totals!$G$5, 0), 0)</f>
        <v>0</v>
      </c>
      <c r="G18">
        <f>IFERROR(ROUND(State_lookup!J17/SUM(State_lookup!J2:J49)*National_totals!$H$5, 0), 0)</f>
        <v>0</v>
      </c>
      <c r="H18">
        <f>IFERROR(ROUND(State_lookup!J17/SUM(State_lookup!J2:J49)*National_totals!$I$5, 0), 0)</f>
        <v>0</v>
      </c>
    </row>
    <row r="19" spans="1:8" x14ac:dyDescent="0.45">
      <c r="A19" t="str">
        <f>State_lookup!B18</f>
        <v>Maine</v>
      </c>
      <c r="B19">
        <f>IFERROR(ROUND(State_lookup!K18/SUM(State_lookup!K2:K49)*National_totals!$C$5, 0), 0)</f>
        <v>0</v>
      </c>
      <c r="C19">
        <f>IFERROR(ROUND(State_lookup!J18/SUM(State_lookup!J2:J49)*National_totals!$D$5, 0), 0)</f>
        <v>0</v>
      </c>
      <c r="D19">
        <f>IFERROR(ROUND(State_lookup!J18/SUM(State_lookup!J2:J49)*National_totals!$E$5, 0), 0)</f>
        <v>0</v>
      </c>
      <c r="E19">
        <f>IFERROR(ROUND(State_lookup!J18/SUM(State_lookup!J2:J49)*National_totals!$F$5, 0), 0)</f>
        <v>0</v>
      </c>
      <c r="F19">
        <f>IFERROR(ROUND(State_lookup!J18/SUM(State_lookup!J2:J49)*National_totals!$G$5, 0), 0)</f>
        <v>0</v>
      </c>
      <c r="G19">
        <f>IFERROR(ROUND(State_lookup!J18/SUM(State_lookup!J2:J49)*National_totals!$H$5, 0), 0)</f>
        <v>0</v>
      </c>
      <c r="H19">
        <f>IFERROR(ROUND(State_lookup!J18/SUM(State_lookup!J2:J49)*National_totals!$I$5, 0), 0)</f>
        <v>0</v>
      </c>
    </row>
    <row r="20" spans="1:8" x14ac:dyDescent="0.45">
      <c r="A20" t="str">
        <f>State_lookup!B19</f>
        <v>Maryland</v>
      </c>
      <c r="B20">
        <f>IFERROR(ROUND(State_lookup!K19/SUM(State_lookup!K2:K49)*National_totals!$C$5, 0), 0)</f>
        <v>45</v>
      </c>
      <c r="C20">
        <f>IFERROR(ROUND(State_lookup!J19/SUM(State_lookup!J2:J49)*National_totals!$D$5, 0), 0)</f>
        <v>0</v>
      </c>
      <c r="D20">
        <f>IFERROR(ROUND(State_lookup!J19/SUM(State_lookup!J2:J49)*National_totals!$E$5, 0), 0)</f>
        <v>0</v>
      </c>
      <c r="E20">
        <f>IFERROR(ROUND(State_lookup!J19/SUM(State_lookup!J2:J49)*National_totals!$F$5, 0), 0)</f>
        <v>4</v>
      </c>
      <c r="F20">
        <f>IFERROR(ROUND(State_lookup!J19/SUM(State_lookup!J2:J49)*National_totals!$G$5, 0), 0)</f>
        <v>0</v>
      </c>
      <c r="G20">
        <f>IFERROR(ROUND(State_lookup!J19/SUM(State_lookup!J2:J49)*National_totals!$H$5, 0), 0)</f>
        <v>0</v>
      </c>
      <c r="H20">
        <f>IFERROR(ROUND(State_lookup!J19/SUM(State_lookup!J2:J49)*National_totals!$I$5, 0), 0)</f>
        <v>0</v>
      </c>
    </row>
    <row r="21" spans="1:8" x14ac:dyDescent="0.45">
      <c r="A21" t="str">
        <f>State_lookup!B20</f>
        <v>Massachusetts</v>
      </c>
      <c r="B21">
        <f>IFERROR(ROUND(State_lookup!K20/SUM(State_lookup!K2:K49)*National_totals!$C$5, 0), 0)</f>
        <v>149</v>
      </c>
      <c r="C21">
        <f>IFERROR(ROUND(State_lookup!J20/SUM(State_lookup!J2:J49)*National_totals!$D$5, 0), 0)</f>
        <v>0</v>
      </c>
      <c r="D21">
        <f>IFERROR(ROUND(State_lookup!J20/SUM(State_lookup!J2:J49)*National_totals!$E$5, 0), 0)</f>
        <v>0</v>
      </c>
      <c r="E21">
        <f>IFERROR(ROUND(State_lookup!J20/SUM(State_lookup!J2:J49)*National_totals!$F$5, 0), 0)</f>
        <v>35</v>
      </c>
      <c r="F21">
        <f>IFERROR(ROUND(State_lookup!J20/SUM(State_lookup!J2:J49)*National_totals!$G$5, 0), 0)</f>
        <v>0</v>
      </c>
      <c r="G21">
        <f>IFERROR(ROUND(State_lookup!J20/SUM(State_lookup!J2:J49)*National_totals!$H$5, 0), 0)</f>
        <v>0</v>
      </c>
      <c r="H21">
        <f>IFERROR(ROUND(State_lookup!J20/SUM(State_lookup!J2:J49)*National_totals!$I$5, 0), 0)</f>
        <v>0</v>
      </c>
    </row>
    <row r="22" spans="1:8" x14ac:dyDescent="0.45">
      <c r="A22" t="str">
        <f>State_lookup!B21</f>
        <v>Michigan</v>
      </c>
      <c r="B22">
        <f>IFERROR(ROUND(State_lookup!K21/SUM(State_lookup!K2:K49)*National_totals!$C$5, 0), 0)</f>
        <v>4</v>
      </c>
      <c r="C22">
        <f>IFERROR(ROUND(State_lookup!J21/SUM(State_lookup!J2:J49)*National_totals!$D$5, 0), 0)</f>
        <v>0</v>
      </c>
      <c r="D22">
        <f>IFERROR(ROUND(State_lookup!J21/SUM(State_lookup!J2:J49)*National_totals!$E$5, 0), 0)</f>
        <v>0</v>
      </c>
      <c r="E22">
        <f>IFERROR(ROUND(State_lookup!J21/SUM(State_lookup!J2:J49)*National_totals!$F$5, 0), 0)</f>
        <v>0</v>
      </c>
      <c r="F22">
        <f>IFERROR(ROUND(State_lookup!J21/SUM(State_lookup!J2:J49)*National_totals!$G$5, 0), 0)</f>
        <v>0</v>
      </c>
      <c r="G22">
        <f>IFERROR(ROUND(State_lookup!J21/SUM(State_lookup!J2:J49)*National_totals!$H$5, 0), 0)</f>
        <v>0</v>
      </c>
      <c r="H22">
        <f>IFERROR(ROUND(State_lookup!J21/SUM(State_lookup!J2:J49)*National_totals!$I$5, 0), 0)</f>
        <v>0</v>
      </c>
    </row>
    <row r="23" spans="1:8" x14ac:dyDescent="0.45">
      <c r="A23" t="str">
        <f>State_lookup!B22</f>
        <v>Minnesota</v>
      </c>
      <c r="B23">
        <f>IFERROR(ROUND(State_lookup!K22/SUM(State_lookup!K2:K49)*National_totals!$C$5, 0), 0)</f>
        <v>23</v>
      </c>
      <c r="C23">
        <f>IFERROR(ROUND(State_lookup!J22/SUM(State_lookup!J2:J49)*National_totals!$D$5, 0), 0)</f>
        <v>0</v>
      </c>
      <c r="D23">
        <f>IFERROR(ROUND(State_lookup!J22/SUM(State_lookup!J2:J49)*National_totals!$E$5, 0), 0)</f>
        <v>0</v>
      </c>
      <c r="E23">
        <f>IFERROR(ROUND(State_lookup!J22/SUM(State_lookup!J2:J49)*National_totals!$F$5, 0), 0)</f>
        <v>1</v>
      </c>
      <c r="F23">
        <f>IFERROR(ROUND(State_lookup!J22/SUM(State_lookup!J2:J49)*National_totals!$G$5, 0), 0)</f>
        <v>0</v>
      </c>
      <c r="G23">
        <f>IFERROR(ROUND(State_lookup!J22/SUM(State_lookup!J2:J49)*National_totals!$H$5, 0), 0)</f>
        <v>0</v>
      </c>
      <c r="H23">
        <f>IFERROR(ROUND(State_lookup!J22/SUM(State_lookup!J2:J49)*National_totals!$I$5, 0), 0)</f>
        <v>0</v>
      </c>
    </row>
    <row r="24" spans="1:8" x14ac:dyDescent="0.45">
      <c r="A24" t="str">
        <f>State_lookup!B23</f>
        <v>Mississippi</v>
      </c>
      <c r="B24">
        <f>IFERROR(ROUND(State_lookup!K23/SUM(State_lookup!K2:K49)*National_totals!$C$5, 0), 0)</f>
        <v>0</v>
      </c>
      <c r="C24">
        <f>IFERROR(ROUND(State_lookup!J23/SUM(State_lookup!J2:J49)*National_totals!$D$5, 0), 0)</f>
        <v>0</v>
      </c>
      <c r="D24">
        <f>IFERROR(ROUND(State_lookup!J23/SUM(State_lookup!J2:J49)*National_totals!$E$5, 0), 0)</f>
        <v>0</v>
      </c>
      <c r="E24">
        <f>IFERROR(ROUND(State_lookup!J23/SUM(State_lookup!J2:J49)*National_totals!$F$5, 0), 0)</f>
        <v>0</v>
      </c>
      <c r="F24">
        <f>IFERROR(ROUND(State_lookup!J23/SUM(State_lookup!J2:J49)*National_totals!$G$5, 0), 0)</f>
        <v>0</v>
      </c>
      <c r="G24">
        <f>IFERROR(ROUND(State_lookup!J23/SUM(State_lookup!J2:J49)*National_totals!$H$5, 0), 0)</f>
        <v>0</v>
      </c>
      <c r="H24">
        <f>IFERROR(ROUND(State_lookup!J23/SUM(State_lookup!J2:J49)*National_totals!$I$5, 0), 0)</f>
        <v>0</v>
      </c>
    </row>
    <row r="25" spans="1:8" x14ac:dyDescent="0.45">
      <c r="A25" t="str">
        <f>State_lookup!B24</f>
        <v>Missouri</v>
      </c>
      <c r="B25">
        <f>IFERROR(ROUND(State_lookup!K24/SUM(State_lookup!K2:K49)*National_totals!$C$5, 0), 0)</f>
        <v>29</v>
      </c>
      <c r="C25">
        <f>IFERROR(ROUND(State_lookup!J24/SUM(State_lookup!J2:J49)*National_totals!$D$5, 0), 0)</f>
        <v>0</v>
      </c>
      <c r="D25">
        <f>IFERROR(ROUND(State_lookup!J24/SUM(State_lookup!J2:J49)*National_totals!$E$5, 0), 0)</f>
        <v>0</v>
      </c>
      <c r="E25">
        <f>IFERROR(ROUND(State_lookup!J24/SUM(State_lookup!J2:J49)*National_totals!$F$5, 0), 0)</f>
        <v>0</v>
      </c>
      <c r="F25">
        <f>IFERROR(ROUND(State_lookup!J24/SUM(State_lookup!J2:J49)*National_totals!$G$5, 0), 0)</f>
        <v>0</v>
      </c>
      <c r="G25">
        <f>IFERROR(ROUND(State_lookup!J24/SUM(State_lookup!J2:J49)*National_totals!$H$5, 0), 0)</f>
        <v>0</v>
      </c>
      <c r="H25">
        <f>IFERROR(ROUND(State_lookup!J24/SUM(State_lookup!J2:J49)*National_totals!$I$5, 0), 0)</f>
        <v>0</v>
      </c>
    </row>
    <row r="26" spans="1:8" x14ac:dyDescent="0.45">
      <c r="A26" t="str">
        <f>State_lookup!B25</f>
        <v>Montana</v>
      </c>
      <c r="B26">
        <f>IFERROR(ROUND(State_lookup!K25/SUM(State_lookup!K2:K49)*National_totals!$C$5, 0), 0)</f>
        <v>0</v>
      </c>
      <c r="C26">
        <f>IFERROR(ROUND(State_lookup!J25/SUM(State_lookup!J2:J49)*National_totals!$D$5, 0), 0)</f>
        <v>0</v>
      </c>
      <c r="D26">
        <f>IFERROR(ROUND(State_lookup!J25/SUM(State_lookup!J2:J49)*National_totals!$E$5, 0), 0)</f>
        <v>0</v>
      </c>
      <c r="E26">
        <f>IFERROR(ROUND(State_lookup!J25/SUM(State_lookup!J2:J49)*National_totals!$F$5, 0), 0)</f>
        <v>0</v>
      </c>
      <c r="F26">
        <f>IFERROR(ROUND(State_lookup!J25/SUM(State_lookup!J2:J49)*National_totals!$G$5, 0), 0)</f>
        <v>0</v>
      </c>
      <c r="G26">
        <f>IFERROR(ROUND(State_lookup!J25/SUM(State_lookup!J2:J49)*National_totals!$H$5, 0), 0)</f>
        <v>0</v>
      </c>
      <c r="H26">
        <f>IFERROR(ROUND(State_lookup!J25/SUM(State_lookup!J2:J49)*National_totals!$I$5, 0), 0)</f>
        <v>0</v>
      </c>
    </row>
    <row r="27" spans="1:8" x14ac:dyDescent="0.45">
      <c r="A27" t="str">
        <f>State_lookup!B26</f>
        <v>Nebraska</v>
      </c>
      <c r="B27">
        <f>IFERROR(ROUND(State_lookup!K26/SUM(State_lookup!K2:K49)*National_totals!$C$5, 0), 0)</f>
        <v>0</v>
      </c>
      <c r="C27">
        <f>IFERROR(ROUND(State_lookup!J26/SUM(State_lookup!J2:J49)*National_totals!$D$5, 0), 0)</f>
        <v>0</v>
      </c>
      <c r="D27">
        <f>IFERROR(ROUND(State_lookup!J26/SUM(State_lookup!J2:J49)*National_totals!$E$5, 0), 0)</f>
        <v>0</v>
      </c>
      <c r="E27">
        <f>IFERROR(ROUND(State_lookup!J26/SUM(State_lookup!J2:J49)*National_totals!$F$5, 0), 0)</f>
        <v>0</v>
      </c>
      <c r="F27">
        <f>IFERROR(ROUND(State_lookup!J26/SUM(State_lookup!J2:J49)*National_totals!$G$5, 0), 0)</f>
        <v>0</v>
      </c>
      <c r="G27">
        <f>IFERROR(ROUND(State_lookup!J26/SUM(State_lookup!J2:J49)*National_totals!$H$5, 0), 0)</f>
        <v>0</v>
      </c>
      <c r="H27">
        <f>IFERROR(ROUND(State_lookup!J26/SUM(State_lookup!J2:J49)*National_totals!$I$5, 0), 0)</f>
        <v>0</v>
      </c>
    </row>
    <row r="28" spans="1:8" x14ac:dyDescent="0.45">
      <c r="A28" t="str">
        <f>State_lookup!B27</f>
        <v>Nevada</v>
      </c>
      <c r="B28">
        <f>IFERROR(ROUND(State_lookup!K27/SUM(State_lookup!K2:K49)*National_totals!$C$5, 0), 0)</f>
        <v>0</v>
      </c>
      <c r="C28">
        <f>IFERROR(ROUND(State_lookup!J27/SUM(State_lookup!J2:J49)*National_totals!$D$5, 0), 0)</f>
        <v>0</v>
      </c>
      <c r="D28">
        <f>IFERROR(ROUND(State_lookup!J27/SUM(State_lookup!J2:J49)*National_totals!$E$5, 0), 0)</f>
        <v>0</v>
      </c>
      <c r="E28">
        <f>IFERROR(ROUND(State_lookup!J27/SUM(State_lookup!J2:J49)*National_totals!$F$5, 0), 0)</f>
        <v>0</v>
      </c>
      <c r="F28">
        <f>IFERROR(ROUND(State_lookup!J27/SUM(State_lookup!J2:J49)*National_totals!$G$5, 0), 0)</f>
        <v>0</v>
      </c>
      <c r="G28">
        <f>IFERROR(ROUND(State_lookup!J27/SUM(State_lookup!J2:J49)*National_totals!$H$5, 0), 0)</f>
        <v>0</v>
      </c>
      <c r="H28">
        <f>IFERROR(ROUND(State_lookup!J27/SUM(State_lookup!J2:J49)*National_totals!$I$5, 0), 0)</f>
        <v>0</v>
      </c>
    </row>
    <row r="29" spans="1:8" x14ac:dyDescent="0.45">
      <c r="A29" t="str">
        <f>State_lookup!B28</f>
        <v>New Hampshire</v>
      </c>
      <c r="B29">
        <f>IFERROR(ROUND(State_lookup!K28/SUM(State_lookup!K2:K49)*National_totals!$C$5, 0), 0)</f>
        <v>0</v>
      </c>
      <c r="C29">
        <f>IFERROR(ROUND(State_lookup!J28/SUM(State_lookup!J2:J49)*National_totals!$D$5, 0), 0)</f>
        <v>0</v>
      </c>
      <c r="D29">
        <f>IFERROR(ROUND(State_lookup!J28/SUM(State_lookup!J2:J49)*National_totals!$E$5, 0), 0)</f>
        <v>0</v>
      </c>
      <c r="E29">
        <f>IFERROR(ROUND(State_lookup!J28/SUM(State_lookup!J2:J49)*National_totals!$F$5, 0), 0)</f>
        <v>0</v>
      </c>
      <c r="F29">
        <f>IFERROR(ROUND(State_lookup!J28/SUM(State_lookup!J2:J49)*National_totals!$G$5, 0), 0)</f>
        <v>0</v>
      </c>
      <c r="G29">
        <f>IFERROR(ROUND(State_lookup!J28/SUM(State_lookup!J2:J49)*National_totals!$H$5, 0), 0)</f>
        <v>0</v>
      </c>
      <c r="H29">
        <f>IFERROR(ROUND(State_lookup!J28/SUM(State_lookup!J2:J49)*National_totals!$I$5, 0), 0)</f>
        <v>0</v>
      </c>
    </row>
    <row r="30" spans="1:8" x14ac:dyDescent="0.45">
      <c r="A30" t="str">
        <f>State_lookup!B29</f>
        <v>New Jersey</v>
      </c>
      <c r="B30">
        <f>IFERROR(ROUND(State_lookup!K29/SUM(State_lookup!K2:K49)*National_totals!$C$5, 0), 0)</f>
        <v>170</v>
      </c>
      <c r="C30">
        <f>IFERROR(ROUND(State_lookup!J29/SUM(State_lookup!J2:J49)*National_totals!$D$5, 0), 0)</f>
        <v>0</v>
      </c>
      <c r="D30">
        <f>IFERROR(ROUND(State_lookup!J29/SUM(State_lookup!J2:J49)*National_totals!$E$5, 0), 0)</f>
        <v>0</v>
      </c>
      <c r="E30">
        <f>IFERROR(ROUND(State_lookup!J29/SUM(State_lookup!J2:J49)*National_totals!$F$5, 0), 0)</f>
        <v>20</v>
      </c>
      <c r="F30">
        <f>IFERROR(ROUND(State_lookup!J29/SUM(State_lookup!J2:J49)*National_totals!$G$5, 0), 0)</f>
        <v>0</v>
      </c>
      <c r="G30">
        <f>IFERROR(ROUND(State_lookup!J29/SUM(State_lookup!J2:J49)*National_totals!$H$5, 0), 0)</f>
        <v>0</v>
      </c>
      <c r="H30">
        <f>IFERROR(ROUND(State_lookup!J29/SUM(State_lookup!J2:J49)*National_totals!$I$5, 0), 0)</f>
        <v>0</v>
      </c>
    </row>
    <row r="31" spans="1:8" x14ac:dyDescent="0.45">
      <c r="A31" t="str">
        <f>State_lookup!B30</f>
        <v>New Mexico</v>
      </c>
      <c r="B31">
        <f>IFERROR(ROUND(State_lookup!K30/SUM(State_lookup!K2:K49)*National_totals!$C$5, 0), 0)</f>
        <v>0</v>
      </c>
      <c r="C31">
        <f>IFERROR(ROUND(State_lookup!J30/SUM(State_lookup!J2:J49)*National_totals!$D$5, 0), 0)</f>
        <v>0</v>
      </c>
      <c r="D31">
        <f>IFERROR(ROUND(State_lookup!J30/SUM(State_lookup!J2:J49)*National_totals!$E$5, 0), 0)</f>
        <v>0</v>
      </c>
      <c r="E31">
        <f>IFERROR(ROUND(State_lookup!J30/SUM(State_lookup!J2:J49)*National_totals!$F$5, 0), 0)</f>
        <v>6</v>
      </c>
      <c r="F31">
        <f>IFERROR(ROUND(State_lookup!J30/SUM(State_lookup!J2:J49)*National_totals!$G$5, 0), 0)</f>
        <v>0</v>
      </c>
      <c r="G31">
        <f>IFERROR(ROUND(State_lookup!J30/SUM(State_lookup!J2:J49)*National_totals!$H$5, 0), 0)</f>
        <v>0</v>
      </c>
      <c r="H31">
        <f>IFERROR(ROUND(State_lookup!J30/SUM(State_lookup!J2:J49)*National_totals!$I$5, 0), 0)</f>
        <v>0</v>
      </c>
    </row>
    <row r="32" spans="1:8" x14ac:dyDescent="0.45">
      <c r="A32" t="str">
        <f>State_lookup!B31</f>
        <v>New York</v>
      </c>
      <c r="B32">
        <f>IFERROR(ROUND(State_lookup!K31/SUM(State_lookup!K2:K49)*National_totals!$C$5, 0), 0)</f>
        <v>748</v>
      </c>
      <c r="C32">
        <f>IFERROR(ROUND(State_lookup!J31/SUM(State_lookup!J2:J49)*National_totals!$D$5, 0), 0)</f>
        <v>0</v>
      </c>
      <c r="D32">
        <f>IFERROR(ROUND(State_lookup!J31/SUM(State_lookup!J2:J49)*National_totals!$E$5, 0), 0)</f>
        <v>0</v>
      </c>
      <c r="E32">
        <f>IFERROR(ROUND(State_lookup!J31/SUM(State_lookup!J2:J49)*National_totals!$F$5, 0), 0)</f>
        <v>14</v>
      </c>
      <c r="F32">
        <f>IFERROR(ROUND(State_lookup!J31/SUM(State_lookup!J2:J49)*National_totals!$G$5, 0), 0)</f>
        <v>0</v>
      </c>
      <c r="G32">
        <f>IFERROR(ROUND(State_lookup!J31/SUM(State_lookup!J2:J49)*National_totals!$H$5, 0), 0)</f>
        <v>0</v>
      </c>
      <c r="H32">
        <f>IFERROR(ROUND(State_lookup!J31/SUM(State_lookup!J2:J49)*National_totals!$I$5, 0), 0)</f>
        <v>0</v>
      </c>
    </row>
    <row r="33" spans="1:8" x14ac:dyDescent="0.45">
      <c r="A33" t="str">
        <f>State_lookup!B32</f>
        <v>North Carolina</v>
      </c>
      <c r="B33">
        <f>IFERROR(ROUND(State_lookup!K32/SUM(State_lookup!K2:K49)*National_totals!$C$5, 0), 0)</f>
        <v>18</v>
      </c>
      <c r="C33">
        <f>IFERROR(ROUND(State_lookup!J32/SUM(State_lookup!J2:J49)*National_totals!$D$5, 0), 0)</f>
        <v>0</v>
      </c>
      <c r="D33">
        <f>IFERROR(ROUND(State_lookup!J32/SUM(State_lookup!J2:J49)*National_totals!$E$5, 0), 0)</f>
        <v>0</v>
      </c>
      <c r="E33">
        <f>IFERROR(ROUND(State_lookup!J32/SUM(State_lookup!J2:J49)*National_totals!$F$5, 0), 0)</f>
        <v>0</v>
      </c>
      <c r="F33">
        <f>IFERROR(ROUND(State_lookup!J32/SUM(State_lookup!J2:J49)*National_totals!$G$5, 0), 0)</f>
        <v>0</v>
      </c>
      <c r="G33">
        <f>IFERROR(ROUND(State_lookup!J32/SUM(State_lookup!J2:J49)*National_totals!$H$5, 0), 0)</f>
        <v>0</v>
      </c>
      <c r="H33">
        <f>IFERROR(ROUND(State_lookup!J32/SUM(State_lookup!J2:J49)*National_totals!$I$5, 0), 0)</f>
        <v>0</v>
      </c>
    </row>
    <row r="34" spans="1:8" x14ac:dyDescent="0.45">
      <c r="A34" t="str">
        <f>State_lookup!B33</f>
        <v>North Dakota</v>
      </c>
      <c r="B34">
        <f>IFERROR(ROUND(State_lookup!K33/SUM(State_lookup!K2:K49)*National_totals!$C$5, 0), 0)</f>
        <v>0</v>
      </c>
      <c r="C34">
        <f>IFERROR(ROUND(State_lookup!J33/SUM(State_lookup!J2:J49)*National_totals!$D$5, 0), 0)</f>
        <v>0</v>
      </c>
      <c r="D34">
        <f>IFERROR(ROUND(State_lookup!J33/SUM(State_lookup!J2:J49)*National_totals!$E$5, 0), 0)</f>
        <v>0</v>
      </c>
      <c r="E34">
        <f>IFERROR(ROUND(State_lookup!J33/SUM(State_lookup!J2:J49)*National_totals!$F$5, 0), 0)</f>
        <v>0</v>
      </c>
      <c r="F34">
        <f>IFERROR(ROUND(State_lookup!J33/SUM(State_lookup!J2:J49)*National_totals!$G$5, 0), 0)</f>
        <v>0</v>
      </c>
      <c r="G34">
        <f>IFERROR(ROUND(State_lookup!J33/SUM(State_lookup!J2:J49)*National_totals!$H$5, 0), 0)</f>
        <v>0</v>
      </c>
      <c r="H34">
        <f>IFERROR(ROUND(State_lookup!J33/SUM(State_lookup!J2:J49)*National_totals!$I$5, 0), 0)</f>
        <v>0</v>
      </c>
    </row>
    <row r="35" spans="1:8" x14ac:dyDescent="0.45">
      <c r="A35" t="str">
        <f>State_lookup!B34</f>
        <v>Ohio</v>
      </c>
      <c r="B35">
        <f>IFERROR(ROUND(State_lookup!K34/SUM(State_lookup!K2:K49)*National_totals!$C$5, 0), 0)</f>
        <v>21</v>
      </c>
      <c r="C35">
        <f>IFERROR(ROUND(State_lookup!J34/SUM(State_lookup!J2:J49)*National_totals!$D$5, 0), 0)</f>
        <v>0</v>
      </c>
      <c r="D35">
        <f>IFERROR(ROUND(State_lookup!J34/SUM(State_lookup!J2:J49)*National_totals!$E$5, 0), 0)</f>
        <v>0</v>
      </c>
      <c r="E35">
        <f>IFERROR(ROUND(State_lookup!J34/SUM(State_lookup!J2:J49)*National_totals!$F$5, 0), 0)</f>
        <v>0</v>
      </c>
      <c r="F35">
        <f>IFERROR(ROUND(State_lookup!J34/SUM(State_lookup!J2:J49)*National_totals!$G$5, 0), 0)</f>
        <v>0</v>
      </c>
      <c r="G35">
        <f>IFERROR(ROUND(State_lookup!J34/SUM(State_lookup!J2:J49)*National_totals!$H$5, 0), 0)</f>
        <v>0</v>
      </c>
      <c r="H35">
        <f>IFERROR(ROUND(State_lookup!J34/SUM(State_lookup!J2:J49)*National_totals!$I$5, 0), 0)</f>
        <v>0</v>
      </c>
    </row>
    <row r="36" spans="1:8" x14ac:dyDescent="0.45">
      <c r="A36" t="str">
        <f>State_lookup!B35</f>
        <v>Oklahoma</v>
      </c>
      <c r="B36">
        <f>IFERROR(ROUND(State_lookup!K35/SUM(State_lookup!K2:K49)*National_totals!$C$5, 0), 0)</f>
        <v>4</v>
      </c>
      <c r="C36">
        <f>IFERROR(ROUND(State_lookup!J35/SUM(State_lookup!J2:J49)*National_totals!$D$5, 0), 0)</f>
        <v>0</v>
      </c>
      <c r="D36">
        <f>IFERROR(ROUND(State_lookup!J35/SUM(State_lookup!J2:J49)*National_totals!$E$5, 0), 0)</f>
        <v>0</v>
      </c>
      <c r="E36">
        <f>IFERROR(ROUND(State_lookup!J35/SUM(State_lookup!J2:J49)*National_totals!$F$5, 0), 0)</f>
        <v>0</v>
      </c>
      <c r="F36">
        <f>IFERROR(ROUND(State_lookup!J35/SUM(State_lookup!J2:J49)*National_totals!$G$5, 0), 0)</f>
        <v>0</v>
      </c>
      <c r="G36">
        <f>IFERROR(ROUND(State_lookup!J35/SUM(State_lookup!J2:J49)*National_totals!$H$5, 0), 0)</f>
        <v>0</v>
      </c>
      <c r="H36">
        <f>IFERROR(ROUND(State_lookup!J35/SUM(State_lookup!J2:J49)*National_totals!$I$5, 0), 0)</f>
        <v>0</v>
      </c>
    </row>
    <row r="37" spans="1:8" x14ac:dyDescent="0.45">
      <c r="A37" t="str">
        <f>State_lookup!B36</f>
        <v>Oregon</v>
      </c>
      <c r="B37">
        <f>IFERROR(ROUND(State_lookup!K36/SUM(State_lookup!K2:K49)*National_totals!$C$5, 0), 0)</f>
        <v>64</v>
      </c>
      <c r="C37">
        <f>IFERROR(ROUND(State_lookup!J36/SUM(State_lookup!J2:J49)*National_totals!$D$5, 0), 0)</f>
        <v>0</v>
      </c>
      <c r="D37">
        <f>IFERROR(ROUND(State_lookup!J36/SUM(State_lookup!J2:J49)*National_totals!$E$5, 0), 0)</f>
        <v>0</v>
      </c>
      <c r="E37">
        <f>IFERROR(ROUND(State_lookup!J36/SUM(State_lookup!J2:J49)*National_totals!$F$5, 0), 0)</f>
        <v>1</v>
      </c>
      <c r="F37">
        <f>IFERROR(ROUND(State_lookup!J36/SUM(State_lookup!J2:J49)*National_totals!$G$5, 0), 0)</f>
        <v>0</v>
      </c>
      <c r="G37">
        <f>IFERROR(ROUND(State_lookup!J36/SUM(State_lookup!J2:J49)*National_totals!$H$5, 0), 0)</f>
        <v>0</v>
      </c>
      <c r="H37">
        <f>IFERROR(ROUND(State_lookup!J36/SUM(State_lookup!J2:J49)*National_totals!$I$5, 0), 0)</f>
        <v>0</v>
      </c>
    </row>
    <row r="38" spans="1:8" x14ac:dyDescent="0.45">
      <c r="A38" t="str">
        <f>State_lookup!B37</f>
        <v>Pennsylvania</v>
      </c>
      <c r="B38">
        <f>IFERROR(ROUND(State_lookup!K37/SUM(State_lookup!K2:K49)*National_totals!$C$5, 0), 0)</f>
        <v>266</v>
      </c>
      <c r="C38">
        <f>IFERROR(ROUND(State_lookup!J37/SUM(State_lookup!J2:J49)*National_totals!$D$5, 0), 0)</f>
        <v>0</v>
      </c>
      <c r="D38">
        <f>IFERROR(ROUND(State_lookup!J37/SUM(State_lookup!J2:J49)*National_totals!$E$5, 0), 0)</f>
        <v>0</v>
      </c>
      <c r="E38">
        <f>IFERROR(ROUND(State_lookup!J37/SUM(State_lookup!J2:J49)*National_totals!$F$5, 0), 0)</f>
        <v>0</v>
      </c>
      <c r="F38">
        <f>IFERROR(ROUND(State_lookup!J37/SUM(State_lookup!J2:J49)*National_totals!$G$5, 0), 0)</f>
        <v>0</v>
      </c>
      <c r="G38">
        <f>IFERROR(ROUND(State_lookup!J37/SUM(State_lookup!J2:J49)*National_totals!$H$5, 0), 0)</f>
        <v>0</v>
      </c>
      <c r="H38">
        <f>IFERROR(ROUND(State_lookup!J37/SUM(State_lookup!J2:J49)*National_totals!$I$5, 0), 0)</f>
        <v>0</v>
      </c>
    </row>
    <row r="39" spans="1:8" x14ac:dyDescent="0.45">
      <c r="A39" t="str">
        <f>State_lookup!B38</f>
        <v>Rhode Island</v>
      </c>
      <c r="B39">
        <f>IFERROR(ROUND(State_lookup!K38/SUM(State_lookup!K2:K49)*National_totals!$C$5, 0), 0)</f>
        <v>0</v>
      </c>
      <c r="C39">
        <f>IFERROR(ROUND(State_lookup!J38/SUM(State_lookup!J2:J49)*National_totals!$D$5, 0), 0)</f>
        <v>0</v>
      </c>
      <c r="D39">
        <f>IFERROR(ROUND(State_lookup!J38/SUM(State_lookup!J2:J49)*National_totals!$E$5, 0), 0)</f>
        <v>0</v>
      </c>
      <c r="E39">
        <f>IFERROR(ROUND(State_lookup!J38/SUM(State_lookup!J2:J49)*National_totals!$F$5, 0), 0)</f>
        <v>0</v>
      </c>
      <c r="F39">
        <f>IFERROR(ROUND(State_lookup!J38/SUM(State_lookup!J2:J49)*National_totals!$G$5, 0), 0)</f>
        <v>0</v>
      </c>
      <c r="G39">
        <f>IFERROR(ROUND(State_lookup!J38/SUM(State_lookup!J2:J49)*National_totals!$H$5, 0), 0)</f>
        <v>0</v>
      </c>
      <c r="H39">
        <f>IFERROR(ROUND(State_lookup!J38/SUM(State_lookup!J2:J49)*National_totals!$I$5, 0), 0)</f>
        <v>0</v>
      </c>
    </row>
    <row r="40" spans="1:8" x14ac:dyDescent="0.45">
      <c r="A40" t="str">
        <f>State_lookup!B39</f>
        <v>South Carolina</v>
      </c>
      <c r="B40">
        <f>IFERROR(ROUND(State_lookup!K39/SUM(State_lookup!K2:K49)*National_totals!$C$5, 0), 0)</f>
        <v>0</v>
      </c>
      <c r="C40">
        <f>IFERROR(ROUND(State_lookup!J39/SUM(State_lookup!J2:J49)*National_totals!$D$5, 0), 0)</f>
        <v>0</v>
      </c>
      <c r="D40">
        <f>IFERROR(ROUND(State_lookup!J39/SUM(State_lookup!J2:J49)*National_totals!$E$5, 0), 0)</f>
        <v>0</v>
      </c>
      <c r="E40">
        <f>IFERROR(ROUND(State_lookup!J39/SUM(State_lookup!J2:J49)*National_totals!$F$5, 0), 0)</f>
        <v>0</v>
      </c>
      <c r="F40">
        <f>IFERROR(ROUND(State_lookup!J39/SUM(State_lookup!J2:J49)*National_totals!$G$5, 0), 0)</f>
        <v>0</v>
      </c>
      <c r="G40">
        <f>IFERROR(ROUND(State_lookup!J39/SUM(State_lookup!J2:J49)*National_totals!$H$5, 0), 0)</f>
        <v>0</v>
      </c>
      <c r="H40">
        <f>IFERROR(ROUND(State_lookup!J39/SUM(State_lookup!J2:J49)*National_totals!$I$5, 0), 0)</f>
        <v>0</v>
      </c>
    </row>
    <row r="41" spans="1:8" x14ac:dyDescent="0.45">
      <c r="A41" t="str">
        <f>State_lookup!B40</f>
        <v>South Dakota</v>
      </c>
      <c r="B41">
        <f>IFERROR(ROUND(State_lookup!K40/SUM(State_lookup!K2:K49)*National_totals!$C$5, 0), 0)</f>
        <v>0</v>
      </c>
      <c r="C41">
        <f>IFERROR(ROUND(State_lookup!J40/SUM(State_lookup!J2:J49)*National_totals!$D$5, 0), 0)</f>
        <v>0</v>
      </c>
      <c r="D41">
        <f>IFERROR(ROUND(State_lookup!J40/SUM(State_lookup!J2:J49)*National_totals!$E$5, 0), 0)</f>
        <v>0</v>
      </c>
      <c r="E41">
        <f>IFERROR(ROUND(State_lookup!J40/SUM(State_lookup!J2:J49)*National_totals!$F$5, 0), 0)</f>
        <v>0</v>
      </c>
      <c r="F41">
        <f>IFERROR(ROUND(State_lookup!J40/SUM(State_lookup!J2:J49)*National_totals!$G$5, 0), 0)</f>
        <v>0</v>
      </c>
      <c r="G41">
        <f>IFERROR(ROUND(State_lookup!J40/SUM(State_lookup!J2:J49)*National_totals!$H$5, 0), 0)</f>
        <v>0</v>
      </c>
      <c r="H41">
        <f>IFERROR(ROUND(State_lookup!J40/SUM(State_lookup!J2:J49)*National_totals!$I$5, 0), 0)</f>
        <v>0</v>
      </c>
    </row>
    <row r="42" spans="1:8" x14ac:dyDescent="0.45">
      <c r="A42" t="str">
        <f>State_lookup!B41</f>
        <v>Tennessee</v>
      </c>
      <c r="B42">
        <f>IFERROR(ROUND(State_lookup!K41/SUM(State_lookup!K2:K49)*National_totals!$C$5, 0), 0)</f>
        <v>2</v>
      </c>
      <c r="C42">
        <f>IFERROR(ROUND(State_lookup!J41/SUM(State_lookup!J2:J49)*National_totals!$D$5, 0), 0)</f>
        <v>0</v>
      </c>
      <c r="D42">
        <f>IFERROR(ROUND(State_lookup!J41/SUM(State_lookup!J2:J49)*National_totals!$E$5, 0), 0)</f>
        <v>0</v>
      </c>
      <c r="E42">
        <f>IFERROR(ROUND(State_lookup!J41/SUM(State_lookup!J2:J49)*National_totals!$F$5, 0), 0)</f>
        <v>3</v>
      </c>
      <c r="F42">
        <f>IFERROR(ROUND(State_lookup!J41/SUM(State_lookup!J2:J49)*National_totals!$G$5, 0), 0)</f>
        <v>0</v>
      </c>
      <c r="G42">
        <f>IFERROR(ROUND(State_lookup!J41/SUM(State_lookup!J2:J49)*National_totals!$H$5, 0), 0)</f>
        <v>0</v>
      </c>
      <c r="H42">
        <f>IFERROR(ROUND(State_lookup!J41/SUM(State_lookup!J2:J49)*National_totals!$I$5, 0), 0)</f>
        <v>0</v>
      </c>
    </row>
    <row r="43" spans="1:8" x14ac:dyDescent="0.45">
      <c r="A43" t="str">
        <f>State_lookup!B42</f>
        <v>Texas</v>
      </c>
      <c r="B43">
        <f>IFERROR(ROUND(State_lookup!K42/SUM(State_lookup!K2:K49)*National_totals!$C$5, 0), 0)</f>
        <v>84</v>
      </c>
      <c r="C43">
        <f>IFERROR(ROUND(State_lookup!J42/SUM(State_lookup!J2:J49)*National_totals!$D$5, 0), 0)</f>
        <v>0</v>
      </c>
      <c r="D43">
        <f>IFERROR(ROUND(State_lookup!J42/SUM(State_lookup!J2:J49)*National_totals!$E$5, 0), 0)</f>
        <v>0</v>
      </c>
      <c r="E43">
        <f>IFERROR(ROUND(State_lookup!J42/SUM(State_lookup!J2:J49)*National_totals!$F$5, 0), 0)</f>
        <v>15</v>
      </c>
      <c r="F43">
        <f>IFERROR(ROUND(State_lookup!J42/SUM(State_lookup!J2:J49)*National_totals!$G$5, 0), 0)</f>
        <v>0</v>
      </c>
      <c r="G43">
        <f>IFERROR(ROUND(State_lookup!J42/SUM(State_lookup!J2:J49)*National_totals!$H$5, 0), 0)</f>
        <v>0</v>
      </c>
      <c r="H43">
        <f>IFERROR(ROUND(State_lookup!J42/SUM(State_lookup!J2:J49)*National_totals!$I$5, 0), 0)</f>
        <v>0</v>
      </c>
    </row>
    <row r="44" spans="1:8" x14ac:dyDescent="0.45">
      <c r="A44" t="str">
        <f>State_lookup!B43</f>
        <v>Utah</v>
      </c>
      <c r="B44">
        <f>IFERROR(ROUND(State_lookup!K43/SUM(State_lookup!K2:K49)*National_totals!$C$5, 0), 0)</f>
        <v>33</v>
      </c>
      <c r="C44">
        <f>IFERROR(ROUND(State_lookup!J43/SUM(State_lookup!J2:J49)*National_totals!$D$5, 0), 0)</f>
        <v>0</v>
      </c>
      <c r="D44">
        <f>IFERROR(ROUND(State_lookup!J43/SUM(State_lookup!J2:J49)*National_totals!$E$5, 0), 0)</f>
        <v>0</v>
      </c>
      <c r="E44">
        <f>IFERROR(ROUND(State_lookup!J43/SUM(State_lookup!J2:J49)*National_totals!$F$5, 0), 0)</f>
        <v>5</v>
      </c>
      <c r="F44">
        <f>IFERROR(ROUND(State_lookup!J43/SUM(State_lookup!J2:J49)*National_totals!$G$5, 0), 0)</f>
        <v>0</v>
      </c>
      <c r="G44">
        <f>IFERROR(ROUND(State_lookup!J43/SUM(State_lookup!J2:J49)*National_totals!$H$5, 0), 0)</f>
        <v>0</v>
      </c>
      <c r="H44">
        <f>IFERROR(ROUND(State_lookup!J43/SUM(State_lookup!J2:J49)*National_totals!$I$5, 0), 0)</f>
        <v>0</v>
      </c>
    </row>
    <row r="45" spans="1:8" x14ac:dyDescent="0.45">
      <c r="A45" t="str">
        <f>State_lookup!B44</f>
        <v>Vermont</v>
      </c>
      <c r="B45">
        <f>IFERROR(ROUND(State_lookup!K44/SUM(State_lookup!K2:K49)*National_totals!$C$5, 0), 0)</f>
        <v>0</v>
      </c>
      <c r="C45">
        <f>IFERROR(ROUND(State_lookup!J44/SUM(State_lookup!J2:J49)*National_totals!$D$5, 0), 0)</f>
        <v>0</v>
      </c>
      <c r="D45">
        <f>IFERROR(ROUND(State_lookup!J44/SUM(State_lookup!J2:J49)*National_totals!$E$5, 0), 0)</f>
        <v>0</v>
      </c>
      <c r="E45">
        <f>IFERROR(ROUND(State_lookup!J44/SUM(State_lookup!J2:J49)*National_totals!$F$5, 0), 0)</f>
        <v>0</v>
      </c>
      <c r="F45">
        <f>IFERROR(ROUND(State_lookup!J44/SUM(State_lookup!J2:J49)*National_totals!$G$5, 0), 0)</f>
        <v>0</v>
      </c>
      <c r="G45">
        <f>IFERROR(ROUND(State_lookup!J44/SUM(State_lookup!J2:J49)*National_totals!$H$5, 0), 0)</f>
        <v>0</v>
      </c>
      <c r="H45">
        <f>IFERROR(ROUND(State_lookup!J44/SUM(State_lookup!J2:J49)*National_totals!$I$5, 0), 0)</f>
        <v>0</v>
      </c>
    </row>
    <row r="46" spans="1:8" x14ac:dyDescent="0.45">
      <c r="A46" t="str">
        <f>State_lookup!B45</f>
        <v>Virginia</v>
      </c>
      <c r="B46">
        <f>IFERROR(ROUND(State_lookup!K45/SUM(State_lookup!K2:K49)*National_totals!$C$5, 0), 0)</f>
        <v>17</v>
      </c>
      <c r="C46">
        <f>IFERROR(ROUND(State_lookup!J45/SUM(State_lookup!J2:J49)*National_totals!$D$5, 0), 0)</f>
        <v>0</v>
      </c>
      <c r="D46">
        <f>IFERROR(ROUND(State_lookup!J45/SUM(State_lookup!J2:J49)*National_totals!$E$5, 0), 0)</f>
        <v>0</v>
      </c>
      <c r="E46">
        <f>IFERROR(ROUND(State_lookup!J45/SUM(State_lookup!J2:J49)*National_totals!$F$5, 0), 0)</f>
        <v>15</v>
      </c>
      <c r="F46">
        <f>IFERROR(ROUND(State_lookup!J45/SUM(State_lookup!J2:J49)*National_totals!$G$5, 0), 0)</f>
        <v>0</v>
      </c>
      <c r="G46">
        <f>IFERROR(ROUND(State_lookup!J45/SUM(State_lookup!J2:J49)*National_totals!$H$5, 0), 0)</f>
        <v>0</v>
      </c>
      <c r="H46">
        <f>IFERROR(ROUND(State_lookup!J45/SUM(State_lookup!J2:J49)*National_totals!$I$5, 0), 0)</f>
        <v>0</v>
      </c>
    </row>
    <row r="47" spans="1:8" x14ac:dyDescent="0.45">
      <c r="A47" t="str">
        <f>State_lookup!B46</f>
        <v>Washington</v>
      </c>
      <c r="B47">
        <f>IFERROR(ROUND(State_lookup!K46/SUM(State_lookup!K2:K49)*National_totals!$C$5, 0), 0)</f>
        <v>36</v>
      </c>
      <c r="C47">
        <f>IFERROR(ROUND(State_lookup!J46/SUM(State_lookup!J2:J49)*National_totals!$D$5, 0), 0)</f>
        <v>0</v>
      </c>
      <c r="D47">
        <f>IFERROR(ROUND(State_lookup!J46/SUM(State_lookup!J2:J49)*National_totals!$E$5, 0), 0)</f>
        <v>0</v>
      </c>
      <c r="E47">
        <f>IFERROR(ROUND(State_lookup!J46/SUM(State_lookup!J2:J49)*National_totals!$F$5, 0), 0)</f>
        <v>2</v>
      </c>
      <c r="F47">
        <f>IFERROR(ROUND(State_lookup!J46/SUM(State_lookup!J2:J49)*National_totals!$G$5, 0), 0)</f>
        <v>0</v>
      </c>
      <c r="G47">
        <f>IFERROR(ROUND(State_lookup!J46/SUM(State_lookup!J2:J49)*National_totals!$H$5, 0), 0)</f>
        <v>0</v>
      </c>
      <c r="H47">
        <f>IFERROR(ROUND(State_lookup!J46/SUM(State_lookup!J2:J49)*National_totals!$I$5, 0), 0)</f>
        <v>0</v>
      </c>
    </row>
    <row r="48" spans="1:8" x14ac:dyDescent="0.45">
      <c r="A48" t="str">
        <f>State_lookup!B47</f>
        <v>West Virginia</v>
      </c>
      <c r="B48">
        <f>IFERROR(ROUND(State_lookup!K47/SUM(State_lookup!K2:K49)*National_totals!$C$5, 0), 0)</f>
        <v>0</v>
      </c>
      <c r="C48">
        <f>IFERROR(ROUND(State_lookup!J47/SUM(State_lookup!J2:J49)*National_totals!$D$5, 0), 0)</f>
        <v>0</v>
      </c>
      <c r="D48">
        <f>IFERROR(ROUND(State_lookup!J47/SUM(State_lookup!J2:J49)*National_totals!$E$5, 0), 0)</f>
        <v>0</v>
      </c>
      <c r="E48">
        <f>IFERROR(ROUND(State_lookup!J47/SUM(State_lookup!J2:J49)*National_totals!$F$5, 0), 0)</f>
        <v>0</v>
      </c>
      <c r="F48">
        <f>IFERROR(ROUND(State_lookup!J47/SUM(State_lookup!J2:J49)*National_totals!$G$5, 0), 0)</f>
        <v>0</v>
      </c>
      <c r="G48">
        <f>IFERROR(ROUND(State_lookup!J47/SUM(State_lookup!J2:J49)*National_totals!$H$5, 0), 0)</f>
        <v>0</v>
      </c>
      <c r="H48">
        <f>IFERROR(ROUND(State_lookup!J47/SUM(State_lookup!J2:J49)*National_totals!$I$5, 0), 0)</f>
        <v>0</v>
      </c>
    </row>
    <row r="49" spans="1:8" x14ac:dyDescent="0.45">
      <c r="A49" t="str">
        <f>State_lookup!B48</f>
        <v>Wisconsin</v>
      </c>
      <c r="B49">
        <f>IFERROR(ROUND(State_lookup!K48/SUM(State_lookup!K2:K49)*National_totals!$C$5, 0), 0)</f>
        <v>4</v>
      </c>
      <c r="C49">
        <f>IFERROR(ROUND(State_lookup!J48/SUM(State_lookup!J2:J49)*National_totals!$D$5, 0), 0)</f>
        <v>0</v>
      </c>
      <c r="D49">
        <f>IFERROR(ROUND(State_lookup!J48/SUM(State_lookup!J2:J49)*National_totals!$E$5, 0), 0)</f>
        <v>0</v>
      </c>
      <c r="E49">
        <f>IFERROR(ROUND(State_lookup!J48/SUM(State_lookup!J2:J49)*National_totals!$F$5, 0), 0)</f>
        <v>0</v>
      </c>
      <c r="F49">
        <f>IFERROR(ROUND(State_lookup!J48/SUM(State_lookup!J2:J49)*National_totals!$G$5, 0), 0)</f>
        <v>0</v>
      </c>
      <c r="G49">
        <f>IFERROR(ROUND(State_lookup!J48/SUM(State_lookup!J2:J49)*National_totals!$H$5, 0), 0)</f>
        <v>0</v>
      </c>
      <c r="H49">
        <f>IFERROR(ROUND(State_lookup!J48/SUM(State_lookup!J2:J49)*National_totals!$I$5, 0), 0)</f>
        <v>0</v>
      </c>
    </row>
    <row r="50" spans="1:8" x14ac:dyDescent="0.45">
      <c r="A50" t="str">
        <f>State_lookup!B49</f>
        <v>Wyoming</v>
      </c>
      <c r="B50">
        <f>IFERROR(ROUND(State_lookup!K49/SUM(State_lookup!K2:K49)*National_totals!$C$5, 0), 0)</f>
        <v>0</v>
      </c>
      <c r="C50">
        <f>IFERROR(ROUND(State_lookup!J49/SUM(State_lookup!J2:J49)*National_totals!$D$5, 0), 0)</f>
        <v>0</v>
      </c>
      <c r="D50">
        <f>IFERROR(ROUND(State_lookup!J49/SUM(State_lookup!J2:J49)*National_totals!$E$5, 0), 0)</f>
        <v>0</v>
      </c>
      <c r="E50">
        <f>IFERROR(ROUND(State_lookup!J49/SUM(State_lookup!J2:J49)*National_totals!$F$5, 0), 0)</f>
        <v>0</v>
      </c>
      <c r="F50">
        <f>IFERROR(ROUND(State_lookup!J49/SUM(State_lookup!J2:J49)*National_totals!$G$5, 0), 0)</f>
        <v>0</v>
      </c>
      <c r="G50">
        <f>IFERROR(ROUND(State_lookup!J49/SUM(State_lookup!J2:J49)*National_totals!$H$5, 0), 0)</f>
        <v>0</v>
      </c>
      <c r="H50">
        <f>IFERROR(ROUND(State_lookup!J49/SUM(State_lookup!J2:J49)*National_totals!$I$5, 0), 0)</f>
        <v>0</v>
      </c>
    </row>
    <row r="51" spans="1:8" x14ac:dyDescent="0.45">
      <c r="A51" s="4" t="s">
        <v>335</v>
      </c>
      <c r="B51" s="4">
        <f t="shared" ref="B51:H51" si="0">SUM(B3:B50)</f>
        <v>2564</v>
      </c>
      <c r="C51" s="4">
        <f t="shared" si="0"/>
        <v>0</v>
      </c>
      <c r="D51" s="4">
        <f t="shared" si="0"/>
        <v>0</v>
      </c>
      <c r="E51" s="4">
        <f t="shared" si="0"/>
        <v>173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National_totals!$C$5</f>
        <v>2564</v>
      </c>
      <c r="C52" s="4">
        <f>National_totals!$D$5</f>
        <v>0</v>
      </c>
      <c r="D52" s="4">
        <f>National_totals!$E$5</f>
        <v>0</v>
      </c>
      <c r="E52" s="4">
        <f>National_totals!$F$5</f>
        <v>173</v>
      </c>
      <c r="F52" s="4">
        <f>National_totals!$G$5</f>
        <v>0</v>
      </c>
      <c r="G52" s="4">
        <f>National_totals!$H$5</f>
        <v>0</v>
      </c>
      <c r="H52" s="4">
        <f>National_totals!$I$5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0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341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IFERROR(ROUND(State_lookup!M2/SUM(State_lookup!M2:M49)*National_totals!$C$6, 0), 0)</f>
        <v>0</v>
      </c>
      <c r="C3">
        <f>IFERROR(ROUND(State_lookup!M2/SUM(State_lookup!M2:M49)*National_totals!$D$6, 0), 0)</f>
        <v>0</v>
      </c>
      <c r="D3">
        <f>IFERROR(ROUND(State_lookup!M2/SUM(State_lookup!M2:M49)*National_totals!$E$6, 0), 0)</f>
        <v>219517</v>
      </c>
      <c r="E3">
        <f>IFERROR(ROUND(State_lookup!M2/SUM(State_lookup!M2:M49)*National_totals!$F$6, 0), 0)</f>
        <v>53514</v>
      </c>
      <c r="F3">
        <f>IFERROR(ROUND(State_lookup!M2/SUM(State_lookup!M2:M49)*National_totals!$G$6, 0), 0)</f>
        <v>0</v>
      </c>
      <c r="G3">
        <f>IFERROR(ROUND(State_lookup!M2/SUM(State_lookup!M2:M49)*National_totals!$H$6, 0), 0)</f>
        <v>0</v>
      </c>
      <c r="H3">
        <f>IFERROR(ROUND(State_lookup!M2/SUM(State_lookup!M2:M49)*National_totals!$I$6, 0), 0)</f>
        <v>0</v>
      </c>
    </row>
    <row r="4" spans="1:8" x14ac:dyDescent="0.45">
      <c r="A4" t="str">
        <f>State_lookup!B3</f>
        <v>Arizona</v>
      </c>
      <c r="B4">
        <f>IFERROR(ROUND(State_lookup!M3/SUM(State_lookup!M2:M49)*National_totals!$C$6, 0), 0)</f>
        <v>0</v>
      </c>
      <c r="C4">
        <f>IFERROR(ROUND(State_lookup!M3/SUM(State_lookup!M2:M49)*National_totals!$D$6, 0), 0)</f>
        <v>0</v>
      </c>
      <c r="D4">
        <f>IFERROR(ROUND(State_lookup!M3/SUM(State_lookup!M2:M49)*National_totals!$E$6, 0), 0)</f>
        <v>116540</v>
      </c>
      <c r="E4">
        <f>IFERROR(ROUND(State_lookup!M3/SUM(State_lookup!M2:M49)*National_totals!$F$6, 0), 0)</f>
        <v>28410</v>
      </c>
      <c r="F4">
        <f>IFERROR(ROUND(State_lookup!M3/SUM(State_lookup!M2:M49)*National_totals!$G$6, 0), 0)</f>
        <v>0</v>
      </c>
      <c r="G4">
        <f>IFERROR(ROUND(State_lookup!M3/SUM(State_lookup!M2:M49)*National_totals!$H$6, 0), 0)</f>
        <v>0</v>
      </c>
      <c r="H4">
        <f>IFERROR(ROUND(State_lookup!M3/SUM(State_lookup!M2:M49)*National_totals!$I$6, 0), 0)</f>
        <v>0</v>
      </c>
    </row>
    <row r="5" spans="1:8" x14ac:dyDescent="0.45">
      <c r="A5" t="str">
        <f>State_lookup!B4</f>
        <v>Arkansas</v>
      </c>
      <c r="B5">
        <f>IFERROR(ROUND(State_lookup!M4/SUM(State_lookup!M2:M49)*National_totals!$C$6, 0), 0)</f>
        <v>0</v>
      </c>
      <c r="C5">
        <f>IFERROR(ROUND(State_lookup!M4/SUM(State_lookup!M2:M49)*National_totals!$D$6, 0), 0)</f>
        <v>0</v>
      </c>
      <c r="D5">
        <f>IFERROR(ROUND(State_lookup!M4/SUM(State_lookup!M2:M49)*National_totals!$E$6, 0), 0)</f>
        <v>173865</v>
      </c>
      <c r="E5">
        <f>IFERROR(ROUND(State_lookup!M4/SUM(State_lookup!M2:M49)*National_totals!$F$6, 0), 0)</f>
        <v>42385</v>
      </c>
      <c r="F5">
        <f>IFERROR(ROUND(State_lookup!M4/SUM(State_lookup!M2:M49)*National_totals!$G$6, 0), 0)</f>
        <v>0</v>
      </c>
      <c r="G5">
        <f>IFERROR(ROUND(State_lookup!M4/SUM(State_lookup!M2:M49)*National_totals!$H$6, 0), 0)</f>
        <v>0</v>
      </c>
      <c r="H5">
        <f>IFERROR(ROUND(State_lookup!M4/SUM(State_lookup!M2:M49)*National_totals!$I$6, 0), 0)</f>
        <v>0</v>
      </c>
    </row>
    <row r="6" spans="1:8" x14ac:dyDescent="0.45">
      <c r="A6" t="str">
        <f>State_lookup!B5</f>
        <v>California</v>
      </c>
      <c r="B6">
        <f>IFERROR(ROUND(State_lookup!M5/SUM(State_lookup!M2:M49)*National_totals!$C$6, 0), 0)</f>
        <v>0</v>
      </c>
      <c r="C6">
        <f>IFERROR(ROUND(State_lookup!M5/SUM(State_lookup!M2:M49)*National_totals!$D$6, 0), 0)</f>
        <v>0</v>
      </c>
      <c r="D6">
        <f>IFERROR(ROUND(State_lookup!M5/SUM(State_lookup!M2:M49)*National_totals!$E$6, 0), 0)</f>
        <v>705128</v>
      </c>
      <c r="E6">
        <f>IFERROR(ROUND(State_lookup!M5/SUM(State_lookup!M2:M49)*National_totals!$F$6, 0), 0)</f>
        <v>171896</v>
      </c>
      <c r="F6">
        <f>IFERROR(ROUND(State_lookup!M5/SUM(State_lookup!M2:M49)*National_totals!$G$6, 0), 0)</f>
        <v>0</v>
      </c>
      <c r="G6">
        <f>IFERROR(ROUND(State_lookup!M5/SUM(State_lookup!M2:M49)*National_totals!$H$6, 0), 0)</f>
        <v>0</v>
      </c>
      <c r="H6">
        <f>IFERROR(ROUND(State_lookup!M5/SUM(State_lookup!M2:M49)*National_totals!$I$6, 0), 0)</f>
        <v>0</v>
      </c>
    </row>
    <row r="7" spans="1:8" x14ac:dyDescent="0.45">
      <c r="A7" t="str">
        <f>State_lookup!B6</f>
        <v>Colorado</v>
      </c>
      <c r="B7">
        <f>IFERROR(ROUND(State_lookup!M6/SUM(State_lookup!M2:M49)*National_totals!$C$6, 0), 0)</f>
        <v>0</v>
      </c>
      <c r="C7">
        <f>IFERROR(ROUND(State_lookup!M6/SUM(State_lookup!M2:M49)*National_totals!$D$6, 0), 0)</f>
        <v>0</v>
      </c>
      <c r="D7">
        <f>IFERROR(ROUND(State_lookup!M6/SUM(State_lookup!M2:M49)*National_totals!$E$6, 0), 0)</f>
        <v>73033</v>
      </c>
      <c r="E7">
        <f>IFERROR(ROUND(State_lookup!M6/SUM(State_lookup!M2:M49)*National_totals!$F$6, 0), 0)</f>
        <v>17804</v>
      </c>
      <c r="F7">
        <f>IFERROR(ROUND(State_lookup!M6/SUM(State_lookup!M2:M49)*National_totals!$G$6, 0), 0)</f>
        <v>0</v>
      </c>
      <c r="G7">
        <f>IFERROR(ROUND(State_lookup!M6/SUM(State_lookup!M2:M49)*National_totals!$H$6, 0), 0)</f>
        <v>0</v>
      </c>
      <c r="H7">
        <f>IFERROR(ROUND(State_lookup!M6/SUM(State_lookup!M2:M49)*National_totals!$I$6, 0), 0)</f>
        <v>0</v>
      </c>
    </row>
    <row r="8" spans="1:8" x14ac:dyDescent="0.45">
      <c r="A8" t="str">
        <f>State_lookup!B7</f>
        <v>Connecticut</v>
      </c>
      <c r="B8">
        <f>IFERROR(ROUND(State_lookup!M7/SUM(State_lookup!M2:M49)*National_totals!$C$6, 0), 0)</f>
        <v>0</v>
      </c>
      <c r="C8">
        <f>IFERROR(ROUND(State_lookup!M7/SUM(State_lookup!M2:M49)*National_totals!$D$6, 0), 0)</f>
        <v>0</v>
      </c>
      <c r="D8">
        <f>IFERROR(ROUND(State_lookup!M7/SUM(State_lookup!M2:M49)*National_totals!$E$6, 0), 0)</f>
        <v>94125</v>
      </c>
      <c r="E8">
        <f>IFERROR(ROUND(State_lookup!M7/SUM(State_lookup!M2:M49)*National_totals!$F$6, 0), 0)</f>
        <v>22946</v>
      </c>
      <c r="F8">
        <f>IFERROR(ROUND(State_lookup!M7/SUM(State_lookup!M2:M49)*National_totals!$G$6, 0), 0)</f>
        <v>0</v>
      </c>
      <c r="G8">
        <f>IFERROR(ROUND(State_lookup!M7/SUM(State_lookup!M2:M49)*National_totals!$H$6, 0), 0)</f>
        <v>0</v>
      </c>
      <c r="H8">
        <f>IFERROR(ROUND(State_lookup!M7/SUM(State_lookup!M2:M49)*National_totals!$I$6, 0), 0)</f>
        <v>0</v>
      </c>
    </row>
    <row r="9" spans="1:8" x14ac:dyDescent="0.45">
      <c r="A9" t="str">
        <f>State_lookup!B8</f>
        <v>Delaware</v>
      </c>
      <c r="B9">
        <f>IFERROR(ROUND(State_lookup!M8/SUM(State_lookup!M2:M49)*National_totals!$C$6, 0), 0)</f>
        <v>0</v>
      </c>
      <c r="C9">
        <f>IFERROR(ROUND(State_lookup!M8/SUM(State_lookup!M2:M49)*National_totals!$D$6, 0), 0)</f>
        <v>0</v>
      </c>
      <c r="D9">
        <f>IFERROR(ROUND(State_lookup!M8/SUM(State_lookup!M2:M49)*National_totals!$E$6, 0), 0)</f>
        <v>52881</v>
      </c>
      <c r="E9">
        <f>IFERROR(ROUND(State_lookup!M8/SUM(State_lookup!M2:M49)*National_totals!$F$6, 0), 0)</f>
        <v>12891</v>
      </c>
      <c r="F9">
        <f>IFERROR(ROUND(State_lookup!M8/SUM(State_lookup!M2:M49)*National_totals!$G$6, 0), 0)</f>
        <v>0</v>
      </c>
      <c r="G9">
        <f>IFERROR(ROUND(State_lookup!M8/SUM(State_lookup!M2:M49)*National_totals!$H$6, 0), 0)</f>
        <v>0</v>
      </c>
      <c r="H9">
        <f>IFERROR(ROUND(State_lookup!M8/SUM(State_lookup!M2:M49)*National_totals!$I$6, 0), 0)</f>
        <v>0</v>
      </c>
    </row>
    <row r="10" spans="1:8" x14ac:dyDescent="0.45">
      <c r="A10" t="str">
        <f>State_lookup!B9</f>
        <v>Florida</v>
      </c>
      <c r="B10">
        <f>IFERROR(ROUND(State_lookup!M9/SUM(State_lookup!M2:M49)*National_totals!$C$6, 0), 0)</f>
        <v>0</v>
      </c>
      <c r="C10">
        <f>IFERROR(ROUND(State_lookup!M9/SUM(State_lookup!M2:M49)*National_totals!$D$6, 0), 0)</f>
        <v>0</v>
      </c>
      <c r="D10">
        <f>IFERROR(ROUND(State_lookup!M9/SUM(State_lookup!M2:M49)*National_totals!$E$6, 0), 0)</f>
        <v>763430</v>
      </c>
      <c r="E10">
        <f>IFERROR(ROUND(State_lookup!M9/SUM(State_lookup!M2:M49)*National_totals!$F$6, 0), 0)</f>
        <v>186109</v>
      </c>
      <c r="F10">
        <f>IFERROR(ROUND(State_lookup!M9/SUM(State_lookup!M2:M49)*National_totals!$G$6, 0), 0)</f>
        <v>0</v>
      </c>
      <c r="G10">
        <f>IFERROR(ROUND(State_lookup!M9/SUM(State_lookup!M2:M49)*National_totals!$H$6, 0), 0)</f>
        <v>0</v>
      </c>
      <c r="H10">
        <f>IFERROR(ROUND(State_lookup!M9/SUM(State_lookup!M2:M49)*National_totals!$I$6, 0), 0)</f>
        <v>0</v>
      </c>
    </row>
    <row r="11" spans="1:8" x14ac:dyDescent="0.45">
      <c r="A11" t="str">
        <f>State_lookup!B10</f>
        <v>Georgia</v>
      </c>
      <c r="B11">
        <f>IFERROR(ROUND(State_lookup!M10/SUM(State_lookup!M2:M49)*National_totals!$C$6, 0), 0)</f>
        <v>0</v>
      </c>
      <c r="C11">
        <f>IFERROR(ROUND(State_lookup!M10/SUM(State_lookup!M2:M49)*National_totals!$D$6, 0), 0)</f>
        <v>0</v>
      </c>
      <c r="D11">
        <f>IFERROR(ROUND(State_lookup!M10/SUM(State_lookup!M2:M49)*National_totals!$E$6, 0), 0)</f>
        <v>283765</v>
      </c>
      <c r="E11">
        <f>IFERROR(ROUND(State_lookup!M10/SUM(State_lookup!M2:M49)*National_totals!$F$6, 0), 0)</f>
        <v>69176</v>
      </c>
      <c r="F11">
        <f>IFERROR(ROUND(State_lookup!M10/SUM(State_lookup!M2:M49)*National_totals!$G$6, 0), 0)</f>
        <v>0</v>
      </c>
      <c r="G11">
        <f>IFERROR(ROUND(State_lookup!M10/SUM(State_lookup!M2:M49)*National_totals!$H$6, 0), 0)</f>
        <v>0</v>
      </c>
      <c r="H11">
        <f>IFERROR(ROUND(State_lookup!M10/SUM(State_lookup!M2:M49)*National_totals!$I$6, 0), 0)</f>
        <v>0</v>
      </c>
    </row>
    <row r="12" spans="1:8" x14ac:dyDescent="0.45">
      <c r="A12" t="str">
        <f>State_lookup!B11</f>
        <v>Idaho</v>
      </c>
      <c r="B12">
        <f>IFERROR(ROUND(State_lookup!M11/SUM(State_lookup!M2:M49)*National_totals!$C$6, 0), 0)</f>
        <v>0</v>
      </c>
      <c r="C12">
        <f>IFERROR(ROUND(State_lookup!M11/SUM(State_lookup!M2:M49)*National_totals!$D$6, 0), 0)</f>
        <v>0</v>
      </c>
      <c r="D12">
        <f>IFERROR(ROUND(State_lookup!M11/SUM(State_lookup!M2:M49)*National_totals!$E$6, 0), 0)</f>
        <v>76853</v>
      </c>
      <c r="E12">
        <f>IFERROR(ROUND(State_lookup!M11/SUM(State_lookup!M2:M49)*National_totals!$F$6, 0), 0)</f>
        <v>18735</v>
      </c>
      <c r="F12">
        <f>IFERROR(ROUND(State_lookup!M11/SUM(State_lookup!M2:M49)*National_totals!$G$6, 0), 0)</f>
        <v>0</v>
      </c>
      <c r="G12">
        <f>IFERROR(ROUND(State_lookup!M11/SUM(State_lookup!M2:M49)*National_totals!$H$6, 0), 0)</f>
        <v>0</v>
      </c>
      <c r="H12">
        <f>IFERROR(ROUND(State_lookup!M11/SUM(State_lookup!M2:M49)*National_totals!$I$6, 0), 0)</f>
        <v>0</v>
      </c>
    </row>
    <row r="13" spans="1:8" x14ac:dyDescent="0.45">
      <c r="A13" t="str">
        <f>State_lookup!B12</f>
        <v>Illinois</v>
      </c>
      <c r="B13">
        <f>IFERROR(ROUND(State_lookup!M12/SUM(State_lookup!M2:M49)*National_totals!$C$6, 0), 0)</f>
        <v>0</v>
      </c>
      <c r="C13">
        <f>IFERROR(ROUND(State_lookup!M12/SUM(State_lookup!M2:M49)*National_totals!$D$6, 0), 0)</f>
        <v>0</v>
      </c>
      <c r="D13">
        <f>IFERROR(ROUND(State_lookup!M12/SUM(State_lookup!M2:M49)*National_totals!$E$6, 0), 0)</f>
        <v>229941</v>
      </c>
      <c r="E13">
        <f>IFERROR(ROUND(State_lookup!M12/SUM(State_lookup!M2:M49)*National_totals!$F$6, 0), 0)</f>
        <v>56055</v>
      </c>
      <c r="F13">
        <f>IFERROR(ROUND(State_lookup!M12/SUM(State_lookup!M2:M49)*National_totals!$G$6, 0), 0)</f>
        <v>0</v>
      </c>
      <c r="G13">
        <f>IFERROR(ROUND(State_lookup!M12/SUM(State_lookup!M2:M49)*National_totals!$H$6, 0), 0)</f>
        <v>0</v>
      </c>
      <c r="H13">
        <f>IFERROR(ROUND(State_lookup!M12/SUM(State_lookup!M2:M49)*National_totals!$I$6, 0), 0)</f>
        <v>0</v>
      </c>
    </row>
    <row r="14" spans="1:8" x14ac:dyDescent="0.45">
      <c r="A14" t="str">
        <f>State_lookup!B13</f>
        <v>Indiana</v>
      </c>
      <c r="B14">
        <f>IFERROR(ROUND(State_lookup!M13/SUM(State_lookup!M2:M49)*National_totals!$C$6, 0), 0)</f>
        <v>0</v>
      </c>
      <c r="C14">
        <f>IFERROR(ROUND(State_lookup!M13/SUM(State_lookup!M2:M49)*National_totals!$D$6, 0), 0)</f>
        <v>0</v>
      </c>
      <c r="D14">
        <f>IFERROR(ROUND(State_lookup!M13/SUM(State_lookup!M2:M49)*National_totals!$E$6, 0), 0)</f>
        <v>198079</v>
      </c>
      <c r="E14">
        <f>IFERROR(ROUND(State_lookup!M13/SUM(State_lookup!M2:M49)*National_totals!$F$6, 0), 0)</f>
        <v>48288</v>
      </c>
      <c r="F14">
        <f>IFERROR(ROUND(State_lookup!M13/SUM(State_lookup!M2:M49)*National_totals!$G$6, 0), 0)</f>
        <v>0</v>
      </c>
      <c r="G14">
        <f>IFERROR(ROUND(State_lookup!M13/SUM(State_lookup!M2:M49)*National_totals!$H$6, 0), 0)</f>
        <v>0</v>
      </c>
      <c r="H14">
        <f>IFERROR(ROUND(State_lookup!M13/SUM(State_lookup!M2:M49)*National_totals!$I$6, 0), 0)</f>
        <v>0</v>
      </c>
    </row>
    <row r="15" spans="1:8" x14ac:dyDescent="0.45">
      <c r="A15" t="str">
        <f>State_lookup!B14</f>
        <v>Iowa</v>
      </c>
      <c r="B15">
        <f>IFERROR(ROUND(State_lookup!M14/SUM(State_lookup!M2:M49)*National_totals!$C$6, 0), 0)</f>
        <v>0</v>
      </c>
      <c r="C15">
        <f>IFERROR(ROUND(State_lookup!M14/SUM(State_lookup!M2:M49)*National_totals!$D$6, 0), 0)</f>
        <v>0</v>
      </c>
      <c r="D15">
        <f>IFERROR(ROUND(State_lookup!M14/SUM(State_lookup!M2:M49)*National_totals!$E$6, 0), 0)</f>
        <v>152356</v>
      </c>
      <c r="E15">
        <f>IFERROR(ROUND(State_lookup!M14/SUM(State_lookup!M2:M49)*National_totals!$F$6, 0), 0)</f>
        <v>37141</v>
      </c>
      <c r="F15">
        <f>IFERROR(ROUND(State_lookup!M14/SUM(State_lookup!M2:M49)*National_totals!$G$6, 0), 0)</f>
        <v>0</v>
      </c>
      <c r="G15">
        <f>IFERROR(ROUND(State_lookup!M14/SUM(State_lookup!M2:M49)*National_totals!$H$6, 0), 0)</f>
        <v>0</v>
      </c>
      <c r="H15">
        <f>IFERROR(ROUND(State_lookup!M14/SUM(State_lookup!M2:M49)*National_totals!$I$6, 0), 0)</f>
        <v>0</v>
      </c>
    </row>
    <row r="16" spans="1:8" x14ac:dyDescent="0.45">
      <c r="A16" t="str">
        <f>State_lookup!B15</f>
        <v>Kansas</v>
      </c>
      <c r="B16">
        <f>IFERROR(ROUND(State_lookup!M15/SUM(State_lookup!M2:M49)*National_totals!$C$6, 0), 0)</f>
        <v>0</v>
      </c>
      <c r="C16">
        <f>IFERROR(ROUND(State_lookup!M15/SUM(State_lookup!M2:M49)*National_totals!$D$6, 0), 0)</f>
        <v>0</v>
      </c>
      <c r="D16">
        <f>IFERROR(ROUND(State_lookup!M15/SUM(State_lookup!M2:M49)*National_totals!$E$6, 0), 0)</f>
        <v>74061</v>
      </c>
      <c r="E16">
        <f>IFERROR(ROUND(State_lookup!M15/SUM(State_lookup!M2:M49)*National_totals!$F$6, 0), 0)</f>
        <v>18055</v>
      </c>
      <c r="F16">
        <f>IFERROR(ROUND(State_lookup!M15/SUM(State_lookup!M2:M49)*National_totals!$G$6, 0), 0)</f>
        <v>0</v>
      </c>
      <c r="G16">
        <f>IFERROR(ROUND(State_lookup!M15/SUM(State_lookup!M2:M49)*National_totals!$H$6, 0), 0)</f>
        <v>0</v>
      </c>
      <c r="H16">
        <f>IFERROR(ROUND(State_lookup!M15/SUM(State_lookup!M2:M49)*National_totals!$I$6, 0), 0)</f>
        <v>0</v>
      </c>
    </row>
    <row r="17" spans="1:8" x14ac:dyDescent="0.45">
      <c r="A17" t="str">
        <f>State_lookup!B16</f>
        <v>Kentucky</v>
      </c>
      <c r="B17">
        <f>IFERROR(ROUND(State_lookup!M16/SUM(State_lookup!M2:M49)*National_totals!$C$6, 0), 0)</f>
        <v>0</v>
      </c>
      <c r="C17">
        <f>IFERROR(ROUND(State_lookup!M16/SUM(State_lookup!M2:M49)*National_totals!$D$6, 0), 0)</f>
        <v>0</v>
      </c>
      <c r="D17">
        <f>IFERROR(ROUND(State_lookup!M16/SUM(State_lookup!M2:M49)*National_totals!$E$6, 0), 0)</f>
        <v>148727</v>
      </c>
      <c r="E17">
        <f>IFERROR(ROUND(State_lookup!M16/SUM(State_lookup!M2:M49)*National_totals!$F$6, 0), 0)</f>
        <v>36257</v>
      </c>
      <c r="F17">
        <f>IFERROR(ROUND(State_lookup!M16/SUM(State_lookup!M2:M49)*National_totals!$G$6, 0), 0)</f>
        <v>0</v>
      </c>
      <c r="G17">
        <f>IFERROR(ROUND(State_lookup!M16/SUM(State_lookup!M2:M49)*National_totals!$H$6, 0), 0)</f>
        <v>0</v>
      </c>
      <c r="H17">
        <f>IFERROR(ROUND(State_lookup!M16/SUM(State_lookup!M2:M49)*National_totals!$I$6, 0), 0)</f>
        <v>0</v>
      </c>
    </row>
    <row r="18" spans="1:8" x14ac:dyDescent="0.45">
      <c r="A18" t="str">
        <f>State_lookup!B17</f>
        <v>Louisiana</v>
      </c>
      <c r="B18">
        <f>IFERROR(ROUND(State_lookup!M17/SUM(State_lookup!M2:M49)*National_totals!$C$6, 0), 0)</f>
        <v>0</v>
      </c>
      <c r="C18">
        <f>IFERROR(ROUND(State_lookup!M17/SUM(State_lookup!M2:M49)*National_totals!$D$6, 0), 0)</f>
        <v>0</v>
      </c>
      <c r="D18">
        <f>IFERROR(ROUND(State_lookup!M17/SUM(State_lookup!M2:M49)*National_totals!$E$6, 0), 0)</f>
        <v>285238</v>
      </c>
      <c r="E18">
        <f>IFERROR(ROUND(State_lookup!M17/SUM(State_lookup!M2:M49)*National_totals!$F$6, 0), 0)</f>
        <v>69535</v>
      </c>
      <c r="F18">
        <f>IFERROR(ROUND(State_lookup!M17/SUM(State_lookup!M2:M49)*National_totals!$G$6, 0), 0)</f>
        <v>0</v>
      </c>
      <c r="G18">
        <f>IFERROR(ROUND(State_lookup!M17/SUM(State_lookup!M2:M49)*National_totals!$H$6, 0), 0)</f>
        <v>0</v>
      </c>
      <c r="H18">
        <f>IFERROR(ROUND(State_lookup!M17/SUM(State_lookup!M2:M49)*National_totals!$I$6, 0), 0)</f>
        <v>0</v>
      </c>
    </row>
    <row r="19" spans="1:8" x14ac:dyDescent="0.45">
      <c r="A19" t="str">
        <f>State_lookup!B18</f>
        <v>Maine</v>
      </c>
      <c r="B19">
        <f>IFERROR(ROUND(State_lookup!M18/SUM(State_lookup!M2:M49)*National_totals!$C$6, 0), 0)</f>
        <v>0</v>
      </c>
      <c r="C19">
        <f>IFERROR(ROUND(State_lookup!M18/SUM(State_lookup!M2:M49)*National_totals!$D$6, 0), 0)</f>
        <v>0</v>
      </c>
      <c r="D19">
        <f>IFERROR(ROUND(State_lookup!M18/SUM(State_lookup!M2:M49)*National_totals!$E$6, 0), 0)</f>
        <v>98748</v>
      </c>
      <c r="E19">
        <f>IFERROR(ROUND(State_lookup!M18/SUM(State_lookup!M2:M49)*National_totals!$F$6, 0), 0)</f>
        <v>24073</v>
      </c>
      <c r="F19">
        <f>IFERROR(ROUND(State_lookup!M18/SUM(State_lookup!M2:M49)*National_totals!$G$6, 0), 0)</f>
        <v>0</v>
      </c>
      <c r="G19">
        <f>IFERROR(ROUND(State_lookup!M18/SUM(State_lookup!M2:M49)*National_totals!$H$6, 0), 0)</f>
        <v>0</v>
      </c>
      <c r="H19">
        <f>IFERROR(ROUND(State_lookup!M18/SUM(State_lookup!M2:M49)*National_totals!$I$6, 0), 0)</f>
        <v>0</v>
      </c>
    </row>
    <row r="20" spans="1:8" x14ac:dyDescent="0.45">
      <c r="A20" t="str">
        <f>State_lookup!B19</f>
        <v>Maryland</v>
      </c>
      <c r="B20">
        <f>IFERROR(ROUND(State_lookup!M19/SUM(State_lookup!M2:M49)*National_totals!$C$6, 0), 0)</f>
        <v>0</v>
      </c>
      <c r="C20">
        <f>IFERROR(ROUND(State_lookup!M19/SUM(State_lookup!M2:M49)*National_totals!$D$6, 0), 0)</f>
        <v>0</v>
      </c>
      <c r="D20">
        <f>IFERROR(ROUND(State_lookup!M19/SUM(State_lookup!M2:M49)*National_totals!$E$6, 0), 0)</f>
        <v>162131</v>
      </c>
      <c r="E20">
        <f>IFERROR(ROUND(State_lookup!M19/SUM(State_lookup!M2:M49)*National_totals!$F$6, 0), 0)</f>
        <v>39524</v>
      </c>
      <c r="F20">
        <f>IFERROR(ROUND(State_lookup!M19/SUM(State_lookup!M2:M49)*National_totals!$G$6, 0), 0)</f>
        <v>0</v>
      </c>
      <c r="G20">
        <f>IFERROR(ROUND(State_lookup!M19/SUM(State_lookup!M2:M49)*National_totals!$H$6, 0), 0)</f>
        <v>0</v>
      </c>
      <c r="H20">
        <f>IFERROR(ROUND(State_lookup!M19/SUM(State_lookup!M2:M49)*National_totals!$I$6, 0), 0)</f>
        <v>0</v>
      </c>
    </row>
    <row r="21" spans="1:8" x14ac:dyDescent="0.45">
      <c r="A21" t="str">
        <f>State_lookup!B20</f>
        <v>Massachusetts</v>
      </c>
      <c r="B21">
        <f>IFERROR(ROUND(State_lookup!M20/SUM(State_lookup!M2:M49)*National_totals!$C$6, 0), 0)</f>
        <v>0</v>
      </c>
      <c r="C21">
        <f>IFERROR(ROUND(State_lookup!M20/SUM(State_lookup!M2:M49)*National_totals!$D$6, 0), 0)</f>
        <v>0</v>
      </c>
      <c r="D21">
        <f>IFERROR(ROUND(State_lookup!M20/SUM(State_lookup!M2:M49)*National_totals!$E$6, 0), 0)</f>
        <v>117410</v>
      </c>
      <c r="E21">
        <f>IFERROR(ROUND(State_lookup!M20/SUM(State_lookup!M2:M49)*National_totals!$F$6, 0), 0)</f>
        <v>28622</v>
      </c>
      <c r="F21">
        <f>IFERROR(ROUND(State_lookup!M20/SUM(State_lookup!M2:M49)*National_totals!$G$6, 0), 0)</f>
        <v>0</v>
      </c>
      <c r="G21">
        <f>IFERROR(ROUND(State_lookup!M20/SUM(State_lookup!M2:M49)*National_totals!$H$6, 0), 0)</f>
        <v>0</v>
      </c>
      <c r="H21">
        <f>IFERROR(ROUND(State_lookup!M20/SUM(State_lookup!M2:M49)*National_totals!$I$6, 0), 0)</f>
        <v>0</v>
      </c>
    </row>
    <row r="22" spans="1:8" x14ac:dyDescent="0.45">
      <c r="A22" t="str">
        <f>State_lookup!B21</f>
        <v>Michigan</v>
      </c>
      <c r="B22">
        <f>IFERROR(ROUND(State_lookup!M21/SUM(State_lookup!M2:M49)*National_totals!$C$6, 0), 0)</f>
        <v>0</v>
      </c>
      <c r="C22">
        <f>IFERROR(ROUND(State_lookup!M21/SUM(State_lookup!M2:M49)*National_totals!$D$6, 0), 0)</f>
        <v>0</v>
      </c>
      <c r="D22">
        <f>IFERROR(ROUND(State_lookup!M21/SUM(State_lookup!M2:M49)*National_totals!$E$6, 0), 0)</f>
        <v>690087</v>
      </c>
      <c r="E22">
        <f>IFERROR(ROUND(State_lookup!M21/SUM(State_lookup!M2:M49)*National_totals!$F$6, 0), 0)</f>
        <v>168229</v>
      </c>
      <c r="F22">
        <f>IFERROR(ROUND(State_lookup!M21/SUM(State_lookup!M2:M49)*National_totals!$G$6, 0), 0)</f>
        <v>0</v>
      </c>
      <c r="G22">
        <f>IFERROR(ROUND(State_lookup!M21/SUM(State_lookup!M2:M49)*National_totals!$H$6, 0), 0)</f>
        <v>0</v>
      </c>
      <c r="H22">
        <f>IFERROR(ROUND(State_lookup!M21/SUM(State_lookup!M2:M49)*National_totals!$I$6, 0), 0)</f>
        <v>0</v>
      </c>
    </row>
    <row r="23" spans="1:8" x14ac:dyDescent="0.45">
      <c r="A23" t="str">
        <f>State_lookup!B22</f>
        <v>Minnesota</v>
      </c>
      <c r="B23">
        <f>IFERROR(ROUND(State_lookup!M22/SUM(State_lookup!M2:M49)*National_totals!$C$6, 0), 0)</f>
        <v>0</v>
      </c>
      <c r="C23">
        <f>IFERROR(ROUND(State_lookup!M22/SUM(State_lookup!M2:M49)*National_totals!$D$6, 0), 0)</f>
        <v>0</v>
      </c>
      <c r="D23">
        <f>IFERROR(ROUND(State_lookup!M22/SUM(State_lookup!M2:M49)*National_totals!$E$6, 0), 0)</f>
        <v>546093</v>
      </c>
      <c r="E23">
        <f>IFERROR(ROUND(State_lookup!M22/SUM(State_lookup!M2:M49)*National_totals!$F$6, 0), 0)</f>
        <v>133126</v>
      </c>
      <c r="F23">
        <f>IFERROR(ROUND(State_lookup!M22/SUM(State_lookup!M2:M49)*National_totals!$G$6, 0), 0)</f>
        <v>0</v>
      </c>
      <c r="G23">
        <f>IFERROR(ROUND(State_lookup!M22/SUM(State_lookup!M2:M49)*National_totals!$H$6, 0), 0)</f>
        <v>0</v>
      </c>
      <c r="H23">
        <f>IFERROR(ROUND(State_lookup!M22/SUM(State_lookup!M2:M49)*National_totals!$I$6, 0), 0)</f>
        <v>0</v>
      </c>
    </row>
    <row r="24" spans="1:8" x14ac:dyDescent="0.45">
      <c r="A24" t="str">
        <f>State_lookup!B23</f>
        <v>Mississippi</v>
      </c>
      <c r="B24">
        <f>IFERROR(ROUND(State_lookup!M23/SUM(State_lookup!M2:M49)*National_totals!$C$6, 0), 0)</f>
        <v>0</v>
      </c>
      <c r="C24">
        <f>IFERROR(ROUND(State_lookup!M23/SUM(State_lookup!M2:M49)*National_totals!$D$6, 0), 0)</f>
        <v>0</v>
      </c>
      <c r="D24">
        <f>IFERROR(ROUND(State_lookup!M23/SUM(State_lookup!M2:M49)*National_totals!$E$6, 0), 0)</f>
        <v>120952</v>
      </c>
      <c r="E24">
        <f>IFERROR(ROUND(State_lookup!M23/SUM(State_lookup!M2:M49)*National_totals!$F$6, 0), 0)</f>
        <v>29486</v>
      </c>
      <c r="F24">
        <f>IFERROR(ROUND(State_lookup!M23/SUM(State_lookup!M2:M49)*National_totals!$G$6, 0), 0)</f>
        <v>0</v>
      </c>
      <c r="G24">
        <f>IFERROR(ROUND(State_lookup!M23/SUM(State_lookup!M2:M49)*National_totals!$H$6, 0), 0)</f>
        <v>0</v>
      </c>
      <c r="H24">
        <f>IFERROR(ROUND(State_lookup!M23/SUM(State_lookup!M2:M49)*National_totals!$I$6, 0), 0)</f>
        <v>0</v>
      </c>
    </row>
    <row r="25" spans="1:8" x14ac:dyDescent="0.45">
      <c r="A25" t="str">
        <f>State_lookup!B24</f>
        <v>Missouri</v>
      </c>
      <c r="B25">
        <f>IFERROR(ROUND(State_lookup!M24/SUM(State_lookup!M2:M49)*National_totals!$C$6, 0), 0)</f>
        <v>0</v>
      </c>
      <c r="C25">
        <f>IFERROR(ROUND(State_lookup!M24/SUM(State_lookup!M2:M49)*National_totals!$D$6, 0), 0)</f>
        <v>0</v>
      </c>
      <c r="D25">
        <f>IFERROR(ROUND(State_lookup!M24/SUM(State_lookup!M2:M49)*National_totals!$E$6, 0), 0)</f>
        <v>274119</v>
      </c>
      <c r="E25">
        <f>IFERROR(ROUND(State_lookup!M24/SUM(State_lookup!M2:M49)*National_totals!$F$6, 0), 0)</f>
        <v>66825</v>
      </c>
      <c r="F25">
        <f>IFERROR(ROUND(State_lookup!M24/SUM(State_lookup!M2:M49)*National_totals!$G$6, 0), 0)</f>
        <v>0</v>
      </c>
      <c r="G25">
        <f>IFERROR(ROUND(State_lookup!M24/SUM(State_lookup!M2:M49)*National_totals!$H$6, 0), 0)</f>
        <v>0</v>
      </c>
      <c r="H25">
        <f>IFERROR(ROUND(State_lookup!M24/SUM(State_lookup!M2:M49)*National_totals!$I$6, 0), 0)</f>
        <v>0</v>
      </c>
    </row>
    <row r="26" spans="1:8" x14ac:dyDescent="0.45">
      <c r="A26" t="str">
        <f>State_lookup!B25</f>
        <v>Montana</v>
      </c>
      <c r="B26">
        <f>IFERROR(ROUND(State_lookup!M25/SUM(State_lookup!M2:M49)*National_totals!$C$6, 0), 0)</f>
        <v>0</v>
      </c>
      <c r="C26">
        <f>IFERROR(ROUND(State_lookup!M25/SUM(State_lookup!M2:M49)*National_totals!$D$6, 0), 0)</f>
        <v>0</v>
      </c>
      <c r="D26">
        <f>IFERROR(ROUND(State_lookup!M25/SUM(State_lookup!M2:M49)*National_totals!$E$6, 0), 0)</f>
        <v>58001</v>
      </c>
      <c r="E26">
        <f>IFERROR(ROUND(State_lookup!M25/SUM(State_lookup!M2:M49)*National_totals!$F$6, 0), 0)</f>
        <v>14140</v>
      </c>
      <c r="F26">
        <f>IFERROR(ROUND(State_lookup!M25/SUM(State_lookup!M2:M49)*National_totals!$G$6, 0), 0)</f>
        <v>0</v>
      </c>
      <c r="G26">
        <f>IFERROR(ROUND(State_lookup!M25/SUM(State_lookup!M2:M49)*National_totals!$H$6, 0), 0)</f>
        <v>0</v>
      </c>
      <c r="H26">
        <f>IFERROR(ROUND(State_lookup!M25/SUM(State_lookup!M2:M49)*National_totals!$I$6, 0), 0)</f>
        <v>0</v>
      </c>
    </row>
    <row r="27" spans="1:8" x14ac:dyDescent="0.45">
      <c r="A27" t="str">
        <f>State_lookup!B26</f>
        <v>Nebraska</v>
      </c>
      <c r="B27">
        <f>IFERROR(ROUND(State_lookup!M26/SUM(State_lookup!M2:M49)*National_totals!$C$6, 0), 0)</f>
        <v>0</v>
      </c>
      <c r="C27">
        <f>IFERROR(ROUND(State_lookup!M26/SUM(State_lookup!M2:M49)*National_totals!$D$6, 0), 0)</f>
        <v>0</v>
      </c>
      <c r="D27">
        <f>IFERROR(ROUND(State_lookup!M26/SUM(State_lookup!M2:M49)*National_totals!$E$6, 0), 0)</f>
        <v>77093</v>
      </c>
      <c r="E27">
        <f>IFERROR(ROUND(State_lookup!M26/SUM(State_lookup!M2:M49)*National_totals!$F$6, 0), 0)</f>
        <v>18794</v>
      </c>
      <c r="F27">
        <f>IFERROR(ROUND(State_lookup!M26/SUM(State_lookup!M2:M49)*National_totals!$G$6, 0), 0)</f>
        <v>0</v>
      </c>
      <c r="G27">
        <f>IFERROR(ROUND(State_lookup!M26/SUM(State_lookup!M2:M49)*National_totals!$H$6, 0), 0)</f>
        <v>0</v>
      </c>
      <c r="H27">
        <f>IFERROR(ROUND(State_lookup!M26/SUM(State_lookup!M2:M49)*National_totals!$I$6, 0), 0)</f>
        <v>0</v>
      </c>
    </row>
    <row r="28" spans="1:8" x14ac:dyDescent="0.45">
      <c r="A28" t="str">
        <f>State_lookup!B27</f>
        <v>Nevada</v>
      </c>
      <c r="B28">
        <f>IFERROR(ROUND(State_lookup!M27/SUM(State_lookup!M2:M49)*National_totals!$C$6, 0), 0)</f>
        <v>0</v>
      </c>
      <c r="C28">
        <f>IFERROR(ROUND(State_lookup!M27/SUM(State_lookup!M2:M49)*National_totals!$D$6, 0), 0)</f>
        <v>0</v>
      </c>
      <c r="D28">
        <f>IFERROR(ROUND(State_lookup!M27/SUM(State_lookup!M2:M49)*National_totals!$E$6, 0), 0)</f>
        <v>41543</v>
      </c>
      <c r="E28">
        <f>IFERROR(ROUND(State_lookup!M27/SUM(State_lookup!M2:M49)*National_totals!$F$6, 0), 0)</f>
        <v>10127</v>
      </c>
      <c r="F28">
        <f>IFERROR(ROUND(State_lookup!M27/SUM(State_lookup!M2:M49)*National_totals!$G$6, 0), 0)</f>
        <v>0</v>
      </c>
      <c r="G28">
        <f>IFERROR(ROUND(State_lookup!M27/SUM(State_lookup!M2:M49)*National_totals!$H$6, 0), 0)</f>
        <v>0</v>
      </c>
      <c r="H28">
        <f>IFERROR(ROUND(State_lookup!M27/SUM(State_lookup!M2:M49)*National_totals!$I$6, 0), 0)</f>
        <v>0</v>
      </c>
    </row>
    <row r="29" spans="1:8" x14ac:dyDescent="0.45">
      <c r="A29" t="str">
        <f>State_lookup!B28</f>
        <v>New Hampshire</v>
      </c>
      <c r="B29">
        <f>IFERROR(ROUND(State_lookup!M28/SUM(State_lookup!M2:M49)*National_totals!$C$6, 0), 0)</f>
        <v>0</v>
      </c>
      <c r="C29">
        <f>IFERROR(ROUND(State_lookup!M28/SUM(State_lookup!M2:M49)*National_totals!$D$6, 0), 0)</f>
        <v>0</v>
      </c>
      <c r="D29">
        <f>IFERROR(ROUND(State_lookup!M28/SUM(State_lookup!M2:M49)*National_totals!$E$6, 0), 0)</f>
        <v>82180</v>
      </c>
      <c r="E29">
        <f>IFERROR(ROUND(State_lookup!M28/SUM(State_lookup!M2:M49)*National_totals!$F$6, 0), 0)</f>
        <v>20034</v>
      </c>
      <c r="F29">
        <f>IFERROR(ROUND(State_lookup!M28/SUM(State_lookup!M2:M49)*National_totals!$G$6, 0), 0)</f>
        <v>0</v>
      </c>
      <c r="G29">
        <f>IFERROR(ROUND(State_lookup!M28/SUM(State_lookup!M2:M49)*National_totals!$H$6, 0), 0)</f>
        <v>0</v>
      </c>
      <c r="H29">
        <f>IFERROR(ROUND(State_lookup!M28/SUM(State_lookup!M2:M49)*National_totals!$I$6, 0), 0)</f>
        <v>0</v>
      </c>
    </row>
    <row r="30" spans="1:8" x14ac:dyDescent="0.45">
      <c r="A30" t="str">
        <f>State_lookup!B29</f>
        <v>New Jersey</v>
      </c>
      <c r="B30">
        <f>IFERROR(ROUND(State_lookup!M29/SUM(State_lookup!M2:M49)*National_totals!$C$6, 0), 0)</f>
        <v>0</v>
      </c>
      <c r="C30">
        <f>IFERROR(ROUND(State_lookup!M29/SUM(State_lookup!M2:M49)*National_totals!$D$6, 0), 0)</f>
        <v>0</v>
      </c>
      <c r="D30">
        <f>IFERROR(ROUND(State_lookup!M29/SUM(State_lookup!M2:M49)*National_totals!$E$6, 0), 0)</f>
        <v>139757</v>
      </c>
      <c r="E30">
        <f>IFERROR(ROUND(State_lookup!M29/SUM(State_lookup!M2:M49)*National_totals!$F$6, 0), 0)</f>
        <v>34070</v>
      </c>
      <c r="F30">
        <f>IFERROR(ROUND(State_lookup!M29/SUM(State_lookup!M2:M49)*National_totals!$G$6, 0), 0)</f>
        <v>0</v>
      </c>
      <c r="G30">
        <f>IFERROR(ROUND(State_lookup!M29/SUM(State_lookup!M2:M49)*National_totals!$H$6, 0), 0)</f>
        <v>0</v>
      </c>
      <c r="H30">
        <f>IFERROR(ROUND(State_lookup!M29/SUM(State_lookup!M2:M49)*National_totals!$I$6, 0), 0)</f>
        <v>0</v>
      </c>
    </row>
    <row r="31" spans="1:8" x14ac:dyDescent="0.45">
      <c r="A31" t="str">
        <f>State_lookup!B30</f>
        <v>New Mexico</v>
      </c>
      <c r="B31">
        <f>IFERROR(ROUND(State_lookup!M30/SUM(State_lookup!M2:M49)*National_totals!$C$6, 0), 0)</f>
        <v>0</v>
      </c>
      <c r="C31">
        <f>IFERROR(ROUND(State_lookup!M30/SUM(State_lookup!M2:M49)*National_totals!$D$6, 0), 0)</f>
        <v>0</v>
      </c>
      <c r="D31">
        <f>IFERROR(ROUND(State_lookup!M30/SUM(State_lookup!M2:M49)*National_totals!$E$6, 0), 0)</f>
        <v>31388</v>
      </c>
      <c r="E31">
        <f>IFERROR(ROUND(State_lookup!M30/SUM(State_lookup!M2:M49)*National_totals!$F$6, 0), 0)</f>
        <v>7652</v>
      </c>
      <c r="F31">
        <f>IFERROR(ROUND(State_lookup!M30/SUM(State_lookup!M2:M49)*National_totals!$G$6, 0), 0)</f>
        <v>0</v>
      </c>
      <c r="G31">
        <f>IFERROR(ROUND(State_lookup!M30/SUM(State_lookup!M2:M49)*National_totals!$H$6, 0), 0)</f>
        <v>0</v>
      </c>
      <c r="H31">
        <f>IFERROR(ROUND(State_lookup!M30/SUM(State_lookup!M2:M49)*National_totals!$I$6, 0), 0)</f>
        <v>0</v>
      </c>
    </row>
    <row r="32" spans="1:8" x14ac:dyDescent="0.45">
      <c r="A32" t="str">
        <f>State_lookup!B31</f>
        <v>New York</v>
      </c>
      <c r="B32">
        <f>IFERROR(ROUND(State_lookup!M31/SUM(State_lookup!M2:M49)*National_totals!$C$6, 0), 0)</f>
        <v>0</v>
      </c>
      <c r="C32">
        <f>IFERROR(ROUND(State_lookup!M31/SUM(State_lookup!M2:M49)*National_totals!$D$6, 0), 0)</f>
        <v>0</v>
      </c>
      <c r="D32">
        <f>IFERROR(ROUND(State_lookup!M31/SUM(State_lookup!M2:M49)*National_totals!$E$6, 0), 0)</f>
        <v>423870</v>
      </c>
      <c r="E32">
        <f>IFERROR(ROUND(State_lookup!M31/SUM(State_lookup!M2:M49)*National_totals!$F$6, 0), 0)</f>
        <v>103331</v>
      </c>
      <c r="F32">
        <f>IFERROR(ROUND(State_lookup!M31/SUM(State_lookup!M2:M49)*National_totals!$G$6, 0), 0)</f>
        <v>0</v>
      </c>
      <c r="G32">
        <f>IFERROR(ROUND(State_lookup!M31/SUM(State_lookup!M2:M49)*National_totals!$H$6, 0), 0)</f>
        <v>0</v>
      </c>
      <c r="H32">
        <f>IFERROR(ROUND(State_lookup!M31/SUM(State_lookup!M2:M49)*National_totals!$I$6, 0), 0)</f>
        <v>0</v>
      </c>
    </row>
    <row r="33" spans="1:8" x14ac:dyDescent="0.45">
      <c r="A33" t="str">
        <f>State_lookup!B32</f>
        <v>North Carolina</v>
      </c>
      <c r="B33">
        <f>IFERROR(ROUND(State_lookup!M32/SUM(State_lookup!M2:M49)*National_totals!$C$6, 0), 0)</f>
        <v>0</v>
      </c>
      <c r="C33">
        <f>IFERROR(ROUND(State_lookup!M32/SUM(State_lookup!M2:M49)*National_totals!$D$6, 0), 0)</f>
        <v>0</v>
      </c>
      <c r="D33">
        <f>IFERROR(ROUND(State_lookup!M32/SUM(State_lookup!M2:M49)*National_totals!$E$6, 0), 0)</f>
        <v>353706</v>
      </c>
      <c r="E33">
        <f>IFERROR(ROUND(State_lookup!M32/SUM(State_lookup!M2:M49)*National_totals!$F$6, 0), 0)</f>
        <v>86226</v>
      </c>
      <c r="F33">
        <f>IFERROR(ROUND(State_lookup!M32/SUM(State_lookup!M2:M49)*National_totals!$G$6, 0), 0)</f>
        <v>0</v>
      </c>
      <c r="G33">
        <f>IFERROR(ROUND(State_lookup!M32/SUM(State_lookup!M2:M49)*National_totals!$H$6, 0), 0)</f>
        <v>0</v>
      </c>
      <c r="H33">
        <f>IFERROR(ROUND(State_lookup!M32/SUM(State_lookup!M2:M49)*National_totals!$I$6, 0), 0)</f>
        <v>0</v>
      </c>
    </row>
    <row r="34" spans="1:8" x14ac:dyDescent="0.45">
      <c r="A34" t="str">
        <f>State_lookup!B33</f>
        <v>North Dakota</v>
      </c>
      <c r="B34">
        <f>IFERROR(ROUND(State_lookup!M33/SUM(State_lookup!M2:M49)*National_totals!$C$6, 0), 0)</f>
        <v>0</v>
      </c>
      <c r="C34">
        <f>IFERROR(ROUND(State_lookup!M33/SUM(State_lookup!M2:M49)*National_totals!$D$6, 0), 0)</f>
        <v>0</v>
      </c>
      <c r="D34">
        <f>IFERROR(ROUND(State_lookup!M33/SUM(State_lookup!M2:M49)*National_totals!$E$6, 0), 0)</f>
        <v>63220</v>
      </c>
      <c r="E34">
        <f>IFERROR(ROUND(State_lookup!M33/SUM(State_lookup!M2:M49)*National_totals!$F$6, 0), 0)</f>
        <v>15412</v>
      </c>
      <c r="F34">
        <f>IFERROR(ROUND(State_lookup!M33/SUM(State_lookup!M2:M49)*National_totals!$G$6, 0), 0)</f>
        <v>0</v>
      </c>
      <c r="G34">
        <f>IFERROR(ROUND(State_lookup!M33/SUM(State_lookup!M2:M49)*National_totals!$H$6, 0), 0)</f>
        <v>0</v>
      </c>
      <c r="H34">
        <f>IFERROR(ROUND(State_lookup!M33/SUM(State_lookup!M2:M49)*National_totals!$I$6, 0), 0)</f>
        <v>0</v>
      </c>
    </row>
    <row r="35" spans="1:8" x14ac:dyDescent="0.45">
      <c r="A35" t="str">
        <f>State_lookup!B34</f>
        <v>Ohio</v>
      </c>
      <c r="B35">
        <f>IFERROR(ROUND(State_lookup!M34/SUM(State_lookup!M2:M49)*National_totals!$C$6, 0), 0)</f>
        <v>0</v>
      </c>
      <c r="C35">
        <f>IFERROR(ROUND(State_lookup!M34/SUM(State_lookup!M2:M49)*National_totals!$D$6, 0), 0)</f>
        <v>0</v>
      </c>
      <c r="D35">
        <f>IFERROR(ROUND(State_lookup!M34/SUM(State_lookup!M2:M49)*National_totals!$E$6, 0), 0)</f>
        <v>283476</v>
      </c>
      <c r="E35">
        <f>IFERROR(ROUND(State_lookup!M34/SUM(State_lookup!M2:M49)*National_totals!$F$6, 0), 0)</f>
        <v>69106</v>
      </c>
      <c r="F35">
        <f>IFERROR(ROUND(State_lookup!M34/SUM(State_lookup!M2:M49)*National_totals!$G$6, 0), 0)</f>
        <v>0</v>
      </c>
      <c r="G35">
        <f>IFERROR(ROUND(State_lookup!M34/SUM(State_lookup!M2:M49)*National_totals!$H$6, 0), 0)</f>
        <v>0</v>
      </c>
      <c r="H35">
        <f>IFERROR(ROUND(State_lookup!M34/SUM(State_lookup!M2:M49)*National_totals!$I$6, 0), 0)</f>
        <v>0</v>
      </c>
    </row>
    <row r="36" spans="1:8" x14ac:dyDescent="0.45">
      <c r="A36" t="str">
        <f>State_lookup!B35</f>
        <v>Oklahoma</v>
      </c>
      <c r="B36">
        <f>IFERROR(ROUND(State_lookup!M35/SUM(State_lookup!M2:M49)*National_totals!$C$6, 0), 0)</f>
        <v>0</v>
      </c>
      <c r="C36">
        <f>IFERROR(ROUND(State_lookup!M35/SUM(State_lookup!M2:M49)*National_totals!$D$6, 0), 0)</f>
        <v>0</v>
      </c>
      <c r="D36">
        <f>IFERROR(ROUND(State_lookup!M35/SUM(State_lookup!M2:M49)*National_totals!$E$6, 0), 0)</f>
        <v>180719</v>
      </c>
      <c r="E36">
        <f>IFERROR(ROUND(State_lookup!M35/SUM(State_lookup!M2:M49)*National_totals!$F$6, 0), 0)</f>
        <v>44056</v>
      </c>
      <c r="F36">
        <f>IFERROR(ROUND(State_lookup!M35/SUM(State_lookup!M2:M49)*National_totals!$G$6, 0), 0)</f>
        <v>0</v>
      </c>
      <c r="G36">
        <f>IFERROR(ROUND(State_lookup!M35/SUM(State_lookup!M2:M49)*National_totals!$H$6, 0), 0)</f>
        <v>0</v>
      </c>
      <c r="H36">
        <f>IFERROR(ROUND(State_lookup!M35/SUM(State_lookup!M2:M49)*National_totals!$I$6, 0), 0)</f>
        <v>0</v>
      </c>
    </row>
    <row r="37" spans="1:8" x14ac:dyDescent="0.45">
      <c r="A37" t="str">
        <f>State_lookup!B36</f>
        <v>Oregon</v>
      </c>
      <c r="B37">
        <f>IFERROR(ROUND(State_lookup!M36/SUM(State_lookup!M2:M49)*National_totals!$C$6, 0), 0)</f>
        <v>0</v>
      </c>
      <c r="C37">
        <f>IFERROR(ROUND(State_lookup!M36/SUM(State_lookup!M2:M49)*National_totals!$D$6, 0), 0)</f>
        <v>0</v>
      </c>
      <c r="D37">
        <f>IFERROR(ROUND(State_lookup!M36/SUM(State_lookup!M2:M49)*National_totals!$E$6, 0), 0)</f>
        <v>152687</v>
      </c>
      <c r="E37">
        <f>IFERROR(ROUND(State_lookup!M36/SUM(State_lookup!M2:M49)*National_totals!$F$6, 0), 0)</f>
        <v>37222</v>
      </c>
      <c r="F37">
        <f>IFERROR(ROUND(State_lookup!M36/SUM(State_lookup!M2:M49)*National_totals!$G$6, 0), 0)</f>
        <v>0</v>
      </c>
      <c r="G37">
        <f>IFERROR(ROUND(State_lookup!M36/SUM(State_lookup!M2:M49)*National_totals!$H$6, 0), 0)</f>
        <v>0</v>
      </c>
      <c r="H37">
        <f>IFERROR(ROUND(State_lookup!M36/SUM(State_lookup!M2:M49)*National_totals!$I$6, 0), 0)</f>
        <v>0</v>
      </c>
    </row>
    <row r="38" spans="1:8" x14ac:dyDescent="0.45">
      <c r="A38" t="str">
        <f>State_lookup!B37</f>
        <v>Pennsylvania</v>
      </c>
      <c r="B38">
        <f>IFERROR(ROUND(State_lookup!M37/SUM(State_lookup!M2:M49)*National_totals!$C$6, 0), 0)</f>
        <v>0</v>
      </c>
      <c r="C38">
        <f>IFERROR(ROUND(State_lookup!M37/SUM(State_lookup!M2:M49)*National_totals!$D$6, 0), 0)</f>
        <v>0</v>
      </c>
      <c r="D38">
        <f>IFERROR(ROUND(State_lookup!M37/SUM(State_lookup!M2:M49)*National_totals!$E$6, 0), 0)</f>
        <v>269239</v>
      </c>
      <c r="E38">
        <f>IFERROR(ROUND(State_lookup!M37/SUM(State_lookup!M2:M49)*National_totals!$F$6, 0), 0)</f>
        <v>65635</v>
      </c>
      <c r="F38">
        <f>IFERROR(ROUND(State_lookup!M37/SUM(State_lookup!M2:M49)*National_totals!$G$6, 0), 0)</f>
        <v>0</v>
      </c>
      <c r="G38">
        <f>IFERROR(ROUND(State_lookup!M37/SUM(State_lookup!M2:M49)*National_totals!$H$6, 0), 0)</f>
        <v>0</v>
      </c>
      <c r="H38">
        <f>IFERROR(ROUND(State_lookup!M37/SUM(State_lookup!M2:M49)*National_totals!$I$6, 0), 0)</f>
        <v>0</v>
      </c>
    </row>
    <row r="39" spans="1:8" x14ac:dyDescent="0.45">
      <c r="A39" t="str">
        <f>State_lookup!B38</f>
        <v>Rhode Island</v>
      </c>
      <c r="B39">
        <f>IFERROR(ROUND(State_lookup!M38/SUM(State_lookup!M2:M49)*National_totals!$C$6, 0), 0)</f>
        <v>0</v>
      </c>
      <c r="C39">
        <f>IFERROR(ROUND(State_lookup!M38/SUM(State_lookup!M2:M49)*National_totals!$D$6, 0), 0)</f>
        <v>0</v>
      </c>
      <c r="D39">
        <f>IFERROR(ROUND(State_lookup!M38/SUM(State_lookup!M2:M49)*National_totals!$E$6, 0), 0)</f>
        <v>35150</v>
      </c>
      <c r="E39">
        <f>IFERROR(ROUND(State_lookup!M38/SUM(State_lookup!M2:M49)*National_totals!$F$6, 0), 0)</f>
        <v>8569</v>
      </c>
      <c r="F39">
        <f>IFERROR(ROUND(State_lookup!M38/SUM(State_lookup!M2:M49)*National_totals!$G$6, 0), 0)</f>
        <v>0</v>
      </c>
      <c r="G39">
        <f>IFERROR(ROUND(State_lookup!M38/SUM(State_lookup!M2:M49)*National_totals!$H$6, 0), 0)</f>
        <v>0</v>
      </c>
      <c r="H39">
        <f>IFERROR(ROUND(State_lookup!M38/SUM(State_lookup!M2:M49)*National_totals!$I$6, 0), 0)</f>
        <v>0</v>
      </c>
    </row>
    <row r="40" spans="1:8" x14ac:dyDescent="0.45">
      <c r="A40" t="str">
        <f>State_lookup!B39</f>
        <v>South Carolina</v>
      </c>
      <c r="B40">
        <f>IFERROR(ROUND(State_lookup!M39/SUM(State_lookup!M2:M49)*National_totals!$C$6, 0), 0)</f>
        <v>0</v>
      </c>
      <c r="C40">
        <f>IFERROR(ROUND(State_lookup!M39/SUM(State_lookup!M2:M49)*National_totals!$D$6, 0), 0)</f>
        <v>0</v>
      </c>
      <c r="D40">
        <f>IFERROR(ROUND(State_lookup!M39/SUM(State_lookup!M2:M49)*National_totals!$E$6, 0), 0)</f>
        <v>408979</v>
      </c>
      <c r="E40">
        <f>IFERROR(ROUND(State_lookup!M39/SUM(State_lookup!M2:M49)*National_totals!$F$6, 0), 0)</f>
        <v>99701</v>
      </c>
      <c r="F40">
        <f>IFERROR(ROUND(State_lookup!M39/SUM(State_lookup!M2:M49)*National_totals!$G$6, 0), 0)</f>
        <v>0</v>
      </c>
      <c r="G40">
        <f>IFERROR(ROUND(State_lookup!M39/SUM(State_lookup!M2:M49)*National_totals!$H$6, 0), 0)</f>
        <v>0</v>
      </c>
      <c r="H40">
        <f>IFERROR(ROUND(State_lookup!M39/SUM(State_lookup!M2:M49)*National_totals!$I$6, 0), 0)</f>
        <v>0</v>
      </c>
    </row>
    <row r="41" spans="1:8" x14ac:dyDescent="0.45">
      <c r="A41" t="str">
        <f>State_lookup!B40</f>
        <v>South Dakota</v>
      </c>
      <c r="B41">
        <f>IFERROR(ROUND(State_lookup!M40/SUM(State_lookup!M2:M49)*National_totals!$C$6, 0), 0)</f>
        <v>0</v>
      </c>
      <c r="C41">
        <f>IFERROR(ROUND(State_lookup!M40/SUM(State_lookup!M2:M49)*National_totals!$D$6, 0), 0)</f>
        <v>0</v>
      </c>
      <c r="D41">
        <f>IFERROR(ROUND(State_lookup!M40/SUM(State_lookup!M2:M49)*National_totals!$E$6, 0), 0)</f>
        <v>49171</v>
      </c>
      <c r="E41">
        <f>IFERROR(ROUND(State_lookup!M40/SUM(State_lookup!M2:M49)*National_totals!$F$6, 0), 0)</f>
        <v>11987</v>
      </c>
      <c r="F41">
        <f>IFERROR(ROUND(State_lookup!M40/SUM(State_lookup!M2:M49)*National_totals!$G$6, 0), 0)</f>
        <v>0</v>
      </c>
      <c r="G41">
        <f>IFERROR(ROUND(State_lookup!M40/SUM(State_lookup!M2:M49)*National_totals!$H$6, 0), 0)</f>
        <v>0</v>
      </c>
      <c r="H41">
        <f>IFERROR(ROUND(State_lookup!M40/SUM(State_lookup!M2:M49)*National_totals!$I$6, 0), 0)</f>
        <v>0</v>
      </c>
    </row>
    <row r="42" spans="1:8" x14ac:dyDescent="0.45">
      <c r="A42" t="str">
        <f>State_lookup!B41</f>
        <v>Tennessee</v>
      </c>
      <c r="B42">
        <f>IFERROR(ROUND(State_lookup!M41/SUM(State_lookup!M2:M49)*National_totals!$C$6, 0), 0)</f>
        <v>0</v>
      </c>
      <c r="C42">
        <f>IFERROR(ROUND(State_lookup!M41/SUM(State_lookup!M2:M49)*National_totals!$D$6, 0), 0)</f>
        <v>0</v>
      </c>
      <c r="D42">
        <f>IFERROR(ROUND(State_lookup!M41/SUM(State_lookup!M2:M49)*National_totals!$E$6, 0), 0)</f>
        <v>238317</v>
      </c>
      <c r="E42">
        <f>IFERROR(ROUND(State_lookup!M41/SUM(State_lookup!M2:M49)*National_totals!$F$6, 0), 0)</f>
        <v>58097</v>
      </c>
      <c r="F42">
        <f>IFERROR(ROUND(State_lookup!M41/SUM(State_lookup!M2:M49)*National_totals!$G$6, 0), 0)</f>
        <v>0</v>
      </c>
      <c r="G42">
        <f>IFERROR(ROUND(State_lookup!M41/SUM(State_lookup!M2:M49)*National_totals!$H$6, 0), 0)</f>
        <v>0</v>
      </c>
      <c r="H42">
        <f>IFERROR(ROUND(State_lookup!M41/SUM(State_lookup!M2:M49)*National_totals!$I$6, 0), 0)</f>
        <v>0</v>
      </c>
    </row>
    <row r="43" spans="1:8" x14ac:dyDescent="0.45">
      <c r="A43" t="str">
        <f>State_lookup!B42</f>
        <v>Texas</v>
      </c>
      <c r="B43">
        <f>IFERROR(ROUND(State_lookup!M42/SUM(State_lookup!M2:M49)*National_totals!$C$6, 0), 0)</f>
        <v>0</v>
      </c>
      <c r="C43">
        <f>IFERROR(ROUND(State_lookup!M42/SUM(State_lookup!M2:M49)*National_totals!$D$6, 0), 0)</f>
        <v>0</v>
      </c>
      <c r="D43">
        <f>IFERROR(ROUND(State_lookup!M42/SUM(State_lookup!M2:M49)*National_totals!$E$6, 0), 0)</f>
        <v>524412</v>
      </c>
      <c r="E43">
        <f>IFERROR(ROUND(State_lookup!M42/SUM(State_lookup!M2:M49)*National_totals!$F$6, 0), 0)</f>
        <v>127841</v>
      </c>
      <c r="F43">
        <f>IFERROR(ROUND(State_lookup!M42/SUM(State_lookup!M2:M49)*National_totals!$G$6, 0), 0)</f>
        <v>0</v>
      </c>
      <c r="G43">
        <f>IFERROR(ROUND(State_lookup!M42/SUM(State_lookup!M2:M49)*National_totals!$H$6, 0), 0)</f>
        <v>0</v>
      </c>
      <c r="H43">
        <f>IFERROR(ROUND(State_lookup!M42/SUM(State_lookup!M2:M49)*National_totals!$I$6, 0), 0)</f>
        <v>0</v>
      </c>
    </row>
    <row r="44" spans="1:8" x14ac:dyDescent="0.45">
      <c r="A44" t="str">
        <f>State_lookup!B43</f>
        <v>Utah</v>
      </c>
      <c r="B44">
        <f>IFERROR(ROUND(State_lookup!M43/SUM(State_lookup!M2:M49)*National_totals!$C$6, 0), 0)</f>
        <v>0</v>
      </c>
      <c r="C44">
        <f>IFERROR(ROUND(State_lookup!M43/SUM(State_lookup!M2:M49)*National_totals!$D$6, 0), 0)</f>
        <v>0</v>
      </c>
      <c r="D44">
        <f>IFERROR(ROUND(State_lookup!M43/SUM(State_lookup!M2:M49)*National_totals!$E$6, 0), 0)</f>
        <v>60420</v>
      </c>
      <c r="E44">
        <f>IFERROR(ROUND(State_lookup!M43/SUM(State_lookup!M2:M49)*National_totals!$F$6, 0), 0)</f>
        <v>14729</v>
      </c>
      <c r="F44">
        <f>IFERROR(ROUND(State_lookup!M43/SUM(State_lookup!M2:M49)*National_totals!$G$6, 0), 0)</f>
        <v>0</v>
      </c>
      <c r="G44">
        <f>IFERROR(ROUND(State_lookup!M43/SUM(State_lookup!M2:M49)*National_totals!$H$6, 0), 0)</f>
        <v>0</v>
      </c>
      <c r="H44">
        <f>IFERROR(ROUND(State_lookup!M43/SUM(State_lookup!M2:M49)*National_totals!$I$6, 0), 0)</f>
        <v>0</v>
      </c>
    </row>
    <row r="45" spans="1:8" x14ac:dyDescent="0.45">
      <c r="A45" t="str">
        <f>State_lookup!B44</f>
        <v>Vermont</v>
      </c>
      <c r="B45">
        <f>IFERROR(ROUND(State_lookup!M44/SUM(State_lookup!M2:M49)*National_totals!$C$6, 0), 0)</f>
        <v>0</v>
      </c>
      <c r="C45">
        <f>IFERROR(ROUND(State_lookup!M44/SUM(State_lookup!M2:M49)*National_totals!$D$6, 0), 0)</f>
        <v>0</v>
      </c>
      <c r="D45">
        <f>IFERROR(ROUND(State_lookup!M44/SUM(State_lookup!M2:M49)*National_totals!$E$6, 0), 0)</f>
        <v>27839</v>
      </c>
      <c r="E45">
        <f>IFERROR(ROUND(State_lookup!M44/SUM(State_lookup!M2:M49)*National_totals!$F$6, 0), 0)</f>
        <v>6787</v>
      </c>
      <c r="F45">
        <f>IFERROR(ROUND(State_lookup!M44/SUM(State_lookup!M2:M49)*National_totals!$G$6, 0), 0)</f>
        <v>0</v>
      </c>
      <c r="G45">
        <f>IFERROR(ROUND(State_lookup!M44/SUM(State_lookup!M2:M49)*National_totals!$H$6, 0), 0)</f>
        <v>0</v>
      </c>
      <c r="H45">
        <f>IFERROR(ROUND(State_lookup!M44/SUM(State_lookup!M2:M49)*National_totals!$I$6, 0), 0)</f>
        <v>0</v>
      </c>
    </row>
    <row r="46" spans="1:8" x14ac:dyDescent="0.45">
      <c r="A46" t="str">
        <f>State_lookup!B45</f>
        <v>Virginia</v>
      </c>
      <c r="B46">
        <f>IFERROR(ROUND(State_lookup!M45/SUM(State_lookup!M2:M49)*National_totals!$C$6, 0), 0)</f>
        <v>0</v>
      </c>
      <c r="C46">
        <f>IFERROR(ROUND(State_lookup!M45/SUM(State_lookup!M2:M49)*National_totals!$D$6, 0), 0)</f>
        <v>0</v>
      </c>
      <c r="D46">
        <f>IFERROR(ROUND(State_lookup!M45/SUM(State_lookup!M2:M49)*National_totals!$E$6, 0), 0)</f>
        <v>216116</v>
      </c>
      <c r="E46">
        <f>IFERROR(ROUND(State_lookup!M45/SUM(State_lookup!M2:M49)*National_totals!$F$6, 0), 0)</f>
        <v>52685</v>
      </c>
      <c r="F46">
        <f>IFERROR(ROUND(State_lookup!M45/SUM(State_lookup!M2:M49)*National_totals!$G$6, 0), 0)</f>
        <v>0</v>
      </c>
      <c r="G46">
        <f>IFERROR(ROUND(State_lookup!M45/SUM(State_lookup!M2:M49)*National_totals!$H$6, 0), 0)</f>
        <v>0</v>
      </c>
      <c r="H46">
        <f>IFERROR(ROUND(State_lookup!M45/SUM(State_lookup!M2:M49)*National_totals!$I$6, 0), 0)</f>
        <v>0</v>
      </c>
    </row>
    <row r="47" spans="1:8" x14ac:dyDescent="0.45">
      <c r="A47" t="str">
        <f>State_lookup!B46</f>
        <v>Washington</v>
      </c>
      <c r="B47">
        <f>IFERROR(ROUND(State_lookup!M46/SUM(State_lookup!M2:M49)*National_totals!$C$6, 0), 0)</f>
        <v>0</v>
      </c>
      <c r="C47">
        <f>IFERROR(ROUND(State_lookup!M46/SUM(State_lookup!M2:M49)*National_totals!$D$6, 0), 0)</f>
        <v>0</v>
      </c>
      <c r="D47">
        <f>IFERROR(ROUND(State_lookup!M46/SUM(State_lookup!M2:M49)*National_totals!$E$6, 0), 0)</f>
        <v>212820</v>
      </c>
      <c r="E47">
        <f>IFERROR(ROUND(State_lookup!M46/SUM(State_lookup!M2:M49)*National_totals!$F$6, 0), 0)</f>
        <v>51881</v>
      </c>
      <c r="F47">
        <f>IFERROR(ROUND(State_lookup!M46/SUM(State_lookup!M2:M49)*National_totals!$G$6, 0), 0)</f>
        <v>0</v>
      </c>
      <c r="G47">
        <f>IFERROR(ROUND(State_lookup!M46/SUM(State_lookup!M2:M49)*National_totals!$H$6, 0), 0)</f>
        <v>0</v>
      </c>
      <c r="H47">
        <f>IFERROR(ROUND(State_lookup!M46/SUM(State_lookup!M2:M49)*National_totals!$I$6, 0), 0)</f>
        <v>0</v>
      </c>
    </row>
    <row r="48" spans="1:8" x14ac:dyDescent="0.45">
      <c r="A48" t="str">
        <f>State_lookup!B47</f>
        <v>West Virginia</v>
      </c>
      <c r="B48">
        <f>IFERROR(ROUND(State_lookup!M47/SUM(State_lookup!M2:M49)*National_totals!$C$6, 0), 0)</f>
        <v>0</v>
      </c>
      <c r="C48">
        <f>IFERROR(ROUND(State_lookup!M47/SUM(State_lookup!M2:M49)*National_totals!$D$6, 0), 0)</f>
        <v>0</v>
      </c>
      <c r="D48">
        <f>IFERROR(ROUND(State_lookup!M47/SUM(State_lookup!M2:M49)*National_totals!$E$6, 0), 0)</f>
        <v>57482</v>
      </c>
      <c r="E48">
        <f>IFERROR(ROUND(State_lookup!M47/SUM(State_lookup!M2:M49)*National_totals!$F$6, 0), 0)</f>
        <v>14013</v>
      </c>
      <c r="F48">
        <f>IFERROR(ROUND(State_lookup!M47/SUM(State_lookup!M2:M49)*National_totals!$G$6, 0), 0)</f>
        <v>0</v>
      </c>
      <c r="G48">
        <f>IFERROR(ROUND(State_lookup!M47/SUM(State_lookup!M2:M49)*National_totals!$H$6, 0), 0)</f>
        <v>0</v>
      </c>
      <c r="H48">
        <f>IFERROR(ROUND(State_lookup!M47/SUM(State_lookup!M2:M49)*National_totals!$I$6, 0), 0)</f>
        <v>0</v>
      </c>
    </row>
    <row r="49" spans="1:8" x14ac:dyDescent="0.45">
      <c r="A49" t="str">
        <f>State_lookup!B48</f>
        <v>Wisconsin</v>
      </c>
      <c r="B49">
        <f>IFERROR(ROUND(State_lookup!M48/SUM(State_lookup!M2:M49)*National_totals!$C$6, 0), 0)</f>
        <v>0</v>
      </c>
      <c r="C49">
        <f>IFERROR(ROUND(State_lookup!M48/SUM(State_lookup!M2:M49)*National_totals!$D$6, 0), 0)</f>
        <v>0</v>
      </c>
      <c r="D49">
        <f>IFERROR(ROUND(State_lookup!M48/SUM(State_lookup!M2:M49)*National_totals!$E$6, 0), 0)</f>
        <v>545593</v>
      </c>
      <c r="E49">
        <f>IFERROR(ROUND(State_lookup!M48/SUM(State_lookup!M2:M49)*National_totals!$F$6, 0), 0)</f>
        <v>133005</v>
      </c>
      <c r="F49">
        <f>IFERROR(ROUND(State_lookup!M48/SUM(State_lookup!M2:M49)*National_totals!$G$6, 0), 0)</f>
        <v>0</v>
      </c>
      <c r="G49">
        <f>IFERROR(ROUND(State_lookup!M48/SUM(State_lookup!M2:M49)*National_totals!$H$6, 0), 0)</f>
        <v>0</v>
      </c>
      <c r="H49">
        <f>IFERROR(ROUND(State_lookup!M48/SUM(State_lookup!M2:M49)*National_totals!$I$6, 0), 0)</f>
        <v>0</v>
      </c>
    </row>
    <row r="50" spans="1:8" x14ac:dyDescent="0.45">
      <c r="A50" t="str">
        <f>State_lookup!B49</f>
        <v>Wyoming</v>
      </c>
      <c r="B50">
        <f>IFERROR(ROUND(State_lookup!M49/SUM(State_lookup!M2:M49)*National_totals!$C$6, 0), 0)</f>
        <v>0</v>
      </c>
      <c r="C50">
        <f>IFERROR(ROUND(State_lookup!M49/SUM(State_lookup!M2:M49)*National_totals!$D$6, 0), 0)</f>
        <v>0</v>
      </c>
      <c r="D50">
        <f>IFERROR(ROUND(State_lookup!M49/SUM(State_lookup!M2:M49)*National_totals!$E$6, 0), 0)</f>
        <v>24572</v>
      </c>
      <c r="E50">
        <f>IFERROR(ROUND(State_lookup!M49/SUM(State_lookup!M2:M49)*National_totals!$F$6, 0), 0)</f>
        <v>5990</v>
      </c>
      <c r="F50">
        <f>IFERROR(ROUND(State_lookup!M49/SUM(State_lookup!M2:M49)*National_totals!$G$6, 0), 0)</f>
        <v>0</v>
      </c>
      <c r="G50">
        <f>IFERROR(ROUND(State_lookup!M49/SUM(State_lookup!M2:M49)*National_totals!$H$6, 0), 0)</f>
        <v>0</v>
      </c>
      <c r="H50">
        <f>IFERROR(ROUND(State_lookup!M49/SUM(State_lookup!M2:M49)*National_totals!$I$6, 0),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10214829</v>
      </c>
      <c r="E51" s="4">
        <f t="shared" si="0"/>
        <v>2490172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National_totals!$C$6</f>
        <v>0</v>
      </c>
      <c r="C52" s="4">
        <f>National_totals!$D$6</f>
        <v>0</v>
      </c>
      <c r="D52" s="4">
        <f>National_totals!$E$6</f>
        <v>10214830</v>
      </c>
      <c r="E52" s="4">
        <f>National_totals!$F$6</f>
        <v>2490170</v>
      </c>
      <c r="F52" s="4">
        <f>National_totals!$G$6</f>
        <v>0</v>
      </c>
      <c r="G52" s="4">
        <f>National_totals!$H$6</f>
        <v>0</v>
      </c>
      <c r="H52" s="4">
        <f>National_totals!$I$6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-9.7896881299052458E-8</v>
      </c>
      <c r="E53" s="7">
        <f t="shared" si="1"/>
        <v>8.0315801732411838E-7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342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ROUND(State_lookup!F2*(National_totals!$C$7/SUM(National_totals!$C$7:$I$7)), 0)</f>
        <v>0</v>
      </c>
      <c r="C3">
        <f>ROUND(State_lookup!F2*(National_totals!$D$7/SUM(National_totals!$C$7:$I$7)), 0)</f>
        <v>0</v>
      </c>
      <c r="D3">
        <f>ROUND(State_lookup!F2*(National_totals!$E$7/SUM(National_totals!$C$7:$I$7)), 0)</f>
        <v>129014</v>
      </c>
      <c r="E3">
        <f>ROUND(State_lookup!F2*(National_totals!$F$7/SUM(National_totals!$C$7:$I$7)), 0)</f>
        <v>0</v>
      </c>
      <c r="F3">
        <f>ROUND(State_lookup!F2*(National_totals!$G$7/SUM(National_totals!$C$7:$I$7)), 0)</f>
        <v>0</v>
      </c>
      <c r="G3">
        <f>ROUND(State_lookup!F2*(National_totals!$H$7/SUM(National_totals!$C$7:$I$7)), 0)</f>
        <v>0</v>
      </c>
      <c r="H3">
        <f>ROUND(State_lookup!F2*(National_totals!$I$7/SUM(National_totals!$C$7:$I$7)), 0)</f>
        <v>0</v>
      </c>
    </row>
    <row r="4" spans="1:8" x14ac:dyDescent="0.45">
      <c r="A4" t="str">
        <f>State_lookup!B3</f>
        <v>Arizona</v>
      </c>
      <c r="B4">
        <f>ROUND(State_lookup!F3*(National_totals!$C$7/SUM(National_totals!$C$7:$I$7)), 0)</f>
        <v>0</v>
      </c>
      <c r="C4">
        <f>ROUND(State_lookup!F3*(National_totals!$D$7/SUM(National_totals!$C$7:$I$7)), 0)</f>
        <v>0</v>
      </c>
      <c r="D4">
        <f>ROUND(State_lookup!F3*(National_totals!$E$7/SUM(National_totals!$C$7:$I$7)), 0)</f>
        <v>292014</v>
      </c>
      <c r="E4">
        <f>ROUND(State_lookup!F3*(National_totals!$F$7/SUM(National_totals!$C$7:$I$7)), 0)</f>
        <v>0</v>
      </c>
      <c r="F4">
        <f>ROUND(State_lookup!F3*(National_totals!$G$7/SUM(National_totals!$C$7:$I$7)), 0)</f>
        <v>0</v>
      </c>
      <c r="G4">
        <f>ROUND(State_lookup!F3*(National_totals!$H$7/SUM(National_totals!$C$7:$I$7)), 0)</f>
        <v>0</v>
      </c>
      <c r="H4">
        <f>ROUND(State_lookup!F3*(National_totals!$I$7/SUM(National_totals!$C$7:$I$7)), 0)</f>
        <v>0</v>
      </c>
    </row>
    <row r="5" spans="1:8" x14ac:dyDescent="0.45">
      <c r="A5" t="str">
        <f>State_lookup!B4</f>
        <v>Arkansas</v>
      </c>
      <c r="B5">
        <f>ROUND(State_lookup!F4*(National_totals!$C$7/SUM(National_totals!$C$7:$I$7)), 0)</f>
        <v>0</v>
      </c>
      <c r="C5">
        <f>ROUND(State_lookup!F4*(National_totals!$D$7/SUM(National_totals!$C$7:$I$7)), 0)</f>
        <v>0</v>
      </c>
      <c r="D5">
        <f>ROUND(State_lookup!F4*(National_totals!$E$7/SUM(National_totals!$C$7:$I$7)), 0)</f>
        <v>100497</v>
      </c>
      <c r="E5">
        <f>ROUND(State_lookup!F4*(National_totals!$F$7/SUM(National_totals!$C$7:$I$7)), 0)</f>
        <v>0</v>
      </c>
      <c r="F5">
        <f>ROUND(State_lookup!F4*(National_totals!$G$7/SUM(National_totals!$C$7:$I$7)), 0)</f>
        <v>0</v>
      </c>
      <c r="G5">
        <f>ROUND(State_lookup!F4*(National_totals!$H$7/SUM(National_totals!$C$7:$I$7)), 0)</f>
        <v>0</v>
      </c>
      <c r="H5">
        <f>ROUND(State_lookup!F4*(National_totals!$I$7/SUM(National_totals!$C$7:$I$7)), 0)</f>
        <v>0</v>
      </c>
    </row>
    <row r="6" spans="1:8" x14ac:dyDescent="0.45">
      <c r="A6" t="str">
        <f>State_lookup!B5</f>
        <v>California</v>
      </c>
      <c r="B6">
        <f>ROUND(State_lookup!F5*(National_totals!$C$7/SUM(National_totals!$C$7:$I$7)), 0)</f>
        <v>0</v>
      </c>
      <c r="C6">
        <f>ROUND(State_lookup!F5*(National_totals!$D$7/SUM(National_totals!$C$7:$I$7)), 0)</f>
        <v>0</v>
      </c>
      <c r="D6">
        <f>ROUND(State_lookup!F5*(National_totals!$E$7/SUM(National_totals!$C$7:$I$7)), 0)</f>
        <v>751138</v>
      </c>
      <c r="E6">
        <f>ROUND(State_lookup!F5*(National_totals!$F$7/SUM(National_totals!$C$7:$I$7)), 0)</f>
        <v>0</v>
      </c>
      <c r="F6">
        <f>ROUND(State_lookup!F5*(National_totals!$G$7/SUM(National_totals!$C$7:$I$7)), 0)</f>
        <v>0</v>
      </c>
      <c r="G6">
        <f>ROUND(State_lookup!F5*(National_totals!$H$7/SUM(National_totals!$C$7:$I$7)), 0)</f>
        <v>0</v>
      </c>
      <c r="H6">
        <f>ROUND(State_lookup!F5*(National_totals!$I$7/SUM(National_totals!$C$7:$I$7)), 0)</f>
        <v>0</v>
      </c>
    </row>
    <row r="7" spans="1:8" x14ac:dyDescent="0.45">
      <c r="A7" t="str">
        <f>State_lookup!B6</f>
        <v>Colorado</v>
      </c>
      <c r="B7">
        <f>ROUND(State_lookup!F6*(National_totals!$C$7/SUM(National_totals!$C$7:$I$7)), 0)</f>
        <v>0</v>
      </c>
      <c r="C7">
        <f>ROUND(State_lookup!F6*(National_totals!$D$7/SUM(National_totals!$C$7:$I$7)), 0)</f>
        <v>0</v>
      </c>
      <c r="D7">
        <f>ROUND(State_lookup!F6*(National_totals!$E$7/SUM(National_totals!$C$7:$I$7)), 0)</f>
        <v>176484</v>
      </c>
      <c r="E7">
        <f>ROUND(State_lookup!F6*(National_totals!$F$7/SUM(National_totals!$C$7:$I$7)), 0)</f>
        <v>0</v>
      </c>
      <c r="F7">
        <f>ROUND(State_lookup!F6*(National_totals!$G$7/SUM(National_totals!$C$7:$I$7)), 0)</f>
        <v>0</v>
      </c>
      <c r="G7">
        <f>ROUND(State_lookup!F6*(National_totals!$H$7/SUM(National_totals!$C$7:$I$7)), 0)</f>
        <v>0</v>
      </c>
      <c r="H7">
        <f>ROUND(State_lookup!F6*(National_totals!$I$7/SUM(National_totals!$C$7:$I$7)), 0)</f>
        <v>0</v>
      </c>
    </row>
    <row r="8" spans="1:8" x14ac:dyDescent="0.45">
      <c r="A8" t="str">
        <f>State_lookup!B7</f>
        <v>Connecticut</v>
      </c>
      <c r="B8">
        <f>ROUND(State_lookup!F7*(National_totals!$C$7/SUM(National_totals!$C$7:$I$7)), 0)</f>
        <v>0</v>
      </c>
      <c r="C8">
        <f>ROUND(State_lookup!F7*(National_totals!$D$7/SUM(National_totals!$C$7:$I$7)), 0)</f>
        <v>0</v>
      </c>
      <c r="D8">
        <f>ROUND(State_lookup!F7*(National_totals!$E$7/SUM(National_totals!$C$7:$I$7)), 0)</f>
        <v>81996</v>
      </c>
      <c r="E8">
        <f>ROUND(State_lookup!F7*(National_totals!$F$7/SUM(National_totals!$C$7:$I$7)), 0)</f>
        <v>0</v>
      </c>
      <c r="F8">
        <f>ROUND(State_lookup!F7*(National_totals!$G$7/SUM(National_totals!$C$7:$I$7)), 0)</f>
        <v>0</v>
      </c>
      <c r="G8">
        <f>ROUND(State_lookup!F7*(National_totals!$H$7/SUM(National_totals!$C$7:$I$7)), 0)</f>
        <v>0</v>
      </c>
      <c r="H8">
        <f>ROUND(State_lookup!F7*(National_totals!$I$7/SUM(National_totals!$C$7:$I$7)), 0)</f>
        <v>0</v>
      </c>
    </row>
    <row r="9" spans="1:8" x14ac:dyDescent="0.45">
      <c r="A9" t="str">
        <f>State_lookup!B8</f>
        <v>Delaware</v>
      </c>
      <c r="B9">
        <f>ROUND(State_lookup!F8*(National_totals!$C$7/SUM(National_totals!$C$7:$I$7)), 0)</f>
        <v>0</v>
      </c>
      <c r="C9">
        <f>ROUND(State_lookup!F8*(National_totals!$D$7/SUM(National_totals!$C$7:$I$7)), 0)</f>
        <v>0</v>
      </c>
      <c r="D9">
        <f>ROUND(State_lookup!F8*(National_totals!$E$7/SUM(National_totals!$C$7:$I$7)), 0)</f>
        <v>24694</v>
      </c>
      <c r="E9">
        <f>ROUND(State_lookup!F8*(National_totals!$F$7/SUM(National_totals!$C$7:$I$7)), 0)</f>
        <v>0</v>
      </c>
      <c r="F9">
        <f>ROUND(State_lookup!F8*(National_totals!$G$7/SUM(National_totals!$C$7:$I$7)), 0)</f>
        <v>0</v>
      </c>
      <c r="G9">
        <f>ROUND(State_lookup!F8*(National_totals!$H$7/SUM(National_totals!$C$7:$I$7)), 0)</f>
        <v>0</v>
      </c>
      <c r="H9">
        <f>ROUND(State_lookup!F8*(National_totals!$I$7/SUM(National_totals!$C$7:$I$7)), 0)</f>
        <v>0</v>
      </c>
    </row>
    <row r="10" spans="1:8" x14ac:dyDescent="0.45">
      <c r="A10" t="str">
        <f>State_lookup!B9</f>
        <v>Florida</v>
      </c>
      <c r="B10">
        <f>ROUND(State_lookup!F9*(National_totals!$C$7/SUM(National_totals!$C$7:$I$7)), 0)</f>
        <v>0</v>
      </c>
      <c r="C10">
        <f>ROUND(State_lookup!F9*(National_totals!$D$7/SUM(National_totals!$C$7:$I$7)), 0)</f>
        <v>0</v>
      </c>
      <c r="D10">
        <f>ROUND(State_lookup!F9*(National_totals!$E$7/SUM(National_totals!$C$7:$I$7)), 0)</f>
        <v>634364</v>
      </c>
      <c r="E10">
        <f>ROUND(State_lookup!F9*(National_totals!$F$7/SUM(National_totals!$C$7:$I$7)), 0)</f>
        <v>0</v>
      </c>
      <c r="F10">
        <f>ROUND(State_lookup!F9*(National_totals!$G$7/SUM(National_totals!$C$7:$I$7)), 0)</f>
        <v>0</v>
      </c>
      <c r="G10">
        <f>ROUND(State_lookup!F9*(National_totals!$H$7/SUM(National_totals!$C$7:$I$7)), 0)</f>
        <v>0</v>
      </c>
      <c r="H10">
        <f>ROUND(State_lookup!F9*(National_totals!$I$7/SUM(National_totals!$C$7:$I$7)), 0)</f>
        <v>0</v>
      </c>
    </row>
    <row r="11" spans="1:8" x14ac:dyDescent="0.45">
      <c r="A11" t="str">
        <f>State_lookup!B10</f>
        <v>Georgia</v>
      </c>
      <c r="B11">
        <f>ROUND(State_lookup!F10*(National_totals!$C$7/SUM(National_totals!$C$7:$I$7)), 0)</f>
        <v>0</v>
      </c>
      <c r="C11">
        <f>ROUND(State_lookup!F10*(National_totals!$D$7/SUM(National_totals!$C$7:$I$7)), 0)</f>
        <v>0</v>
      </c>
      <c r="D11">
        <f>ROUND(State_lookup!F10*(National_totals!$E$7/SUM(National_totals!$C$7:$I$7)), 0)</f>
        <v>221294</v>
      </c>
      <c r="E11">
        <f>ROUND(State_lookup!F10*(National_totals!$F$7/SUM(National_totals!$C$7:$I$7)), 0)</f>
        <v>0</v>
      </c>
      <c r="F11">
        <f>ROUND(State_lookup!F10*(National_totals!$G$7/SUM(National_totals!$C$7:$I$7)), 0)</f>
        <v>0</v>
      </c>
      <c r="G11">
        <f>ROUND(State_lookup!F10*(National_totals!$H$7/SUM(National_totals!$C$7:$I$7)), 0)</f>
        <v>0</v>
      </c>
      <c r="H11">
        <f>ROUND(State_lookup!F10*(National_totals!$I$7/SUM(National_totals!$C$7:$I$7)), 0)</f>
        <v>0</v>
      </c>
    </row>
    <row r="12" spans="1:8" x14ac:dyDescent="0.45">
      <c r="A12" t="str">
        <f>State_lookup!B11</f>
        <v>Idaho</v>
      </c>
      <c r="B12">
        <f>ROUND(State_lookup!F11*(National_totals!$C$7/SUM(National_totals!$C$7:$I$7)), 0)</f>
        <v>0</v>
      </c>
      <c r="C12">
        <f>ROUND(State_lookup!F11*(National_totals!$D$7/SUM(National_totals!$C$7:$I$7)), 0)</f>
        <v>0</v>
      </c>
      <c r="D12">
        <f>ROUND(State_lookup!F11*(National_totals!$E$7/SUM(National_totals!$C$7:$I$7)), 0)</f>
        <v>74915</v>
      </c>
      <c r="E12">
        <f>ROUND(State_lookup!F11*(National_totals!$F$7/SUM(National_totals!$C$7:$I$7)), 0)</f>
        <v>0</v>
      </c>
      <c r="F12">
        <f>ROUND(State_lookup!F11*(National_totals!$G$7/SUM(National_totals!$C$7:$I$7)), 0)</f>
        <v>0</v>
      </c>
      <c r="G12">
        <f>ROUND(State_lookup!F11*(National_totals!$H$7/SUM(National_totals!$C$7:$I$7)), 0)</f>
        <v>0</v>
      </c>
      <c r="H12">
        <f>ROUND(State_lookup!F11*(National_totals!$I$7/SUM(National_totals!$C$7:$I$7)), 0)</f>
        <v>0</v>
      </c>
    </row>
    <row r="13" spans="1:8" x14ac:dyDescent="0.45">
      <c r="A13" t="str">
        <f>State_lookup!B12</f>
        <v>Illinois</v>
      </c>
      <c r="B13">
        <f>ROUND(State_lookup!F12*(National_totals!$C$7/SUM(National_totals!$C$7:$I$7)), 0)</f>
        <v>0</v>
      </c>
      <c r="C13">
        <f>ROUND(State_lookup!F12*(National_totals!$D$7/SUM(National_totals!$C$7:$I$7)), 0)</f>
        <v>0</v>
      </c>
      <c r="D13">
        <f>ROUND(State_lookup!F12*(National_totals!$E$7/SUM(National_totals!$C$7:$I$7)), 0)</f>
        <v>265273</v>
      </c>
      <c r="E13">
        <f>ROUND(State_lookup!F12*(National_totals!$F$7/SUM(National_totals!$C$7:$I$7)), 0)</f>
        <v>0</v>
      </c>
      <c r="F13">
        <f>ROUND(State_lookup!F12*(National_totals!$G$7/SUM(National_totals!$C$7:$I$7)), 0)</f>
        <v>0</v>
      </c>
      <c r="G13">
        <f>ROUND(State_lookup!F12*(National_totals!$H$7/SUM(National_totals!$C$7:$I$7)), 0)</f>
        <v>0</v>
      </c>
      <c r="H13">
        <f>ROUND(State_lookup!F12*(National_totals!$I$7/SUM(National_totals!$C$7:$I$7)), 0)</f>
        <v>0</v>
      </c>
    </row>
    <row r="14" spans="1:8" x14ac:dyDescent="0.45">
      <c r="A14" t="str">
        <f>State_lookup!B13</f>
        <v>Indiana</v>
      </c>
      <c r="B14">
        <f>ROUND(State_lookup!F13*(National_totals!$C$7/SUM(National_totals!$C$7:$I$7)), 0)</f>
        <v>0</v>
      </c>
      <c r="C14">
        <f>ROUND(State_lookup!F13*(National_totals!$D$7/SUM(National_totals!$C$7:$I$7)), 0)</f>
        <v>0</v>
      </c>
      <c r="D14">
        <f>ROUND(State_lookup!F13*(National_totals!$E$7/SUM(National_totals!$C$7:$I$7)), 0)</f>
        <v>203871</v>
      </c>
      <c r="E14">
        <f>ROUND(State_lookup!F13*(National_totals!$F$7/SUM(National_totals!$C$7:$I$7)), 0)</f>
        <v>0</v>
      </c>
      <c r="F14">
        <f>ROUND(State_lookup!F13*(National_totals!$G$7/SUM(National_totals!$C$7:$I$7)), 0)</f>
        <v>0</v>
      </c>
      <c r="G14">
        <f>ROUND(State_lookup!F13*(National_totals!$H$7/SUM(National_totals!$C$7:$I$7)), 0)</f>
        <v>0</v>
      </c>
      <c r="H14">
        <f>ROUND(State_lookup!F13*(National_totals!$I$7/SUM(National_totals!$C$7:$I$7)), 0)</f>
        <v>0</v>
      </c>
    </row>
    <row r="15" spans="1:8" x14ac:dyDescent="0.45">
      <c r="A15" t="str">
        <f>State_lookup!B14</f>
        <v>Iowa</v>
      </c>
      <c r="B15">
        <f>ROUND(State_lookup!F14*(National_totals!$C$7/SUM(National_totals!$C$7:$I$7)), 0)</f>
        <v>0</v>
      </c>
      <c r="C15">
        <f>ROUND(State_lookup!F14*(National_totals!$D$7/SUM(National_totals!$C$7:$I$7)), 0)</f>
        <v>0</v>
      </c>
      <c r="D15">
        <f>ROUND(State_lookup!F14*(National_totals!$E$7/SUM(National_totals!$C$7:$I$7)), 0)</f>
        <v>193164</v>
      </c>
      <c r="E15">
        <f>ROUND(State_lookup!F14*(National_totals!$F$7/SUM(National_totals!$C$7:$I$7)), 0)</f>
        <v>0</v>
      </c>
      <c r="F15">
        <f>ROUND(State_lookup!F14*(National_totals!$G$7/SUM(National_totals!$C$7:$I$7)), 0)</f>
        <v>0</v>
      </c>
      <c r="G15">
        <f>ROUND(State_lookup!F14*(National_totals!$H$7/SUM(National_totals!$C$7:$I$7)), 0)</f>
        <v>0</v>
      </c>
      <c r="H15">
        <f>ROUND(State_lookup!F14*(National_totals!$I$7/SUM(National_totals!$C$7:$I$7)), 0)</f>
        <v>0</v>
      </c>
    </row>
    <row r="16" spans="1:8" x14ac:dyDescent="0.45">
      <c r="A16" t="str">
        <f>State_lookup!B15</f>
        <v>Kansas</v>
      </c>
      <c r="B16">
        <f>ROUND(State_lookup!F15*(National_totals!$C$7/SUM(National_totals!$C$7:$I$7)), 0)</f>
        <v>0</v>
      </c>
      <c r="C16">
        <f>ROUND(State_lookup!F15*(National_totals!$D$7/SUM(National_totals!$C$7:$I$7)), 0)</f>
        <v>0</v>
      </c>
      <c r="D16">
        <f>ROUND(State_lookup!F15*(National_totals!$E$7/SUM(National_totals!$C$7:$I$7)), 0)</f>
        <v>94496</v>
      </c>
      <c r="E16">
        <f>ROUND(State_lookup!F15*(National_totals!$F$7/SUM(National_totals!$C$7:$I$7)), 0)</f>
        <v>0</v>
      </c>
      <c r="F16">
        <f>ROUND(State_lookup!F15*(National_totals!$G$7/SUM(National_totals!$C$7:$I$7)), 0)</f>
        <v>0</v>
      </c>
      <c r="G16">
        <f>ROUND(State_lookup!F15*(National_totals!$H$7/SUM(National_totals!$C$7:$I$7)), 0)</f>
        <v>0</v>
      </c>
      <c r="H16">
        <f>ROUND(State_lookup!F15*(National_totals!$I$7/SUM(National_totals!$C$7:$I$7)), 0)</f>
        <v>0</v>
      </c>
    </row>
    <row r="17" spans="1:8" x14ac:dyDescent="0.45">
      <c r="A17" t="str">
        <f>State_lookup!B16</f>
        <v>Kentucky</v>
      </c>
      <c r="B17">
        <f>ROUND(State_lookup!F16*(National_totals!$C$7/SUM(National_totals!$C$7:$I$7)), 0)</f>
        <v>0</v>
      </c>
      <c r="C17">
        <f>ROUND(State_lookup!F16*(National_totals!$D$7/SUM(National_totals!$C$7:$I$7)), 0)</f>
        <v>0</v>
      </c>
      <c r="D17">
        <f>ROUND(State_lookup!F16*(National_totals!$E$7/SUM(National_totals!$C$7:$I$7)), 0)</f>
        <v>115887</v>
      </c>
      <c r="E17">
        <f>ROUND(State_lookup!F16*(National_totals!$F$7/SUM(National_totals!$C$7:$I$7)), 0)</f>
        <v>0</v>
      </c>
      <c r="F17">
        <f>ROUND(State_lookup!F16*(National_totals!$G$7/SUM(National_totals!$C$7:$I$7)), 0)</f>
        <v>0</v>
      </c>
      <c r="G17">
        <f>ROUND(State_lookup!F16*(National_totals!$H$7/SUM(National_totals!$C$7:$I$7)), 0)</f>
        <v>0</v>
      </c>
      <c r="H17">
        <f>ROUND(State_lookup!F16*(National_totals!$I$7/SUM(National_totals!$C$7:$I$7)), 0)</f>
        <v>0</v>
      </c>
    </row>
    <row r="18" spans="1:8" x14ac:dyDescent="0.45">
      <c r="A18" t="str">
        <f>State_lookup!B17</f>
        <v>Louisiana</v>
      </c>
      <c r="B18">
        <f>ROUND(State_lookup!F17*(National_totals!$C$7/SUM(National_totals!$C$7:$I$7)), 0)</f>
        <v>0</v>
      </c>
      <c r="C18">
        <f>ROUND(State_lookup!F17*(National_totals!$D$7/SUM(National_totals!$C$7:$I$7)), 0)</f>
        <v>0</v>
      </c>
      <c r="D18">
        <f>ROUND(State_lookup!F17*(National_totals!$E$7/SUM(National_totals!$C$7:$I$7)), 0)</f>
        <v>105504</v>
      </c>
      <c r="E18">
        <f>ROUND(State_lookup!F17*(National_totals!$F$7/SUM(National_totals!$C$7:$I$7)), 0)</f>
        <v>0</v>
      </c>
      <c r="F18">
        <f>ROUND(State_lookup!F17*(National_totals!$G$7/SUM(National_totals!$C$7:$I$7)), 0)</f>
        <v>0</v>
      </c>
      <c r="G18">
        <f>ROUND(State_lookup!F17*(National_totals!$H$7/SUM(National_totals!$C$7:$I$7)), 0)</f>
        <v>0</v>
      </c>
      <c r="H18">
        <f>ROUND(State_lookup!F17*(National_totals!$I$7/SUM(National_totals!$C$7:$I$7)), 0)</f>
        <v>0</v>
      </c>
    </row>
    <row r="19" spans="1:8" x14ac:dyDescent="0.45">
      <c r="A19" t="str">
        <f>State_lookup!B18</f>
        <v>Maine</v>
      </c>
      <c r="B19">
        <f>ROUND(State_lookup!F18*(National_totals!$C$7/SUM(National_totals!$C$7:$I$7)), 0)</f>
        <v>0</v>
      </c>
      <c r="C19">
        <f>ROUND(State_lookup!F18*(National_totals!$D$7/SUM(National_totals!$C$7:$I$7)), 0)</f>
        <v>0</v>
      </c>
      <c r="D19">
        <f>ROUND(State_lookup!F18*(National_totals!$E$7/SUM(National_totals!$C$7:$I$7)), 0)</f>
        <v>47685</v>
      </c>
      <c r="E19">
        <f>ROUND(State_lookup!F18*(National_totals!$F$7/SUM(National_totals!$C$7:$I$7)), 0)</f>
        <v>0</v>
      </c>
      <c r="F19">
        <f>ROUND(State_lookup!F18*(National_totals!$G$7/SUM(National_totals!$C$7:$I$7)), 0)</f>
        <v>0</v>
      </c>
      <c r="G19">
        <f>ROUND(State_lookup!F18*(National_totals!$H$7/SUM(National_totals!$C$7:$I$7)), 0)</f>
        <v>0</v>
      </c>
      <c r="H19">
        <f>ROUND(State_lookup!F18*(National_totals!$I$7/SUM(National_totals!$C$7:$I$7)), 0)</f>
        <v>0</v>
      </c>
    </row>
    <row r="20" spans="1:8" x14ac:dyDescent="0.45">
      <c r="A20" t="str">
        <f>State_lookup!B19</f>
        <v>Maryland</v>
      </c>
      <c r="B20">
        <f>ROUND(State_lookup!F19*(National_totals!$C$7/SUM(National_totals!$C$7:$I$7)), 0)</f>
        <v>0</v>
      </c>
      <c r="C20">
        <f>ROUND(State_lookup!F19*(National_totals!$D$7/SUM(National_totals!$C$7:$I$7)), 0)</f>
        <v>0</v>
      </c>
      <c r="D20">
        <f>ROUND(State_lookup!F19*(National_totals!$E$7/SUM(National_totals!$C$7:$I$7)), 0)</f>
        <v>99106</v>
      </c>
      <c r="E20">
        <f>ROUND(State_lookup!F19*(National_totals!$F$7/SUM(National_totals!$C$7:$I$7)), 0)</f>
        <v>0</v>
      </c>
      <c r="F20">
        <f>ROUND(State_lookup!F19*(National_totals!$G$7/SUM(National_totals!$C$7:$I$7)), 0)</f>
        <v>0</v>
      </c>
      <c r="G20">
        <f>ROUND(State_lookup!F19*(National_totals!$H$7/SUM(National_totals!$C$7:$I$7)), 0)</f>
        <v>0</v>
      </c>
      <c r="H20">
        <f>ROUND(State_lookup!F19*(National_totals!$I$7/SUM(National_totals!$C$7:$I$7)), 0)</f>
        <v>0</v>
      </c>
    </row>
    <row r="21" spans="1:8" x14ac:dyDescent="0.45">
      <c r="A21" t="str">
        <f>State_lookup!B20</f>
        <v>Massachusetts</v>
      </c>
      <c r="B21">
        <f>ROUND(State_lookup!F20*(National_totals!$C$7/SUM(National_totals!$C$7:$I$7)), 0)</f>
        <v>0</v>
      </c>
      <c r="C21">
        <f>ROUND(State_lookup!F20*(National_totals!$D$7/SUM(National_totals!$C$7:$I$7)), 0)</f>
        <v>0</v>
      </c>
      <c r="D21">
        <f>ROUND(State_lookup!F20*(National_totals!$E$7/SUM(National_totals!$C$7:$I$7)), 0)</f>
        <v>141710</v>
      </c>
      <c r="E21">
        <f>ROUND(State_lookup!F20*(National_totals!$F$7/SUM(National_totals!$C$7:$I$7)), 0)</f>
        <v>0</v>
      </c>
      <c r="F21">
        <f>ROUND(State_lookup!F20*(National_totals!$G$7/SUM(National_totals!$C$7:$I$7)), 0)</f>
        <v>0</v>
      </c>
      <c r="G21">
        <f>ROUND(State_lookup!F20*(National_totals!$H$7/SUM(National_totals!$C$7:$I$7)), 0)</f>
        <v>0</v>
      </c>
      <c r="H21">
        <f>ROUND(State_lookup!F20*(National_totals!$I$7/SUM(National_totals!$C$7:$I$7)), 0)</f>
        <v>0</v>
      </c>
    </row>
    <row r="22" spans="1:8" x14ac:dyDescent="0.45">
      <c r="A22" t="str">
        <f>State_lookup!B21</f>
        <v>Michigan</v>
      </c>
      <c r="B22">
        <f>ROUND(State_lookup!F21*(National_totals!$C$7/SUM(National_totals!$C$7:$I$7)), 0)</f>
        <v>0</v>
      </c>
      <c r="C22">
        <f>ROUND(State_lookup!F21*(National_totals!$D$7/SUM(National_totals!$C$7:$I$7)), 0)</f>
        <v>0</v>
      </c>
      <c r="D22">
        <f>ROUND(State_lookup!F21*(National_totals!$E$7/SUM(National_totals!$C$7:$I$7)), 0)</f>
        <v>249465</v>
      </c>
      <c r="E22">
        <f>ROUND(State_lookup!F21*(National_totals!$F$7/SUM(National_totals!$C$7:$I$7)), 0)</f>
        <v>0</v>
      </c>
      <c r="F22">
        <f>ROUND(State_lookup!F21*(National_totals!$G$7/SUM(National_totals!$C$7:$I$7)), 0)</f>
        <v>0</v>
      </c>
      <c r="G22">
        <f>ROUND(State_lookup!F21*(National_totals!$H$7/SUM(National_totals!$C$7:$I$7)), 0)</f>
        <v>0</v>
      </c>
      <c r="H22">
        <f>ROUND(State_lookup!F21*(National_totals!$I$7/SUM(National_totals!$C$7:$I$7)), 0)</f>
        <v>0</v>
      </c>
    </row>
    <row r="23" spans="1:8" x14ac:dyDescent="0.45">
      <c r="A23" t="str">
        <f>State_lookup!B22</f>
        <v>Minnesota</v>
      </c>
      <c r="B23">
        <f>ROUND(State_lookup!F22*(National_totals!$C$7/SUM(National_totals!$C$7:$I$7)), 0)</f>
        <v>0</v>
      </c>
      <c r="C23">
        <f>ROUND(State_lookup!F22*(National_totals!$D$7/SUM(National_totals!$C$7:$I$7)), 0)</f>
        <v>0</v>
      </c>
      <c r="D23">
        <f>ROUND(State_lookup!F22*(National_totals!$E$7/SUM(National_totals!$C$7:$I$7)), 0)</f>
        <v>226544</v>
      </c>
      <c r="E23">
        <f>ROUND(State_lookup!F22*(National_totals!$F$7/SUM(National_totals!$C$7:$I$7)), 0)</f>
        <v>0</v>
      </c>
      <c r="F23">
        <f>ROUND(State_lookup!F22*(National_totals!$G$7/SUM(National_totals!$C$7:$I$7)), 0)</f>
        <v>0</v>
      </c>
      <c r="G23">
        <f>ROUND(State_lookup!F22*(National_totals!$H$7/SUM(National_totals!$C$7:$I$7)), 0)</f>
        <v>0</v>
      </c>
      <c r="H23">
        <f>ROUND(State_lookup!F22*(National_totals!$I$7/SUM(National_totals!$C$7:$I$7)), 0)</f>
        <v>0</v>
      </c>
    </row>
    <row r="24" spans="1:8" x14ac:dyDescent="0.45">
      <c r="A24" t="str">
        <f>State_lookup!B23</f>
        <v>Mississippi</v>
      </c>
      <c r="B24">
        <f>ROUND(State_lookup!F23*(National_totals!$C$7/SUM(National_totals!$C$7:$I$7)), 0)</f>
        <v>0</v>
      </c>
      <c r="C24">
        <f>ROUND(State_lookup!F23*(National_totals!$D$7/SUM(National_totals!$C$7:$I$7)), 0)</f>
        <v>0</v>
      </c>
      <c r="D24">
        <f>ROUND(State_lookup!F23*(National_totals!$E$7/SUM(National_totals!$C$7:$I$7)), 0)</f>
        <v>30421</v>
      </c>
      <c r="E24">
        <f>ROUND(State_lookup!F23*(National_totals!$F$7/SUM(National_totals!$C$7:$I$7)), 0)</f>
        <v>0</v>
      </c>
      <c r="F24">
        <f>ROUND(State_lookup!F23*(National_totals!$G$7/SUM(National_totals!$C$7:$I$7)), 0)</f>
        <v>0</v>
      </c>
      <c r="G24">
        <f>ROUND(State_lookup!F23*(National_totals!$H$7/SUM(National_totals!$C$7:$I$7)), 0)</f>
        <v>0</v>
      </c>
      <c r="H24">
        <f>ROUND(State_lookup!F23*(National_totals!$I$7/SUM(National_totals!$C$7:$I$7)), 0)</f>
        <v>0</v>
      </c>
    </row>
    <row r="25" spans="1:8" x14ac:dyDescent="0.45">
      <c r="A25" t="str">
        <f>State_lookup!B24</f>
        <v>Missouri</v>
      </c>
      <c r="B25">
        <f>ROUND(State_lookup!F24*(National_totals!$C$7/SUM(National_totals!$C$7:$I$7)), 0)</f>
        <v>0</v>
      </c>
      <c r="C25">
        <f>ROUND(State_lookup!F24*(National_totals!$D$7/SUM(National_totals!$C$7:$I$7)), 0)</f>
        <v>0</v>
      </c>
      <c r="D25">
        <f>ROUND(State_lookup!F24*(National_totals!$E$7/SUM(National_totals!$C$7:$I$7)), 0)</f>
        <v>133801</v>
      </c>
      <c r="E25">
        <f>ROUND(State_lookup!F24*(National_totals!$F$7/SUM(National_totals!$C$7:$I$7)), 0)</f>
        <v>0</v>
      </c>
      <c r="F25">
        <f>ROUND(State_lookup!F24*(National_totals!$G$7/SUM(National_totals!$C$7:$I$7)), 0)</f>
        <v>0</v>
      </c>
      <c r="G25">
        <f>ROUND(State_lookup!F24*(National_totals!$H$7/SUM(National_totals!$C$7:$I$7)), 0)</f>
        <v>0</v>
      </c>
      <c r="H25">
        <f>ROUND(State_lookup!F24*(National_totals!$I$7/SUM(National_totals!$C$7:$I$7)), 0)</f>
        <v>0</v>
      </c>
    </row>
    <row r="26" spans="1:8" x14ac:dyDescent="0.45">
      <c r="A26" t="str">
        <f>State_lookup!B25</f>
        <v>Montana</v>
      </c>
      <c r="B26">
        <f>ROUND(State_lookup!F25*(National_totals!$C$7/SUM(National_totals!$C$7:$I$7)), 0)</f>
        <v>0</v>
      </c>
      <c r="C26">
        <f>ROUND(State_lookup!F25*(National_totals!$D$7/SUM(National_totals!$C$7:$I$7)), 0)</f>
        <v>0</v>
      </c>
      <c r="D26">
        <f>ROUND(State_lookup!F25*(National_totals!$E$7/SUM(National_totals!$C$7:$I$7)), 0)</f>
        <v>447943</v>
      </c>
      <c r="E26">
        <f>ROUND(State_lookup!F25*(National_totals!$F$7/SUM(National_totals!$C$7:$I$7)), 0)</f>
        <v>0</v>
      </c>
      <c r="F26">
        <f>ROUND(State_lookup!F25*(National_totals!$G$7/SUM(National_totals!$C$7:$I$7)), 0)</f>
        <v>0</v>
      </c>
      <c r="G26">
        <f>ROUND(State_lookup!F25*(National_totals!$H$7/SUM(National_totals!$C$7:$I$7)), 0)</f>
        <v>0</v>
      </c>
      <c r="H26">
        <f>ROUND(State_lookup!F25*(National_totals!$I$7/SUM(National_totals!$C$7:$I$7)), 0)</f>
        <v>0</v>
      </c>
    </row>
    <row r="27" spans="1:8" x14ac:dyDescent="0.45">
      <c r="A27" t="str">
        <f>State_lookup!B26</f>
        <v>Nebraska</v>
      </c>
      <c r="B27">
        <f>ROUND(State_lookup!F26*(National_totals!$C$7/SUM(National_totals!$C$7:$I$7)), 0)</f>
        <v>0</v>
      </c>
      <c r="C27">
        <f>ROUND(State_lookup!F26*(National_totals!$D$7/SUM(National_totals!$C$7:$I$7)), 0)</f>
        <v>0</v>
      </c>
      <c r="D27">
        <f>ROUND(State_lookup!F26*(National_totals!$E$7/SUM(National_totals!$C$7:$I$7)), 0)</f>
        <v>50753</v>
      </c>
      <c r="E27">
        <f>ROUND(State_lookup!F26*(National_totals!$F$7/SUM(National_totals!$C$7:$I$7)), 0)</f>
        <v>0</v>
      </c>
      <c r="F27">
        <f>ROUND(State_lookup!F26*(National_totals!$G$7/SUM(National_totals!$C$7:$I$7)), 0)</f>
        <v>0</v>
      </c>
      <c r="G27">
        <f>ROUND(State_lookup!F26*(National_totals!$H$7/SUM(National_totals!$C$7:$I$7)), 0)</f>
        <v>0</v>
      </c>
      <c r="H27">
        <f>ROUND(State_lookup!F26*(National_totals!$I$7/SUM(National_totals!$C$7:$I$7)), 0)</f>
        <v>0</v>
      </c>
    </row>
    <row r="28" spans="1:8" x14ac:dyDescent="0.45">
      <c r="A28" t="str">
        <f>State_lookup!B27</f>
        <v>Nevada</v>
      </c>
      <c r="B28">
        <f>ROUND(State_lookup!F27*(National_totals!$C$7/SUM(National_totals!$C$7:$I$7)), 0)</f>
        <v>0</v>
      </c>
      <c r="C28">
        <f>ROUND(State_lookup!F27*(National_totals!$D$7/SUM(National_totals!$C$7:$I$7)), 0)</f>
        <v>0</v>
      </c>
      <c r="D28">
        <f>ROUND(State_lookup!F27*(National_totals!$E$7/SUM(National_totals!$C$7:$I$7)), 0)</f>
        <v>87702</v>
      </c>
      <c r="E28">
        <f>ROUND(State_lookup!F27*(National_totals!$F$7/SUM(National_totals!$C$7:$I$7)), 0)</f>
        <v>0</v>
      </c>
      <c r="F28">
        <f>ROUND(State_lookup!F27*(National_totals!$G$7/SUM(National_totals!$C$7:$I$7)), 0)</f>
        <v>0</v>
      </c>
      <c r="G28">
        <f>ROUND(State_lookup!F27*(National_totals!$H$7/SUM(National_totals!$C$7:$I$7)), 0)</f>
        <v>0</v>
      </c>
      <c r="H28">
        <f>ROUND(State_lookup!F27*(National_totals!$I$7/SUM(National_totals!$C$7:$I$7)), 0)</f>
        <v>0</v>
      </c>
    </row>
    <row r="29" spans="1:8" x14ac:dyDescent="0.45">
      <c r="A29" t="str">
        <f>State_lookup!B28</f>
        <v>New Hampshire</v>
      </c>
      <c r="B29">
        <f>ROUND(State_lookup!F28*(National_totals!$C$7/SUM(National_totals!$C$7:$I$7)), 0)</f>
        <v>0</v>
      </c>
      <c r="C29">
        <f>ROUND(State_lookup!F28*(National_totals!$D$7/SUM(National_totals!$C$7:$I$7)), 0)</f>
        <v>0</v>
      </c>
      <c r="D29">
        <f>ROUND(State_lookup!F28*(National_totals!$E$7/SUM(National_totals!$C$7:$I$7)), 0)</f>
        <v>86208</v>
      </c>
      <c r="E29">
        <f>ROUND(State_lookup!F28*(National_totals!$F$7/SUM(National_totals!$C$7:$I$7)), 0)</f>
        <v>0</v>
      </c>
      <c r="F29">
        <f>ROUND(State_lookup!F28*(National_totals!$G$7/SUM(National_totals!$C$7:$I$7)), 0)</f>
        <v>0</v>
      </c>
      <c r="G29">
        <f>ROUND(State_lookup!F28*(National_totals!$H$7/SUM(National_totals!$C$7:$I$7)), 0)</f>
        <v>0</v>
      </c>
      <c r="H29">
        <f>ROUND(State_lookup!F28*(National_totals!$I$7/SUM(National_totals!$C$7:$I$7)), 0)</f>
        <v>0</v>
      </c>
    </row>
    <row r="30" spans="1:8" x14ac:dyDescent="0.45">
      <c r="A30" t="str">
        <f>State_lookup!B29</f>
        <v>New Jersey</v>
      </c>
      <c r="B30">
        <f>ROUND(State_lookup!F29*(National_totals!$C$7/SUM(National_totals!$C$7:$I$7)), 0)</f>
        <v>0</v>
      </c>
      <c r="C30">
        <f>ROUND(State_lookup!F29*(National_totals!$D$7/SUM(National_totals!$C$7:$I$7)), 0)</f>
        <v>0</v>
      </c>
      <c r="D30">
        <f>ROUND(State_lookup!F29*(National_totals!$E$7/SUM(National_totals!$C$7:$I$7)), 0)</f>
        <v>146003</v>
      </c>
      <c r="E30">
        <f>ROUND(State_lookup!F29*(National_totals!$F$7/SUM(National_totals!$C$7:$I$7)), 0)</f>
        <v>0</v>
      </c>
      <c r="F30">
        <f>ROUND(State_lookup!F29*(National_totals!$G$7/SUM(National_totals!$C$7:$I$7)), 0)</f>
        <v>0</v>
      </c>
      <c r="G30">
        <f>ROUND(State_lookup!F29*(National_totals!$H$7/SUM(National_totals!$C$7:$I$7)), 0)</f>
        <v>0</v>
      </c>
      <c r="H30">
        <f>ROUND(State_lookup!F29*(National_totals!$I$7/SUM(National_totals!$C$7:$I$7)), 0)</f>
        <v>0</v>
      </c>
    </row>
    <row r="31" spans="1:8" x14ac:dyDescent="0.45">
      <c r="A31" t="str">
        <f>State_lookup!B30</f>
        <v>New Mexico</v>
      </c>
      <c r="B31">
        <f>ROUND(State_lookup!F30*(National_totals!$C$7/SUM(National_totals!$C$7:$I$7)), 0)</f>
        <v>0</v>
      </c>
      <c r="C31">
        <f>ROUND(State_lookup!F30*(National_totals!$D$7/SUM(National_totals!$C$7:$I$7)), 0)</f>
        <v>0</v>
      </c>
      <c r="D31">
        <f>ROUND(State_lookup!F30*(National_totals!$E$7/SUM(National_totals!$C$7:$I$7)), 0)</f>
        <v>56497</v>
      </c>
      <c r="E31">
        <f>ROUND(State_lookup!F30*(National_totals!$F$7/SUM(National_totals!$C$7:$I$7)), 0)</f>
        <v>0</v>
      </c>
      <c r="F31">
        <f>ROUND(State_lookup!F30*(National_totals!$G$7/SUM(National_totals!$C$7:$I$7)), 0)</f>
        <v>0</v>
      </c>
      <c r="G31">
        <f>ROUND(State_lookup!F30*(National_totals!$H$7/SUM(National_totals!$C$7:$I$7)), 0)</f>
        <v>0</v>
      </c>
      <c r="H31">
        <f>ROUND(State_lookup!F30*(National_totals!$I$7/SUM(National_totals!$C$7:$I$7)), 0)</f>
        <v>0</v>
      </c>
    </row>
    <row r="32" spans="1:8" x14ac:dyDescent="0.45">
      <c r="A32" t="str">
        <f>State_lookup!B31</f>
        <v>New York</v>
      </c>
      <c r="B32">
        <f>ROUND(State_lookup!F31*(National_totals!$C$7/SUM(National_totals!$C$7:$I$7)), 0)</f>
        <v>0</v>
      </c>
      <c r="C32">
        <f>ROUND(State_lookup!F31*(National_totals!$D$7/SUM(National_totals!$C$7:$I$7)), 0)</f>
        <v>0</v>
      </c>
      <c r="D32">
        <f>ROUND(State_lookup!F31*(National_totals!$E$7/SUM(National_totals!$C$7:$I$7)), 0)</f>
        <v>794820</v>
      </c>
      <c r="E32">
        <f>ROUND(State_lookup!F31*(National_totals!$F$7/SUM(National_totals!$C$7:$I$7)), 0)</f>
        <v>0</v>
      </c>
      <c r="F32">
        <f>ROUND(State_lookup!F31*(National_totals!$G$7/SUM(National_totals!$C$7:$I$7)), 0)</f>
        <v>0</v>
      </c>
      <c r="G32">
        <f>ROUND(State_lookup!F31*(National_totals!$H$7/SUM(National_totals!$C$7:$I$7)), 0)</f>
        <v>0</v>
      </c>
      <c r="H32">
        <f>ROUND(State_lookup!F31*(National_totals!$I$7/SUM(National_totals!$C$7:$I$7)), 0)</f>
        <v>0</v>
      </c>
    </row>
    <row r="33" spans="1:8" x14ac:dyDescent="0.45">
      <c r="A33" t="str">
        <f>State_lookup!B32</f>
        <v>North Carolina</v>
      </c>
      <c r="B33">
        <f>ROUND(State_lookup!F32*(National_totals!$C$7/SUM(National_totals!$C$7:$I$7)), 0)</f>
        <v>0</v>
      </c>
      <c r="C33">
        <f>ROUND(State_lookup!F32*(National_totals!$D$7/SUM(National_totals!$C$7:$I$7)), 0)</f>
        <v>0</v>
      </c>
      <c r="D33">
        <f>ROUND(State_lookup!F32*(National_totals!$E$7/SUM(National_totals!$C$7:$I$7)), 0)</f>
        <v>189734</v>
      </c>
      <c r="E33">
        <f>ROUND(State_lookup!F32*(National_totals!$F$7/SUM(National_totals!$C$7:$I$7)), 0)</f>
        <v>0</v>
      </c>
      <c r="F33">
        <f>ROUND(State_lookup!F32*(National_totals!$G$7/SUM(National_totals!$C$7:$I$7)), 0)</f>
        <v>0</v>
      </c>
      <c r="G33">
        <f>ROUND(State_lookup!F32*(National_totals!$H$7/SUM(National_totals!$C$7:$I$7)), 0)</f>
        <v>0</v>
      </c>
      <c r="H33">
        <f>ROUND(State_lookup!F32*(National_totals!$I$7/SUM(National_totals!$C$7:$I$7)), 0)</f>
        <v>0</v>
      </c>
    </row>
    <row r="34" spans="1:8" x14ac:dyDescent="0.45">
      <c r="A34" t="str">
        <f>State_lookup!B33</f>
        <v>North Dakota</v>
      </c>
      <c r="B34">
        <f>ROUND(State_lookup!F33*(National_totals!$C$7/SUM(National_totals!$C$7:$I$7)), 0)</f>
        <v>0</v>
      </c>
      <c r="C34">
        <f>ROUND(State_lookup!F33*(National_totals!$D$7/SUM(National_totals!$C$7:$I$7)), 0)</f>
        <v>0</v>
      </c>
      <c r="D34">
        <f>ROUND(State_lookup!F33*(National_totals!$E$7/SUM(National_totals!$C$7:$I$7)), 0)</f>
        <v>44166</v>
      </c>
      <c r="E34">
        <f>ROUND(State_lookup!F33*(National_totals!$F$7/SUM(National_totals!$C$7:$I$7)), 0)</f>
        <v>0</v>
      </c>
      <c r="F34">
        <f>ROUND(State_lookup!F33*(National_totals!$G$7/SUM(National_totals!$C$7:$I$7)), 0)</f>
        <v>0</v>
      </c>
      <c r="G34">
        <f>ROUND(State_lookup!F33*(National_totals!$H$7/SUM(National_totals!$C$7:$I$7)), 0)</f>
        <v>0</v>
      </c>
      <c r="H34">
        <f>ROUND(State_lookup!F33*(National_totals!$I$7/SUM(National_totals!$C$7:$I$7)), 0)</f>
        <v>0</v>
      </c>
    </row>
    <row r="35" spans="1:8" x14ac:dyDescent="0.45">
      <c r="A35" t="str">
        <f>State_lookup!B34</f>
        <v>Ohio</v>
      </c>
      <c r="B35">
        <f>ROUND(State_lookup!F34*(National_totals!$C$7/SUM(National_totals!$C$7:$I$7)), 0)</f>
        <v>0</v>
      </c>
      <c r="C35">
        <f>ROUND(State_lookup!F34*(National_totals!$D$7/SUM(National_totals!$C$7:$I$7)), 0)</f>
        <v>0</v>
      </c>
      <c r="D35">
        <f>ROUND(State_lookup!F34*(National_totals!$E$7/SUM(National_totals!$C$7:$I$7)), 0)</f>
        <v>422404</v>
      </c>
      <c r="E35">
        <f>ROUND(State_lookup!F34*(National_totals!$F$7/SUM(National_totals!$C$7:$I$7)), 0)</f>
        <v>0</v>
      </c>
      <c r="F35">
        <f>ROUND(State_lookup!F34*(National_totals!$G$7/SUM(National_totals!$C$7:$I$7)), 0)</f>
        <v>0</v>
      </c>
      <c r="G35">
        <f>ROUND(State_lookup!F34*(National_totals!$H$7/SUM(National_totals!$C$7:$I$7)), 0)</f>
        <v>0</v>
      </c>
      <c r="H35">
        <f>ROUND(State_lookup!F34*(National_totals!$I$7/SUM(National_totals!$C$7:$I$7)), 0)</f>
        <v>0</v>
      </c>
    </row>
    <row r="36" spans="1:8" x14ac:dyDescent="0.45">
      <c r="A36" t="str">
        <f>State_lookup!B35</f>
        <v>Oklahoma</v>
      </c>
      <c r="B36">
        <f>ROUND(State_lookup!F35*(National_totals!$C$7/SUM(National_totals!$C$7:$I$7)), 0)</f>
        <v>0</v>
      </c>
      <c r="C36">
        <f>ROUND(State_lookup!F35*(National_totals!$D$7/SUM(National_totals!$C$7:$I$7)), 0)</f>
        <v>0</v>
      </c>
      <c r="D36">
        <f>ROUND(State_lookup!F35*(National_totals!$E$7/SUM(National_totals!$C$7:$I$7)), 0)</f>
        <v>139387</v>
      </c>
      <c r="E36">
        <f>ROUND(State_lookup!F35*(National_totals!$F$7/SUM(National_totals!$C$7:$I$7)), 0)</f>
        <v>0</v>
      </c>
      <c r="F36">
        <f>ROUND(State_lookup!F35*(National_totals!$G$7/SUM(National_totals!$C$7:$I$7)), 0)</f>
        <v>0</v>
      </c>
      <c r="G36">
        <f>ROUND(State_lookup!F35*(National_totals!$H$7/SUM(National_totals!$C$7:$I$7)), 0)</f>
        <v>0</v>
      </c>
      <c r="H36">
        <f>ROUND(State_lookup!F35*(National_totals!$I$7/SUM(National_totals!$C$7:$I$7)), 0)</f>
        <v>0</v>
      </c>
    </row>
    <row r="37" spans="1:8" x14ac:dyDescent="0.45">
      <c r="A37" t="str">
        <f>State_lookup!B36</f>
        <v>Oregon</v>
      </c>
      <c r="B37">
        <f>ROUND(State_lookup!F36*(National_totals!$C$7/SUM(National_totals!$C$7:$I$7)), 0)</f>
        <v>0</v>
      </c>
      <c r="C37">
        <f>ROUND(State_lookup!F36*(National_totals!$D$7/SUM(National_totals!$C$7:$I$7)), 0)</f>
        <v>0</v>
      </c>
      <c r="D37">
        <f>ROUND(State_lookup!F36*(National_totals!$E$7/SUM(National_totals!$C$7:$I$7)), 0)</f>
        <v>143067</v>
      </c>
      <c r="E37">
        <f>ROUND(State_lookup!F36*(National_totals!$F$7/SUM(National_totals!$C$7:$I$7)), 0)</f>
        <v>0</v>
      </c>
      <c r="F37">
        <f>ROUND(State_lookup!F36*(National_totals!$G$7/SUM(National_totals!$C$7:$I$7)), 0)</f>
        <v>0</v>
      </c>
      <c r="G37">
        <f>ROUND(State_lookup!F36*(National_totals!$H$7/SUM(National_totals!$C$7:$I$7)), 0)</f>
        <v>0</v>
      </c>
      <c r="H37">
        <f>ROUND(State_lookup!F36*(National_totals!$I$7/SUM(National_totals!$C$7:$I$7)), 0)</f>
        <v>0</v>
      </c>
    </row>
    <row r="38" spans="1:8" x14ac:dyDescent="0.45">
      <c r="A38" t="str">
        <f>State_lookup!B37</f>
        <v>Pennsylvania</v>
      </c>
      <c r="B38">
        <f>ROUND(State_lookup!F37*(National_totals!$C$7/SUM(National_totals!$C$7:$I$7)), 0)</f>
        <v>0</v>
      </c>
      <c r="C38">
        <f>ROUND(State_lookup!F37*(National_totals!$D$7/SUM(National_totals!$C$7:$I$7)), 0)</f>
        <v>0</v>
      </c>
      <c r="D38">
        <f>ROUND(State_lookup!F37*(National_totals!$E$7/SUM(National_totals!$C$7:$I$7)), 0)</f>
        <v>342114</v>
      </c>
      <c r="E38">
        <f>ROUND(State_lookup!F37*(National_totals!$F$7/SUM(National_totals!$C$7:$I$7)), 0)</f>
        <v>0</v>
      </c>
      <c r="F38">
        <f>ROUND(State_lookup!F37*(National_totals!$G$7/SUM(National_totals!$C$7:$I$7)), 0)</f>
        <v>0</v>
      </c>
      <c r="G38">
        <f>ROUND(State_lookup!F37*(National_totals!$H$7/SUM(National_totals!$C$7:$I$7)), 0)</f>
        <v>0</v>
      </c>
      <c r="H38">
        <f>ROUND(State_lookup!F37*(National_totals!$I$7/SUM(National_totals!$C$7:$I$7)), 0)</f>
        <v>0</v>
      </c>
    </row>
    <row r="39" spans="1:8" x14ac:dyDescent="0.45">
      <c r="A39" t="str">
        <f>State_lookup!B38</f>
        <v>Rhode Island</v>
      </c>
      <c r="B39">
        <f>ROUND(State_lookup!F38*(National_totals!$C$7/SUM(National_totals!$C$7:$I$7)), 0)</f>
        <v>0</v>
      </c>
      <c r="C39">
        <f>ROUND(State_lookup!F38*(National_totals!$D$7/SUM(National_totals!$C$7:$I$7)), 0)</f>
        <v>0</v>
      </c>
      <c r="D39">
        <f>ROUND(State_lookup!F38*(National_totals!$E$7/SUM(National_totals!$C$7:$I$7)), 0)</f>
        <v>25375</v>
      </c>
      <c r="E39">
        <f>ROUND(State_lookup!F38*(National_totals!$F$7/SUM(National_totals!$C$7:$I$7)), 0)</f>
        <v>0</v>
      </c>
      <c r="F39">
        <f>ROUND(State_lookup!F38*(National_totals!$G$7/SUM(National_totals!$C$7:$I$7)), 0)</f>
        <v>0</v>
      </c>
      <c r="G39">
        <f>ROUND(State_lookup!F38*(National_totals!$H$7/SUM(National_totals!$C$7:$I$7)), 0)</f>
        <v>0</v>
      </c>
      <c r="H39">
        <f>ROUND(State_lookup!F38*(National_totals!$I$7/SUM(National_totals!$C$7:$I$7)), 0)</f>
        <v>0</v>
      </c>
    </row>
    <row r="40" spans="1:8" x14ac:dyDescent="0.45">
      <c r="A40" t="str">
        <f>State_lookup!B39</f>
        <v>South Carolina</v>
      </c>
      <c r="B40">
        <f>ROUND(State_lookup!F39*(National_totals!$C$7/SUM(National_totals!$C$7:$I$7)), 0)</f>
        <v>0</v>
      </c>
      <c r="C40">
        <f>ROUND(State_lookup!F39*(National_totals!$D$7/SUM(National_totals!$C$7:$I$7)), 0)</f>
        <v>0</v>
      </c>
      <c r="D40">
        <f>ROUND(State_lookup!F39*(National_totals!$E$7/SUM(National_totals!$C$7:$I$7)), 0)</f>
        <v>125526</v>
      </c>
      <c r="E40">
        <f>ROUND(State_lookup!F39*(National_totals!$F$7/SUM(National_totals!$C$7:$I$7)), 0)</f>
        <v>0</v>
      </c>
      <c r="F40">
        <f>ROUND(State_lookup!F39*(National_totals!$G$7/SUM(National_totals!$C$7:$I$7)), 0)</f>
        <v>0</v>
      </c>
      <c r="G40">
        <f>ROUND(State_lookup!F39*(National_totals!$H$7/SUM(National_totals!$C$7:$I$7)), 0)</f>
        <v>0</v>
      </c>
      <c r="H40">
        <f>ROUND(State_lookup!F39*(National_totals!$I$7/SUM(National_totals!$C$7:$I$7)), 0)</f>
        <v>0</v>
      </c>
    </row>
    <row r="41" spans="1:8" x14ac:dyDescent="0.45">
      <c r="A41" t="str">
        <f>State_lookup!B40</f>
        <v>South Dakota</v>
      </c>
      <c r="B41">
        <f>ROUND(State_lookup!F40*(National_totals!$C$7/SUM(National_totals!$C$7:$I$7)), 0)</f>
        <v>0</v>
      </c>
      <c r="C41">
        <f>ROUND(State_lookup!F40*(National_totals!$D$7/SUM(National_totals!$C$7:$I$7)), 0)</f>
        <v>0</v>
      </c>
      <c r="D41">
        <f>ROUND(State_lookup!F40*(National_totals!$E$7/SUM(National_totals!$C$7:$I$7)), 0)</f>
        <v>147254</v>
      </c>
      <c r="E41">
        <f>ROUND(State_lookup!F40*(National_totals!$F$7/SUM(National_totals!$C$7:$I$7)), 0)</f>
        <v>0</v>
      </c>
      <c r="F41">
        <f>ROUND(State_lookup!F40*(National_totals!$G$7/SUM(National_totals!$C$7:$I$7)), 0)</f>
        <v>0</v>
      </c>
      <c r="G41">
        <f>ROUND(State_lookup!F40*(National_totals!$H$7/SUM(National_totals!$C$7:$I$7)), 0)</f>
        <v>0</v>
      </c>
      <c r="H41">
        <f>ROUND(State_lookup!F40*(National_totals!$I$7/SUM(National_totals!$C$7:$I$7)), 0)</f>
        <v>0</v>
      </c>
    </row>
    <row r="42" spans="1:8" x14ac:dyDescent="0.45">
      <c r="A42" t="str">
        <f>State_lookup!B41</f>
        <v>Tennessee</v>
      </c>
      <c r="B42">
        <f>ROUND(State_lookup!F41*(National_totals!$C$7/SUM(National_totals!$C$7:$I$7)), 0)</f>
        <v>0</v>
      </c>
      <c r="C42">
        <f>ROUND(State_lookup!F41*(National_totals!$D$7/SUM(National_totals!$C$7:$I$7)), 0)</f>
        <v>0</v>
      </c>
      <c r="D42">
        <f>ROUND(State_lookup!F41*(National_totals!$E$7/SUM(National_totals!$C$7:$I$7)), 0)</f>
        <v>204353</v>
      </c>
      <c r="E42">
        <f>ROUND(State_lookup!F41*(National_totals!$F$7/SUM(National_totals!$C$7:$I$7)), 0)</f>
        <v>0</v>
      </c>
      <c r="F42">
        <f>ROUND(State_lookup!F41*(National_totals!$G$7/SUM(National_totals!$C$7:$I$7)), 0)</f>
        <v>0</v>
      </c>
      <c r="G42">
        <f>ROUND(State_lookup!F41*(National_totals!$H$7/SUM(National_totals!$C$7:$I$7)), 0)</f>
        <v>0</v>
      </c>
      <c r="H42">
        <f>ROUND(State_lookup!F41*(National_totals!$I$7/SUM(National_totals!$C$7:$I$7)), 0)</f>
        <v>0</v>
      </c>
    </row>
    <row r="43" spans="1:8" x14ac:dyDescent="0.45">
      <c r="A43" t="str">
        <f>State_lookup!B42</f>
        <v>Texas</v>
      </c>
      <c r="B43">
        <f>ROUND(State_lookup!F42*(National_totals!$C$7/SUM(National_totals!$C$7:$I$7)), 0)</f>
        <v>0</v>
      </c>
      <c r="C43">
        <f>ROUND(State_lookup!F42*(National_totals!$D$7/SUM(National_totals!$C$7:$I$7)), 0)</f>
        <v>0</v>
      </c>
      <c r="D43">
        <f>ROUND(State_lookup!F42*(National_totals!$E$7/SUM(National_totals!$C$7:$I$7)), 0)</f>
        <v>326186</v>
      </c>
      <c r="E43">
        <f>ROUND(State_lookup!F42*(National_totals!$F$7/SUM(National_totals!$C$7:$I$7)), 0)</f>
        <v>0</v>
      </c>
      <c r="F43">
        <f>ROUND(State_lookup!F42*(National_totals!$G$7/SUM(National_totals!$C$7:$I$7)), 0)</f>
        <v>0</v>
      </c>
      <c r="G43">
        <f>ROUND(State_lookup!F42*(National_totals!$H$7/SUM(National_totals!$C$7:$I$7)), 0)</f>
        <v>0</v>
      </c>
      <c r="H43">
        <f>ROUND(State_lookup!F42*(National_totals!$I$7/SUM(National_totals!$C$7:$I$7)), 0)</f>
        <v>0</v>
      </c>
    </row>
    <row r="44" spans="1:8" x14ac:dyDescent="0.45">
      <c r="A44" t="str">
        <f>State_lookup!B43</f>
        <v>Utah</v>
      </c>
      <c r="B44">
        <f>ROUND(State_lookup!F43*(National_totals!$C$7/SUM(National_totals!$C$7:$I$7)), 0)</f>
        <v>0</v>
      </c>
      <c r="C44">
        <f>ROUND(State_lookup!F43*(National_totals!$D$7/SUM(National_totals!$C$7:$I$7)), 0)</f>
        <v>0</v>
      </c>
      <c r="D44">
        <f>ROUND(State_lookup!F43*(National_totals!$E$7/SUM(National_totals!$C$7:$I$7)), 0)</f>
        <v>256780</v>
      </c>
      <c r="E44">
        <f>ROUND(State_lookup!F43*(National_totals!$F$7/SUM(National_totals!$C$7:$I$7)), 0)</f>
        <v>0</v>
      </c>
      <c r="F44">
        <f>ROUND(State_lookup!F43*(National_totals!$G$7/SUM(National_totals!$C$7:$I$7)), 0)</f>
        <v>0</v>
      </c>
      <c r="G44">
        <f>ROUND(State_lookup!F43*(National_totals!$H$7/SUM(National_totals!$C$7:$I$7)), 0)</f>
        <v>0</v>
      </c>
      <c r="H44">
        <f>ROUND(State_lookup!F43*(National_totals!$I$7/SUM(National_totals!$C$7:$I$7)), 0)</f>
        <v>0</v>
      </c>
    </row>
    <row r="45" spans="1:8" x14ac:dyDescent="0.45">
      <c r="A45" t="str">
        <f>State_lookup!B44</f>
        <v>Vermont</v>
      </c>
      <c r="B45">
        <f>ROUND(State_lookup!F44*(National_totals!$C$7/SUM(National_totals!$C$7:$I$7)), 0)</f>
        <v>0</v>
      </c>
      <c r="C45">
        <f>ROUND(State_lookup!F44*(National_totals!$D$7/SUM(National_totals!$C$7:$I$7)), 0)</f>
        <v>0</v>
      </c>
      <c r="D45">
        <f>ROUND(State_lookup!F44*(National_totals!$E$7/SUM(National_totals!$C$7:$I$7)), 0)</f>
        <v>31427</v>
      </c>
      <c r="E45">
        <f>ROUND(State_lookup!F44*(National_totals!$F$7/SUM(National_totals!$C$7:$I$7)), 0)</f>
        <v>0</v>
      </c>
      <c r="F45">
        <f>ROUND(State_lookup!F44*(National_totals!$G$7/SUM(National_totals!$C$7:$I$7)), 0)</f>
        <v>0</v>
      </c>
      <c r="G45">
        <f>ROUND(State_lookup!F44*(National_totals!$H$7/SUM(National_totals!$C$7:$I$7)), 0)</f>
        <v>0</v>
      </c>
      <c r="H45">
        <f>ROUND(State_lookup!F44*(National_totals!$I$7/SUM(National_totals!$C$7:$I$7)), 0)</f>
        <v>0</v>
      </c>
    </row>
    <row r="46" spans="1:8" x14ac:dyDescent="0.45">
      <c r="A46" t="str">
        <f>State_lookup!B45</f>
        <v>Virginia</v>
      </c>
      <c r="B46">
        <f>ROUND(State_lookup!F45*(National_totals!$C$7/SUM(National_totals!$C$7:$I$7)), 0)</f>
        <v>0</v>
      </c>
      <c r="C46">
        <f>ROUND(State_lookup!F45*(National_totals!$D$7/SUM(National_totals!$C$7:$I$7)), 0)</f>
        <v>0</v>
      </c>
      <c r="D46">
        <f>ROUND(State_lookup!F45*(National_totals!$E$7/SUM(National_totals!$C$7:$I$7)), 0)</f>
        <v>190615</v>
      </c>
      <c r="E46">
        <f>ROUND(State_lookup!F45*(National_totals!$F$7/SUM(National_totals!$C$7:$I$7)), 0)</f>
        <v>0</v>
      </c>
      <c r="F46">
        <f>ROUND(State_lookup!F45*(National_totals!$G$7/SUM(National_totals!$C$7:$I$7)), 0)</f>
        <v>0</v>
      </c>
      <c r="G46">
        <f>ROUND(State_lookup!F45*(National_totals!$H$7/SUM(National_totals!$C$7:$I$7)), 0)</f>
        <v>0</v>
      </c>
      <c r="H46">
        <f>ROUND(State_lookup!F45*(National_totals!$I$7/SUM(National_totals!$C$7:$I$7)), 0)</f>
        <v>0</v>
      </c>
    </row>
    <row r="47" spans="1:8" x14ac:dyDescent="0.45">
      <c r="A47" t="str">
        <f>State_lookup!B46</f>
        <v>Washington</v>
      </c>
      <c r="B47">
        <f>ROUND(State_lookup!F46*(National_totals!$C$7/SUM(National_totals!$C$7:$I$7)), 0)</f>
        <v>0</v>
      </c>
      <c r="C47">
        <f>ROUND(State_lookup!F46*(National_totals!$D$7/SUM(National_totals!$C$7:$I$7)), 0)</f>
        <v>0</v>
      </c>
      <c r="D47">
        <f>ROUND(State_lookup!F46*(National_totals!$E$7/SUM(National_totals!$C$7:$I$7)), 0)</f>
        <v>200298</v>
      </c>
      <c r="E47">
        <f>ROUND(State_lookup!F46*(National_totals!$F$7/SUM(National_totals!$C$7:$I$7)), 0)</f>
        <v>0</v>
      </c>
      <c r="F47">
        <f>ROUND(State_lookup!F46*(National_totals!$G$7/SUM(National_totals!$C$7:$I$7)), 0)</f>
        <v>0</v>
      </c>
      <c r="G47">
        <f>ROUND(State_lookup!F46*(National_totals!$H$7/SUM(National_totals!$C$7:$I$7)), 0)</f>
        <v>0</v>
      </c>
      <c r="H47">
        <f>ROUND(State_lookup!F46*(National_totals!$I$7/SUM(National_totals!$C$7:$I$7)), 0)</f>
        <v>0</v>
      </c>
    </row>
    <row r="48" spans="1:8" x14ac:dyDescent="0.45">
      <c r="A48" t="str">
        <f>State_lookup!B47</f>
        <v>West Virginia</v>
      </c>
      <c r="B48">
        <f>ROUND(State_lookup!F47*(National_totals!$C$7/SUM(National_totals!$C$7:$I$7)), 0)</f>
        <v>0</v>
      </c>
      <c r="C48">
        <f>ROUND(State_lookup!F47*(National_totals!$D$7/SUM(National_totals!$C$7:$I$7)), 0)</f>
        <v>0</v>
      </c>
      <c r="D48">
        <f>ROUND(State_lookup!F47*(National_totals!$E$7/SUM(National_totals!$C$7:$I$7)), 0)</f>
        <v>47662</v>
      </c>
      <c r="E48">
        <f>ROUND(State_lookup!F47*(National_totals!$F$7/SUM(National_totals!$C$7:$I$7)), 0)</f>
        <v>0</v>
      </c>
      <c r="F48">
        <f>ROUND(State_lookup!F47*(National_totals!$G$7/SUM(National_totals!$C$7:$I$7)), 0)</f>
        <v>0</v>
      </c>
      <c r="G48">
        <f>ROUND(State_lookup!F47*(National_totals!$H$7/SUM(National_totals!$C$7:$I$7)), 0)</f>
        <v>0</v>
      </c>
      <c r="H48">
        <f>ROUND(State_lookup!F47*(National_totals!$I$7/SUM(National_totals!$C$7:$I$7)), 0)</f>
        <v>0</v>
      </c>
    </row>
    <row r="49" spans="1:8" x14ac:dyDescent="0.45">
      <c r="A49" t="str">
        <f>State_lookup!B48</f>
        <v>Wisconsin</v>
      </c>
      <c r="B49">
        <f>ROUND(State_lookup!F48*(National_totals!$C$7/SUM(National_totals!$C$7:$I$7)), 0)</f>
        <v>0</v>
      </c>
      <c r="C49">
        <f>ROUND(State_lookup!F48*(National_totals!$D$7/SUM(National_totals!$C$7:$I$7)), 0)</f>
        <v>0</v>
      </c>
      <c r="D49">
        <f>ROUND(State_lookup!F48*(National_totals!$E$7/SUM(National_totals!$C$7:$I$7)), 0)</f>
        <v>279308</v>
      </c>
      <c r="E49">
        <f>ROUND(State_lookup!F48*(National_totals!$F$7/SUM(National_totals!$C$7:$I$7)), 0)</f>
        <v>0</v>
      </c>
      <c r="F49">
        <f>ROUND(State_lookup!F48*(National_totals!$G$7/SUM(National_totals!$C$7:$I$7)), 0)</f>
        <v>0</v>
      </c>
      <c r="G49">
        <f>ROUND(State_lookup!F48*(National_totals!$H$7/SUM(National_totals!$C$7:$I$7)), 0)</f>
        <v>0</v>
      </c>
      <c r="H49">
        <f>ROUND(State_lookup!F48*(National_totals!$I$7/SUM(National_totals!$C$7:$I$7)), 0)</f>
        <v>0</v>
      </c>
    </row>
    <row r="50" spans="1:8" x14ac:dyDescent="0.45">
      <c r="A50" t="str">
        <f>State_lookup!B49</f>
        <v>Wyoming</v>
      </c>
      <c r="B50">
        <f>ROUND(State_lookup!F49*(National_totals!$C$7/SUM(National_totals!$C$7:$I$7)), 0)</f>
        <v>0</v>
      </c>
      <c r="C50">
        <f>ROUND(State_lookup!F49*(National_totals!$D$7/SUM(National_totals!$C$7:$I$7)), 0)</f>
        <v>0</v>
      </c>
      <c r="D50">
        <f>ROUND(State_lookup!F49*(National_totals!$E$7/SUM(National_totals!$C$7:$I$7)), 0)</f>
        <v>28613</v>
      </c>
      <c r="E50">
        <f>ROUND(State_lookup!F49*(National_totals!$F$7/SUM(National_totals!$C$7:$I$7)), 0)</f>
        <v>0</v>
      </c>
      <c r="F50">
        <f>ROUND(State_lookup!F49*(National_totals!$G$7/SUM(National_totals!$C$7:$I$7)), 0)</f>
        <v>0</v>
      </c>
      <c r="G50">
        <f>ROUND(State_lookup!F49*(National_totals!$H$7/SUM(National_totals!$C$7:$I$7)), 0)</f>
        <v>0</v>
      </c>
      <c r="H50">
        <f>ROUND(State_lookup!F49*(National_totals!$I$7/SUM(National_totals!$C$7:$I$7)),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9207532</v>
      </c>
      <c r="E51" s="4">
        <f t="shared" si="0"/>
        <v>0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National_totals!$C$7</f>
        <v>0</v>
      </c>
      <c r="C52" s="4">
        <f>National_totals!$D$7</f>
        <v>0</v>
      </c>
      <c r="D52" s="4">
        <f>National_totals!$E$7</f>
        <v>9261249</v>
      </c>
      <c r="E52" s="4">
        <f>National_totals!$F$7</f>
        <v>0</v>
      </c>
      <c r="F52" s="4">
        <f>National_totals!$G$7</f>
        <v>0</v>
      </c>
      <c r="G52" s="4">
        <f>National_totals!$H$7</f>
        <v>0</v>
      </c>
      <c r="H52" s="4">
        <f>National_totals!$I$7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-5.800189585659558E-3</v>
      </c>
      <c r="E53" s="7">
        <f t="shared" si="1"/>
        <v>0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343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ROUND(State_lookup!E2*Keys!$C$32*Keys!$C$29*(National_totals!$C$8/SUM(National_totals!$C$8:$I$8)), 0)</f>
        <v>897</v>
      </c>
      <c r="C3">
        <f>ROUND(State_lookup!E2*Keys!$C$32*Keys!$C$29*(National_totals!$D$8/SUM(National_totals!$C$8:$I$8)), 0)</f>
        <v>164</v>
      </c>
      <c r="D3">
        <f>ROUND(State_lookup!E2*Keys!$C$32*Keys!$C$29*(National_totals!$E$8/SUM(National_totals!$C$8:$I$8)), 0)</f>
        <v>83198</v>
      </c>
      <c r="E3">
        <f>ROUND(State_lookup!E2*Keys!$C$32*Keys!$C$29*(National_totals!$F$8/SUM(National_totals!$C$8:$I$8)), 0)</f>
        <v>71107</v>
      </c>
      <c r="F3">
        <f>ROUND(State_lookup!E2*Keys!$C$32*Keys!$C$29*(National_totals!$G$8/SUM(National_totals!$C$8:$I$8)), 0)</f>
        <v>3</v>
      </c>
      <c r="G3">
        <f>ROUND(State_lookup!E2*Keys!$C$32*Keys!$C$29*(National_totals!$H$8/SUM(National_totals!$C$8:$I$8)), 0)</f>
        <v>15</v>
      </c>
      <c r="H3">
        <f>ROUND(State_lookup!E2*Keys!$C$32*Keys!$C$29*(National_totals!$I$8/SUM(National_totals!$C$8:$I$8)), 0)</f>
        <v>0</v>
      </c>
    </row>
    <row r="4" spans="1:8" x14ac:dyDescent="0.45">
      <c r="A4" t="str">
        <f>State_lookup!B3</f>
        <v>Arizona</v>
      </c>
      <c r="B4">
        <f>ROUND(State_lookup!E3*Keys!$C$32*Keys!$C$29*(National_totals!$C$8/SUM(National_totals!$C$8:$I$8)), 0)</f>
        <v>1023</v>
      </c>
      <c r="C4">
        <f>ROUND(State_lookup!E3*Keys!$C$32*Keys!$C$29*(National_totals!$D$8/SUM(National_totals!$C$8:$I$8)), 0)</f>
        <v>187</v>
      </c>
      <c r="D4">
        <f>ROUND(State_lookup!E3*Keys!$C$32*Keys!$C$29*(National_totals!$E$8/SUM(National_totals!$C$8:$I$8)), 0)</f>
        <v>94912</v>
      </c>
      <c r="E4">
        <f>ROUND(State_lookup!E3*Keys!$C$32*Keys!$C$29*(National_totals!$F$8/SUM(National_totals!$C$8:$I$8)), 0)</f>
        <v>81119</v>
      </c>
      <c r="F4">
        <f>ROUND(State_lookup!E3*Keys!$C$32*Keys!$C$29*(National_totals!$G$8/SUM(National_totals!$C$8:$I$8)), 0)</f>
        <v>4</v>
      </c>
      <c r="G4">
        <f>ROUND(State_lookup!E3*Keys!$C$32*Keys!$C$29*(National_totals!$H$8/SUM(National_totals!$C$8:$I$8)), 0)</f>
        <v>17</v>
      </c>
      <c r="H4">
        <f>ROUND(State_lookup!E3*Keys!$C$32*Keys!$C$29*(National_totals!$I$8/SUM(National_totals!$C$8:$I$8)), 0)</f>
        <v>0</v>
      </c>
    </row>
    <row r="5" spans="1:8" x14ac:dyDescent="0.45">
      <c r="A5" t="str">
        <f>State_lookup!B4</f>
        <v>Arkansas</v>
      </c>
      <c r="B5">
        <f>ROUND(State_lookup!E4*Keys!$C$32*Keys!$C$29*(National_totals!$C$8/SUM(National_totals!$C$8:$I$8)), 0)</f>
        <v>586</v>
      </c>
      <c r="C5">
        <f>ROUND(State_lookup!E4*Keys!$C$32*Keys!$C$29*(National_totals!$D$8/SUM(National_totals!$C$8:$I$8)), 0)</f>
        <v>107</v>
      </c>
      <c r="D5">
        <f>ROUND(State_lookup!E4*Keys!$C$32*Keys!$C$29*(National_totals!$E$8/SUM(National_totals!$C$8:$I$8)), 0)</f>
        <v>54379</v>
      </c>
      <c r="E5">
        <f>ROUND(State_lookup!E4*Keys!$C$32*Keys!$C$29*(National_totals!$F$8/SUM(National_totals!$C$8:$I$8)), 0)</f>
        <v>46476</v>
      </c>
      <c r="F5">
        <f>ROUND(State_lookup!E4*Keys!$C$32*Keys!$C$29*(National_totals!$G$8/SUM(National_totals!$C$8:$I$8)), 0)</f>
        <v>2</v>
      </c>
      <c r="G5">
        <f>ROUND(State_lookup!E4*Keys!$C$32*Keys!$C$29*(National_totals!$H$8/SUM(National_totals!$C$8:$I$8)), 0)</f>
        <v>9</v>
      </c>
      <c r="H5">
        <f>ROUND(State_lookup!E4*Keys!$C$32*Keys!$C$29*(National_totals!$I$8/SUM(National_totals!$C$8:$I$8)), 0)</f>
        <v>0</v>
      </c>
    </row>
    <row r="6" spans="1:8" x14ac:dyDescent="0.45">
      <c r="A6" t="str">
        <f>State_lookup!B5</f>
        <v>California</v>
      </c>
      <c r="B6">
        <f>ROUND(State_lookup!E5*Keys!$C$32*Keys!$C$29*(National_totals!$C$8/SUM(National_totals!$C$8:$I$8)), 0)</f>
        <v>4279</v>
      </c>
      <c r="C6">
        <f>ROUND(State_lookup!E5*Keys!$C$32*Keys!$C$29*(National_totals!$D$8/SUM(National_totals!$C$8:$I$8)), 0)</f>
        <v>782</v>
      </c>
      <c r="D6">
        <f>ROUND(State_lookup!E5*Keys!$C$32*Keys!$C$29*(National_totals!$E$8/SUM(National_totals!$C$8:$I$8)), 0)</f>
        <v>397094</v>
      </c>
      <c r="E6">
        <f>ROUND(State_lookup!E5*Keys!$C$32*Keys!$C$29*(National_totals!$F$8/SUM(National_totals!$C$8:$I$8)), 0)</f>
        <v>339385</v>
      </c>
      <c r="F6">
        <f>ROUND(State_lookup!E5*Keys!$C$32*Keys!$C$29*(National_totals!$G$8/SUM(National_totals!$C$8:$I$8)), 0)</f>
        <v>15</v>
      </c>
      <c r="G6">
        <f>ROUND(State_lookup!E5*Keys!$C$32*Keys!$C$29*(National_totals!$H$8/SUM(National_totals!$C$8:$I$8)), 0)</f>
        <v>69</v>
      </c>
      <c r="H6">
        <f>ROUND(State_lookup!E5*Keys!$C$32*Keys!$C$29*(National_totals!$I$8/SUM(National_totals!$C$8:$I$8)), 0)</f>
        <v>0</v>
      </c>
    </row>
    <row r="7" spans="1:8" x14ac:dyDescent="0.45">
      <c r="A7" t="str">
        <f>State_lookup!B6</f>
        <v>Colorado</v>
      </c>
      <c r="B7">
        <f>ROUND(State_lookup!E6*Keys!$C$32*Keys!$C$29*(National_totals!$C$8/SUM(National_totals!$C$8:$I$8)), 0)</f>
        <v>933</v>
      </c>
      <c r="C7">
        <f>ROUND(State_lookup!E6*Keys!$C$32*Keys!$C$29*(National_totals!$D$8/SUM(National_totals!$C$8:$I$8)), 0)</f>
        <v>170</v>
      </c>
      <c r="D7">
        <f>ROUND(State_lookup!E6*Keys!$C$32*Keys!$C$29*(National_totals!$E$8/SUM(National_totals!$C$8:$I$8)), 0)</f>
        <v>86573</v>
      </c>
      <c r="E7">
        <f>ROUND(State_lookup!E6*Keys!$C$32*Keys!$C$29*(National_totals!$F$8/SUM(National_totals!$C$8:$I$8)), 0)</f>
        <v>73992</v>
      </c>
      <c r="F7">
        <f>ROUND(State_lookup!E6*Keys!$C$32*Keys!$C$29*(National_totals!$G$8/SUM(National_totals!$C$8:$I$8)), 0)</f>
        <v>3</v>
      </c>
      <c r="G7">
        <f>ROUND(State_lookup!E6*Keys!$C$32*Keys!$C$29*(National_totals!$H$8/SUM(National_totals!$C$8:$I$8)), 0)</f>
        <v>15</v>
      </c>
      <c r="H7">
        <f>ROUND(State_lookup!E6*Keys!$C$32*Keys!$C$29*(National_totals!$I$8/SUM(National_totals!$C$8:$I$8)), 0)</f>
        <v>0</v>
      </c>
    </row>
    <row r="8" spans="1:8" x14ac:dyDescent="0.45">
      <c r="A8" t="str">
        <f>State_lookup!B7</f>
        <v>Connecticut</v>
      </c>
      <c r="B8">
        <f>ROUND(State_lookup!E7*Keys!$C$32*Keys!$C$29*(National_totals!$C$8/SUM(National_totals!$C$8:$I$8)), 0)</f>
        <v>422</v>
      </c>
      <c r="C8">
        <f>ROUND(State_lookup!E7*Keys!$C$32*Keys!$C$29*(National_totals!$D$8/SUM(National_totals!$C$8:$I$8)), 0)</f>
        <v>77</v>
      </c>
      <c r="D8">
        <f>ROUND(State_lookup!E7*Keys!$C$32*Keys!$C$29*(National_totals!$E$8/SUM(National_totals!$C$8:$I$8)), 0)</f>
        <v>39185</v>
      </c>
      <c r="E8">
        <f>ROUND(State_lookup!E7*Keys!$C$32*Keys!$C$29*(National_totals!$F$8/SUM(National_totals!$C$8:$I$8)), 0)</f>
        <v>33490</v>
      </c>
      <c r="F8">
        <f>ROUND(State_lookup!E7*Keys!$C$32*Keys!$C$29*(National_totals!$G$8/SUM(National_totals!$C$8:$I$8)), 0)</f>
        <v>2</v>
      </c>
      <c r="G8">
        <f>ROUND(State_lookup!E7*Keys!$C$32*Keys!$C$29*(National_totals!$H$8/SUM(National_totals!$C$8:$I$8)), 0)</f>
        <v>7</v>
      </c>
      <c r="H8">
        <f>ROUND(State_lookup!E7*Keys!$C$32*Keys!$C$29*(National_totals!$I$8/SUM(National_totals!$C$8:$I$8)), 0)</f>
        <v>0</v>
      </c>
    </row>
    <row r="9" spans="1:8" x14ac:dyDescent="0.45">
      <c r="A9" t="str">
        <f>State_lookup!B8</f>
        <v>Delaware</v>
      </c>
      <c r="B9">
        <f>ROUND(State_lookup!E8*Keys!$C$32*Keys!$C$29*(National_totals!$C$8/SUM(National_totals!$C$8:$I$8)), 0)</f>
        <v>148</v>
      </c>
      <c r="C9">
        <f>ROUND(State_lookup!E8*Keys!$C$32*Keys!$C$29*(National_totals!$D$8/SUM(National_totals!$C$8:$I$8)), 0)</f>
        <v>27</v>
      </c>
      <c r="D9">
        <f>ROUND(State_lookup!E8*Keys!$C$32*Keys!$C$29*(National_totals!$E$8/SUM(National_totals!$C$8:$I$8)), 0)</f>
        <v>13780</v>
      </c>
      <c r="E9">
        <f>ROUND(State_lookup!E8*Keys!$C$32*Keys!$C$29*(National_totals!$F$8/SUM(National_totals!$C$8:$I$8)), 0)</f>
        <v>11777</v>
      </c>
      <c r="F9">
        <f>ROUND(State_lookup!E8*Keys!$C$32*Keys!$C$29*(National_totals!$G$8/SUM(National_totals!$C$8:$I$8)), 0)</f>
        <v>1</v>
      </c>
      <c r="G9">
        <f>ROUND(State_lookup!E8*Keys!$C$32*Keys!$C$29*(National_totals!$H$8/SUM(National_totals!$C$8:$I$8)), 0)</f>
        <v>2</v>
      </c>
      <c r="H9">
        <f>ROUND(State_lookup!E8*Keys!$C$32*Keys!$C$29*(National_totals!$I$8/SUM(National_totals!$C$8:$I$8)), 0)</f>
        <v>0</v>
      </c>
    </row>
    <row r="10" spans="1:8" x14ac:dyDescent="0.45">
      <c r="A10" t="str">
        <f>State_lookup!B9</f>
        <v>Florida</v>
      </c>
      <c r="B10">
        <f>ROUND(State_lookup!E9*Keys!$C$32*Keys!$C$29*(National_totals!$C$8/SUM(National_totals!$C$8:$I$8)), 0)</f>
        <v>2949</v>
      </c>
      <c r="C10">
        <f>ROUND(State_lookup!E9*Keys!$C$32*Keys!$C$29*(National_totals!$D$8/SUM(National_totals!$C$8:$I$8)), 0)</f>
        <v>539</v>
      </c>
      <c r="D10">
        <f>ROUND(State_lookup!E9*Keys!$C$32*Keys!$C$29*(National_totals!$E$8/SUM(National_totals!$C$8:$I$8)), 0)</f>
        <v>273662</v>
      </c>
      <c r="E10">
        <f>ROUND(State_lookup!E9*Keys!$C$32*Keys!$C$29*(National_totals!$F$8/SUM(National_totals!$C$8:$I$8)), 0)</f>
        <v>233891</v>
      </c>
      <c r="F10">
        <f>ROUND(State_lookup!E9*Keys!$C$32*Keys!$C$29*(National_totals!$G$8/SUM(National_totals!$C$8:$I$8)), 0)</f>
        <v>11</v>
      </c>
      <c r="G10">
        <f>ROUND(State_lookup!E9*Keys!$C$32*Keys!$C$29*(National_totals!$H$8/SUM(National_totals!$C$8:$I$8)), 0)</f>
        <v>48</v>
      </c>
      <c r="H10">
        <f>ROUND(State_lookup!E9*Keys!$C$32*Keys!$C$29*(National_totals!$I$8/SUM(National_totals!$C$8:$I$8)), 0)</f>
        <v>0</v>
      </c>
    </row>
    <row r="11" spans="1:8" x14ac:dyDescent="0.45">
      <c r="A11" t="str">
        <f>State_lookup!B10</f>
        <v>Georgia</v>
      </c>
      <c r="B11">
        <f>ROUND(State_lookup!E10*Keys!$C$32*Keys!$C$29*(National_totals!$C$8/SUM(National_totals!$C$8:$I$8)), 0)</f>
        <v>1461</v>
      </c>
      <c r="C11">
        <f>ROUND(State_lookup!E10*Keys!$C$32*Keys!$C$29*(National_totals!$D$8/SUM(National_totals!$C$8:$I$8)), 0)</f>
        <v>267</v>
      </c>
      <c r="D11">
        <f>ROUND(State_lookup!E10*Keys!$C$32*Keys!$C$29*(National_totals!$E$8/SUM(National_totals!$C$8:$I$8)), 0)</f>
        <v>135556</v>
      </c>
      <c r="E11">
        <f>ROUND(State_lookup!E10*Keys!$C$32*Keys!$C$29*(National_totals!$F$8/SUM(National_totals!$C$8:$I$8)), 0)</f>
        <v>115856</v>
      </c>
      <c r="F11">
        <f>ROUND(State_lookup!E10*Keys!$C$32*Keys!$C$29*(National_totals!$G$8/SUM(National_totals!$C$8:$I$8)), 0)</f>
        <v>5</v>
      </c>
      <c r="G11">
        <f>ROUND(State_lookup!E10*Keys!$C$32*Keys!$C$29*(National_totals!$H$8/SUM(National_totals!$C$8:$I$8)), 0)</f>
        <v>24</v>
      </c>
      <c r="H11">
        <f>ROUND(State_lookup!E10*Keys!$C$32*Keys!$C$29*(National_totals!$I$8/SUM(National_totals!$C$8:$I$8)), 0)</f>
        <v>0</v>
      </c>
    </row>
    <row r="12" spans="1:8" x14ac:dyDescent="0.45">
      <c r="A12" t="str">
        <f>State_lookup!B11</f>
        <v>Idaho</v>
      </c>
      <c r="B12">
        <f>ROUND(State_lookup!E11*Keys!$C$32*Keys!$C$29*(National_totals!$C$8/SUM(National_totals!$C$8:$I$8)), 0)</f>
        <v>360</v>
      </c>
      <c r="C12">
        <f>ROUND(State_lookup!E11*Keys!$C$32*Keys!$C$29*(National_totals!$D$8/SUM(National_totals!$C$8:$I$8)), 0)</f>
        <v>66</v>
      </c>
      <c r="D12">
        <f>ROUND(State_lookup!E11*Keys!$C$32*Keys!$C$29*(National_totals!$E$8/SUM(National_totals!$C$8:$I$8)), 0)</f>
        <v>33426</v>
      </c>
      <c r="E12">
        <f>ROUND(State_lookup!E11*Keys!$C$32*Keys!$C$29*(National_totals!$F$8/SUM(National_totals!$C$8:$I$8)), 0)</f>
        <v>28568</v>
      </c>
      <c r="F12">
        <f>ROUND(State_lookup!E11*Keys!$C$32*Keys!$C$29*(National_totals!$G$8/SUM(National_totals!$C$8:$I$8)), 0)</f>
        <v>1</v>
      </c>
      <c r="G12">
        <f>ROUND(State_lookup!E11*Keys!$C$32*Keys!$C$29*(National_totals!$H$8/SUM(National_totals!$C$8:$I$8)), 0)</f>
        <v>6</v>
      </c>
      <c r="H12">
        <f>ROUND(State_lookup!E11*Keys!$C$32*Keys!$C$29*(National_totals!$I$8/SUM(National_totals!$C$8:$I$8)), 0)</f>
        <v>0</v>
      </c>
    </row>
    <row r="13" spans="1:8" x14ac:dyDescent="0.45">
      <c r="A13" t="str">
        <f>State_lookup!B12</f>
        <v>Illinois</v>
      </c>
      <c r="B13">
        <f>ROUND(State_lookup!E12*Keys!$C$32*Keys!$C$29*(National_totals!$C$8/SUM(National_totals!$C$8:$I$8)), 0)</f>
        <v>1682</v>
      </c>
      <c r="C13">
        <f>ROUND(State_lookup!E12*Keys!$C$32*Keys!$C$29*(National_totals!$D$8/SUM(National_totals!$C$8:$I$8)), 0)</f>
        <v>307</v>
      </c>
      <c r="D13">
        <f>ROUND(State_lookup!E12*Keys!$C$32*Keys!$C$29*(National_totals!$E$8/SUM(National_totals!$C$8:$I$8)), 0)</f>
        <v>156096</v>
      </c>
      <c r="E13">
        <f>ROUND(State_lookup!E12*Keys!$C$32*Keys!$C$29*(National_totals!$F$8/SUM(National_totals!$C$8:$I$8)), 0)</f>
        <v>133411</v>
      </c>
      <c r="F13">
        <f>ROUND(State_lookup!E12*Keys!$C$32*Keys!$C$29*(National_totals!$G$8/SUM(National_totals!$C$8:$I$8)), 0)</f>
        <v>6</v>
      </c>
      <c r="G13">
        <f>ROUND(State_lookup!E12*Keys!$C$32*Keys!$C$29*(National_totals!$H$8/SUM(National_totals!$C$8:$I$8)), 0)</f>
        <v>27</v>
      </c>
      <c r="H13">
        <f>ROUND(State_lookup!E12*Keys!$C$32*Keys!$C$29*(National_totals!$I$8/SUM(National_totals!$C$8:$I$8)), 0)</f>
        <v>0</v>
      </c>
    </row>
    <row r="14" spans="1:8" x14ac:dyDescent="0.45">
      <c r="A14" t="str">
        <f>State_lookup!B13</f>
        <v>Indiana</v>
      </c>
      <c r="B14">
        <f>ROUND(State_lookup!E13*Keys!$C$32*Keys!$C$29*(National_totals!$C$8/SUM(National_totals!$C$8:$I$8)), 0)</f>
        <v>1018</v>
      </c>
      <c r="C14">
        <f>ROUND(State_lookup!E13*Keys!$C$32*Keys!$C$29*(National_totals!$D$8/SUM(National_totals!$C$8:$I$8)), 0)</f>
        <v>186</v>
      </c>
      <c r="D14">
        <f>ROUND(State_lookup!E13*Keys!$C$32*Keys!$C$29*(National_totals!$E$8/SUM(National_totals!$C$8:$I$8)), 0)</f>
        <v>94516</v>
      </c>
      <c r="E14">
        <f>ROUND(State_lookup!E13*Keys!$C$32*Keys!$C$29*(National_totals!$F$8/SUM(National_totals!$C$8:$I$8)), 0)</f>
        <v>80780</v>
      </c>
      <c r="F14">
        <f>ROUND(State_lookup!E13*Keys!$C$32*Keys!$C$29*(National_totals!$G$8/SUM(National_totals!$C$8:$I$8)), 0)</f>
        <v>4</v>
      </c>
      <c r="G14">
        <f>ROUND(State_lookup!E13*Keys!$C$32*Keys!$C$29*(National_totals!$H$8/SUM(National_totals!$C$8:$I$8)), 0)</f>
        <v>16</v>
      </c>
      <c r="H14">
        <f>ROUND(State_lookup!E13*Keys!$C$32*Keys!$C$29*(National_totals!$I$8/SUM(National_totals!$C$8:$I$8)), 0)</f>
        <v>0</v>
      </c>
    </row>
    <row r="15" spans="1:8" x14ac:dyDescent="0.45">
      <c r="A15" t="str">
        <f>State_lookup!B14</f>
        <v>Iowa</v>
      </c>
      <c r="B15">
        <f>ROUND(State_lookup!E14*Keys!$C$32*Keys!$C$29*(National_totals!$C$8/SUM(National_totals!$C$8:$I$8)), 0)</f>
        <v>662</v>
      </c>
      <c r="C15">
        <f>ROUND(State_lookup!E14*Keys!$C$32*Keys!$C$29*(National_totals!$D$8/SUM(National_totals!$C$8:$I$8)), 0)</f>
        <v>121</v>
      </c>
      <c r="D15">
        <f>ROUND(State_lookup!E14*Keys!$C$32*Keys!$C$29*(National_totals!$E$8/SUM(National_totals!$C$8:$I$8)), 0)</f>
        <v>61426</v>
      </c>
      <c r="E15">
        <f>ROUND(State_lookup!E14*Keys!$C$32*Keys!$C$29*(National_totals!$F$8/SUM(National_totals!$C$8:$I$8)), 0)</f>
        <v>52499</v>
      </c>
      <c r="F15">
        <f>ROUND(State_lookup!E14*Keys!$C$32*Keys!$C$29*(National_totals!$G$8/SUM(National_totals!$C$8:$I$8)), 0)</f>
        <v>2</v>
      </c>
      <c r="G15">
        <f>ROUND(State_lookup!E14*Keys!$C$32*Keys!$C$29*(National_totals!$H$8/SUM(National_totals!$C$8:$I$8)), 0)</f>
        <v>11</v>
      </c>
      <c r="H15">
        <f>ROUND(State_lookup!E14*Keys!$C$32*Keys!$C$29*(National_totals!$I$8/SUM(National_totals!$C$8:$I$8)), 0)</f>
        <v>0</v>
      </c>
    </row>
    <row r="16" spans="1:8" x14ac:dyDescent="0.45">
      <c r="A16" t="str">
        <f>State_lookup!B15</f>
        <v>Kansas</v>
      </c>
      <c r="B16">
        <f>ROUND(State_lookup!E15*Keys!$C$32*Keys!$C$29*(National_totals!$C$8/SUM(National_totals!$C$8:$I$8)), 0)</f>
        <v>329</v>
      </c>
      <c r="C16">
        <f>ROUND(State_lookup!E15*Keys!$C$32*Keys!$C$29*(National_totals!$D$8/SUM(National_totals!$C$8:$I$8)), 0)</f>
        <v>60</v>
      </c>
      <c r="D16">
        <f>ROUND(State_lookup!E15*Keys!$C$32*Keys!$C$29*(National_totals!$E$8/SUM(National_totals!$C$8:$I$8)), 0)</f>
        <v>30556</v>
      </c>
      <c r="E16">
        <f>ROUND(State_lookup!E15*Keys!$C$32*Keys!$C$29*(National_totals!$F$8/SUM(National_totals!$C$8:$I$8)), 0)</f>
        <v>26115</v>
      </c>
      <c r="F16">
        <f>ROUND(State_lookup!E15*Keys!$C$32*Keys!$C$29*(National_totals!$G$8/SUM(National_totals!$C$8:$I$8)), 0)</f>
        <v>1</v>
      </c>
      <c r="G16">
        <f>ROUND(State_lookup!E15*Keys!$C$32*Keys!$C$29*(National_totals!$H$8/SUM(National_totals!$C$8:$I$8)), 0)</f>
        <v>5</v>
      </c>
      <c r="H16">
        <f>ROUND(State_lookup!E15*Keys!$C$32*Keys!$C$29*(National_totals!$I$8/SUM(National_totals!$C$8:$I$8)), 0)</f>
        <v>0</v>
      </c>
    </row>
    <row r="17" spans="1:8" x14ac:dyDescent="0.45">
      <c r="A17" t="str">
        <f>State_lookup!B16</f>
        <v>Kentucky</v>
      </c>
      <c r="B17">
        <f>ROUND(State_lookup!E16*Keys!$C$32*Keys!$C$29*(National_totals!$C$8/SUM(National_totals!$C$8:$I$8)), 0)</f>
        <v>743</v>
      </c>
      <c r="C17">
        <f>ROUND(State_lookup!E16*Keys!$C$32*Keys!$C$29*(National_totals!$D$8/SUM(National_totals!$C$8:$I$8)), 0)</f>
        <v>136</v>
      </c>
      <c r="D17">
        <f>ROUND(State_lookup!E16*Keys!$C$32*Keys!$C$29*(National_totals!$E$8/SUM(National_totals!$C$8:$I$8)), 0)</f>
        <v>68950</v>
      </c>
      <c r="E17">
        <f>ROUND(State_lookup!E16*Keys!$C$32*Keys!$C$29*(National_totals!$F$8/SUM(National_totals!$C$8:$I$8)), 0)</f>
        <v>58930</v>
      </c>
      <c r="F17">
        <f>ROUND(State_lookup!E16*Keys!$C$32*Keys!$C$29*(National_totals!$G$8/SUM(National_totals!$C$8:$I$8)), 0)</f>
        <v>3</v>
      </c>
      <c r="G17">
        <f>ROUND(State_lookup!E16*Keys!$C$32*Keys!$C$29*(National_totals!$H$8/SUM(National_totals!$C$8:$I$8)), 0)</f>
        <v>12</v>
      </c>
      <c r="H17">
        <f>ROUND(State_lookup!E16*Keys!$C$32*Keys!$C$29*(National_totals!$I$8/SUM(National_totals!$C$8:$I$8)), 0)</f>
        <v>0</v>
      </c>
    </row>
    <row r="18" spans="1:8" x14ac:dyDescent="0.45">
      <c r="A18" t="str">
        <f>State_lookup!B17</f>
        <v>Louisiana</v>
      </c>
      <c r="B18">
        <f>ROUND(State_lookup!E17*Keys!$C$32*Keys!$C$29*(National_totals!$C$8/SUM(National_totals!$C$8:$I$8)), 0)</f>
        <v>762</v>
      </c>
      <c r="C18">
        <f>ROUND(State_lookup!E17*Keys!$C$32*Keys!$C$29*(National_totals!$D$8/SUM(National_totals!$C$8:$I$8)), 0)</f>
        <v>139</v>
      </c>
      <c r="D18">
        <f>ROUND(State_lookup!E17*Keys!$C$32*Keys!$C$29*(National_totals!$E$8/SUM(National_totals!$C$8:$I$8)), 0)</f>
        <v>70694</v>
      </c>
      <c r="E18">
        <f>ROUND(State_lookup!E17*Keys!$C$32*Keys!$C$29*(National_totals!$F$8/SUM(National_totals!$C$8:$I$8)), 0)</f>
        <v>60420</v>
      </c>
      <c r="F18">
        <f>ROUND(State_lookup!E17*Keys!$C$32*Keys!$C$29*(National_totals!$G$8/SUM(National_totals!$C$8:$I$8)), 0)</f>
        <v>3</v>
      </c>
      <c r="G18">
        <f>ROUND(State_lookup!E17*Keys!$C$32*Keys!$C$29*(National_totals!$H$8/SUM(National_totals!$C$8:$I$8)), 0)</f>
        <v>12</v>
      </c>
      <c r="H18">
        <f>ROUND(State_lookup!E17*Keys!$C$32*Keys!$C$29*(National_totals!$I$8/SUM(National_totals!$C$8:$I$8)), 0)</f>
        <v>0</v>
      </c>
    </row>
    <row r="19" spans="1:8" x14ac:dyDescent="0.45">
      <c r="A19" t="str">
        <f>State_lookup!B18</f>
        <v>Maine</v>
      </c>
      <c r="B19">
        <f>ROUND(State_lookup!E18*Keys!$C$32*Keys!$C$29*(National_totals!$C$8/SUM(National_totals!$C$8:$I$8)), 0)</f>
        <v>211</v>
      </c>
      <c r="C19">
        <f>ROUND(State_lookup!E18*Keys!$C$32*Keys!$C$29*(National_totals!$D$8/SUM(National_totals!$C$8:$I$8)), 0)</f>
        <v>39</v>
      </c>
      <c r="D19">
        <f>ROUND(State_lookup!E18*Keys!$C$32*Keys!$C$29*(National_totals!$E$8/SUM(National_totals!$C$8:$I$8)), 0)</f>
        <v>19610</v>
      </c>
      <c r="E19">
        <f>ROUND(State_lookup!E18*Keys!$C$32*Keys!$C$29*(National_totals!$F$8/SUM(National_totals!$C$8:$I$8)), 0)</f>
        <v>16761</v>
      </c>
      <c r="F19">
        <f>ROUND(State_lookup!E18*Keys!$C$32*Keys!$C$29*(National_totals!$G$8/SUM(National_totals!$C$8:$I$8)), 0)</f>
        <v>1</v>
      </c>
      <c r="G19">
        <f>ROUND(State_lookup!E18*Keys!$C$32*Keys!$C$29*(National_totals!$H$8/SUM(National_totals!$C$8:$I$8)), 0)</f>
        <v>3</v>
      </c>
      <c r="H19">
        <f>ROUND(State_lookup!E18*Keys!$C$32*Keys!$C$29*(National_totals!$I$8/SUM(National_totals!$C$8:$I$8)), 0)</f>
        <v>0</v>
      </c>
    </row>
    <row r="20" spans="1:8" x14ac:dyDescent="0.45">
      <c r="A20" t="str">
        <f>State_lookup!B19</f>
        <v>Maryland</v>
      </c>
      <c r="B20">
        <f>ROUND(State_lookup!E19*Keys!$C$32*Keys!$C$29*(National_totals!$C$8/SUM(National_totals!$C$8:$I$8)), 0)</f>
        <v>736</v>
      </c>
      <c r="C20">
        <f>ROUND(State_lookup!E19*Keys!$C$32*Keys!$C$29*(National_totals!$D$8/SUM(National_totals!$C$8:$I$8)), 0)</f>
        <v>134</v>
      </c>
      <c r="D20">
        <f>ROUND(State_lookup!E19*Keys!$C$32*Keys!$C$29*(National_totals!$E$8/SUM(National_totals!$C$8:$I$8)), 0)</f>
        <v>68267</v>
      </c>
      <c r="E20">
        <f>ROUND(State_lookup!E19*Keys!$C$32*Keys!$C$29*(National_totals!$F$8/SUM(National_totals!$C$8:$I$8)), 0)</f>
        <v>58346</v>
      </c>
      <c r="F20">
        <f>ROUND(State_lookup!E19*Keys!$C$32*Keys!$C$29*(National_totals!$G$8/SUM(National_totals!$C$8:$I$8)), 0)</f>
        <v>3</v>
      </c>
      <c r="G20">
        <f>ROUND(State_lookup!E19*Keys!$C$32*Keys!$C$29*(National_totals!$H$8/SUM(National_totals!$C$8:$I$8)), 0)</f>
        <v>12</v>
      </c>
      <c r="H20">
        <f>ROUND(State_lookup!E19*Keys!$C$32*Keys!$C$29*(National_totals!$I$8/SUM(National_totals!$C$8:$I$8)), 0)</f>
        <v>0</v>
      </c>
    </row>
    <row r="21" spans="1:8" x14ac:dyDescent="0.45">
      <c r="A21" t="str">
        <f>State_lookup!B20</f>
        <v>Massachusetts</v>
      </c>
      <c r="B21">
        <f>ROUND(State_lookup!E20*Keys!$C$32*Keys!$C$29*(National_totals!$C$8/SUM(National_totals!$C$8:$I$8)), 0)</f>
        <v>808</v>
      </c>
      <c r="C21">
        <f>ROUND(State_lookup!E20*Keys!$C$32*Keys!$C$29*(National_totals!$D$8/SUM(National_totals!$C$8:$I$8)), 0)</f>
        <v>148</v>
      </c>
      <c r="D21">
        <f>ROUND(State_lookup!E20*Keys!$C$32*Keys!$C$29*(National_totals!$E$8/SUM(National_totals!$C$8:$I$8)), 0)</f>
        <v>75001</v>
      </c>
      <c r="E21">
        <f>ROUND(State_lookup!E20*Keys!$C$32*Keys!$C$29*(National_totals!$F$8/SUM(National_totals!$C$8:$I$8)), 0)</f>
        <v>64101</v>
      </c>
      <c r="F21">
        <f>ROUND(State_lookup!E20*Keys!$C$32*Keys!$C$29*(National_totals!$G$8/SUM(National_totals!$C$8:$I$8)), 0)</f>
        <v>3</v>
      </c>
      <c r="G21">
        <f>ROUND(State_lookup!E20*Keys!$C$32*Keys!$C$29*(National_totals!$H$8/SUM(National_totals!$C$8:$I$8)), 0)</f>
        <v>13</v>
      </c>
      <c r="H21">
        <f>ROUND(State_lookup!E20*Keys!$C$32*Keys!$C$29*(National_totals!$I$8/SUM(National_totals!$C$8:$I$8)), 0)</f>
        <v>0</v>
      </c>
    </row>
    <row r="22" spans="1:8" x14ac:dyDescent="0.45">
      <c r="A22" t="str">
        <f>State_lookup!B21</f>
        <v>Michigan</v>
      </c>
      <c r="B22">
        <f>ROUND(State_lookup!E21*Keys!$C$32*Keys!$C$29*(National_totals!$C$8/SUM(National_totals!$C$8:$I$8)), 0)</f>
        <v>1715</v>
      </c>
      <c r="C22">
        <f>ROUND(State_lookup!E21*Keys!$C$32*Keys!$C$29*(National_totals!$D$8/SUM(National_totals!$C$8:$I$8)), 0)</f>
        <v>313</v>
      </c>
      <c r="D22">
        <f>ROUND(State_lookup!E21*Keys!$C$32*Keys!$C$29*(National_totals!$E$8/SUM(National_totals!$C$8:$I$8)), 0)</f>
        <v>159194</v>
      </c>
      <c r="E22">
        <f>ROUND(State_lookup!E21*Keys!$C$32*Keys!$C$29*(National_totals!$F$8/SUM(National_totals!$C$8:$I$8)), 0)</f>
        <v>136058</v>
      </c>
      <c r="F22">
        <f>ROUND(State_lookup!E21*Keys!$C$32*Keys!$C$29*(National_totals!$G$8/SUM(National_totals!$C$8:$I$8)), 0)</f>
        <v>6</v>
      </c>
      <c r="G22">
        <f>ROUND(State_lookup!E21*Keys!$C$32*Keys!$C$29*(National_totals!$H$8/SUM(National_totals!$C$8:$I$8)), 0)</f>
        <v>28</v>
      </c>
      <c r="H22">
        <f>ROUND(State_lookup!E21*Keys!$C$32*Keys!$C$29*(National_totals!$I$8/SUM(National_totals!$C$8:$I$8)), 0)</f>
        <v>0</v>
      </c>
    </row>
    <row r="23" spans="1:8" x14ac:dyDescent="0.45">
      <c r="A23" t="str">
        <f>State_lookup!B22</f>
        <v>Minnesota</v>
      </c>
      <c r="B23">
        <f>ROUND(State_lookup!E22*Keys!$C$32*Keys!$C$29*(National_totals!$C$8/SUM(National_totals!$C$8:$I$8)), 0)</f>
        <v>1022</v>
      </c>
      <c r="C23">
        <f>ROUND(State_lookup!E22*Keys!$C$32*Keys!$C$29*(National_totals!$D$8/SUM(National_totals!$C$8:$I$8)), 0)</f>
        <v>187</v>
      </c>
      <c r="D23">
        <f>ROUND(State_lookup!E22*Keys!$C$32*Keys!$C$29*(National_totals!$E$8/SUM(National_totals!$C$8:$I$8)), 0)</f>
        <v>94846</v>
      </c>
      <c r="E23">
        <f>ROUND(State_lookup!E22*Keys!$C$32*Keys!$C$29*(National_totals!$F$8/SUM(National_totals!$C$8:$I$8)), 0)</f>
        <v>81063</v>
      </c>
      <c r="F23">
        <f>ROUND(State_lookup!E22*Keys!$C$32*Keys!$C$29*(National_totals!$G$8/SUM(National_totals!$C$8:$I$8)), 0)</f>
        <v>4</v>
      </c>
      <c r="G23">
        <f>ROUND(State_lookup!E22*Keys!$C$32*Keys!$C$29*(National_totals!$H$8/SUM(National_totals!$C$8:$I$8)), 0)</f>
        <v>17</v>
      </c>
      <c r="H23">
        <f>ROUND(State_lookup!E22*Keys!$C$32*Keys!$C$29*(National_totals!$I$8/SUM(National_totals!$C$8:$I$8)), 0)</f>
        <v>0</v>
      </c>
    </row>
    <row r="24" spans="1:8" x14ac:dyDescent="0.45">
      <c r="A24" t="str">
        <f>State_lookup!B23</f>
        <v>Mississippi</v>
      </c>
      <c r="B24">
        <f>ROUND(State_lookup!E23*Keys!$C$32*Keys!$C$29*(National_totals!$C$8/SUM(National_totals!$C$8:$I$8)), 0)</f>
        <v>355</v>
      </c>
      <c r="C24">
        <f>ROUND(State_lookup!E23*Keys!$C$32*Keys!$C$29*(National_totals!$D$8/SUM(National_totals!$C$8:$I$8)), 0)</f>
        <v>65</v>
      </c>
      <c r="D24">
        <f>ROUND(State_lookup!E23*Keys!$C$32*Keys!$C$29*(National_totals!$E$8/SUM(National_totals!$C$8:$I$8)), 0)</f>
        <v>32911</v>
      </c>
      <c r="E24">
        <f>ROUND(State_lookup!E23*Keys!$C$32*Keys!$C$29*(National_totals!$F$8/SUM(National_totals!$C$8:$I$8)), 0)</f>
        <v>28128</v>
      </c>
      <c r="F24">
        <f>ROUND(State_lookup!E23*Keys!$C$32*Keys!$C$29*(National_totals!$G$8/SUM(National_totals!$C$8:$I$8)), 0)</f>
        <v>1</v>
      </c>
      <c r="G24">
        <f>ROUND(State_lookup!E23*Keys!$C$32*Keys!$C$29*(National_totals!$H$8/SUM(National_totals!$C$8:$I$8)), 0)</f>
        <v>6</v>
      </c>
      <c r="H24">
        <f>ROUND(State_lookup!E23*Keys!$C$32*Keys!$C$29*(National_totals!$I$8/SUM(National_totals!$C$8:$I$8)), 0)</f>
        <v>0</v>
      </c>
    </row>
    <row r="25" spans="1:8" x14ac:dyDescent="0.45">
      <c r="A25" t="str">
        <f>State_lookup!B24</f>
        <v>Missouri</v>
      </c>
      <c r="B25">
        <f>ROUND(State_lookup!E24*Keys!$C$32*Keys!$C$29*(National_totals!$C$8/SUM(National_totals!$C$8:$I$8)), 0)</f>
        <v>905</v>
      </c>
      <c r="C25">
        <f>ROUND(State_lookup!E24*Keys!$C$32*Keys!$C$29*(National_totals!$D$8/SUM(National_totals!$C$8:$I$8)), 0)</f>
        <v>165</v>
      </c>
      <c r="D25">
        <f>ROUND(State_lookup!E24*Keys!$C$32*Keys!$C$29*(National_totals!$E$8/SUM(National_totals!$C$8:$I$8)), 0)</f>
        <v>83996</v>
      </c>
      <c r="E25">
        <f>ROUND(State_lookup!E24*Keys!$C$32*Keys!$C$29*(National_totals!$F$8/SUM(National_totals!$C$8:$I$8)), 0)</f>
        <v>71789</v>
      </c>
      <c r="F25">
        <f>ROUND(State_lookup!E24*Keys!$C$32*Keys!$C$29*(National_totals!$G$8/SUM(National_totals!$C$8:$I$8)), 0)</f>
        <v>3</v>
      </c>
      <c r="G25">
        <f>ROUND(State_lookup!E24*Keys!$C$32*Keys!$C$29*(National_totals!$H$8/SUM(National_totals!$C$8:$I$8)), 0)</f>
        <v>15</v>
      </c>
      <c r="H25">
        <f>ROUND(State_lookup!E24*Keys!$C$32*Keys!$C$29*(National_totals!$I$8/SUM(National_totals!$C$8:$I$8)), 0)</f>
        <v>0</v>
      </c>
    </row>
    <row r="26" spans="1:8" x14ac:dyDescent="0.45">
      <c r="A26" t="str">
        <f>State_lookup!B25</f>
        <v>Montana</v>
      </c>
      <c r="B26">
        <f>ROUND(State_lookup!E25*Keys!$C$32*Keys!$C$29*(National_totals!$C$8/SUM(National_totals!$C$8:$I$8)), 0)</f>
        <v>192</v>
      </c>
      <c r="C26">
        <f>ROUND(State_lookup!E25*Keys!$C$32*Keys!$C$29*(National_totals!$D$8/SUM(National_totals!$C$8:$I$8)), 0)</f>
        <v>35</v>
      </c>
      <c r="D26">
        <f>ROUND(State_lookup!E25*Keys!$C$32*Keys!$C$29*(National_totals!$E$8/SUM(National_totals!$C$8:$I$8)), 0)</f>
        <v>17832</v>
      </c>
      <c r="E26">
        <f>ROUND(State_lookup!E25*Keys!$C$32*Keys!$C$29*(National_totals!$F$8/SUM(National_totals!$C$8:$I$8)), 0)</f>
        <v>15240</v>
      </c>
      <c r="F26">
        <f>ROUND(State_lookup!E25*Keys!$C$32*Keys!$C$29*(National_totals!$G$8/SUM(National_totals!$C$8:$I$8)), 0)</f>
        <v>1</v>
      </c>
      <c r="G26">
        <f>ROUND(State_lookup!E25*Keys!$C$32*Keys!$C$29*(National_totals!$H$8/SUM(National_totals!$C$8:$I$8)), 0)</f>
        <v>3</v>
      </c>
      <c r="H26">
        <f>ROUND(State_lookup!E25*Keys!$C$32*Keys!$C$29*(National_totals!$I$8/SUM(National_totals!$C$8:$I$8)), 0)</f>
        <v>0</v>
      </c>
    </row>
    <row r="27" spans="1:8" x14ac:dyDescent="0.45">
      <c r="A27" t="str">
        <f>State_lookup!B26</f>
        <v>Nebraska</v>
      </c>
      <c r="B27">
        <f>ROUND(State_lookup!E26*Keys!$C$32*Keys!$C$29*(National_totals!$C$8/SUM(National_totals!$C$8:$I$8)), 0)</f>
        <v>342</v>
      </c>
      <c r="C27">
        <f>ROUND(State_lookup!E26*Keys!$C$32*Keys!$C$29*(National_totals!$D$8/SUM(National_totals!$C$8:$I$8)), 0)</f>
        <v>63</v>
      </c>
      <c r="D27">
        <f>ROUND(State_lookup!E26*Keys!$C$32*Keys!$C$29*(National_totals!$E$8/SUM(National_totals!$C$8:$I$8)), 0)</f>
        <v>31749</v>
      </c>
      <c r="E27">
        <f>ROUND(State_lookup!E26*Keys!$C$32*Keys!$C$29*(National_totals!$F$8/SUM(National_totals!$C$8:$I$8)), 0)</f>
        <v>27135</v>
      </c>
      <c r="F27">
        <f>ROUND(State_lookup!E26*Keys!$C$32*Keys!$C$29*(National_totals!$G$8/SUM(National_totals!$C$8:$I$8)), 0)</f>
        <v>1</v>
      </c>
      <c r="G27">
        <f>ROUND(State_lookup!E26*Keys!$C$32*Keys!$C$29*(National_totals!$H$8/SUM(National_totals!$C$8:$I$8)), 0)</f>
        <v>6</v>
      </c>
      <c r="H27">
        <f>ROUND(State_lookup!E26*Keys!$C$32*Keys!$C$29*(National_totals!$I$8/SUM(National_totals!$C$8:$I$8)), 0)</f>
        <v>0</v>
      </c>
    </row>
    <row r="28" spans="1:8" x14ac:dyDescent="0.45">
      <c r="A28" t="str">
        <f>State_lookup!B27</f>
        <v>Nevada</v>
      </c>
      <c r="B28">
        <f>ROUND(State_lookup!E27*Keys!$C$32*Keys!$C$29*(National_totals!$C$8/SUM(National_totals!$C$8:$I$8)), 0)</f>
        <v>363</v>
      </c>
      <c r="C28">
        <f>ROUND(State_lookup!E27*Keys!$C$32*Keys!$C$29*(National_totals!$D$8/SUM(National_totals!$C$8:$I$8)), 0)</f>
        <v>66</v>
      </c>
      <c r="D28">
        <f>ROUND(State_lookup!E27*Keys!$C$32*Keys!$C$29*(National_totals!$E$8/SUM(National_totals!$C$8:$I$8)), 0)</f>
        <v>33650</v>
      </c>
      <c r="E28">
        <f>ROUND(State_lookup!E27*Keys!$C$32*Keys!$C$29*(National_totals!$F$8/SUM(National_totals!$C$8:$I$8)), 0)</f>
        <v>28760</v>
      </c>
      <c r="F28">
        <f>ROUND(State_lookup!E27*Keys!$C$32*Keys!$C$29*(National_totals!$G$8/SUM(National_totals!$C$8:$I$8)), 0)</f>
        <v>1</v>
      </c>
      <c r="G28">
        <f>ROUND(State_lookup!E27*Keys!$C$32*Keys!$C$29*(National_totals!$H$8/SUM(National_totals!$C$8:$I$8)), 0)</f>
        <v>6</v>
      </c>
      <c r="H28">
        <f>ROUND(State_lookup!E27*Keys!$C$32*Keys!$C$29*(National_totals!$I$8/SUM(National_totals!$C$8:$I$8)), 0)</f>
        <v>0</v>
      </c>
    </row>
    <row r="29" spans="1:8" x14ac:dyDescent="0.45">
      <c r="A29" t="str">
        <f>State_lookup!B28</f>
        <v>New Hampshire</v>
      </c>
      <c r="B29">
        <f>ROUND(State_lookup!E28*Keys!$C$32*Keys!$C$29*(National_totals!$C$8/SUM(National_totals!$C$8:$I$8)), 0)</f>
        <v>228</v>
      </c>
      <c r="C29">
        <f>ROUND(State_lookup!E28*Keys!$C$32*Keys!$C$29*(National_totals!$D$8/SUM(National_totals!$C$8:$I$8)), 0)</f>
        <v>42</v>
      </c>
      <c r="D29">
        <f>ROUND(State_lookup!E28*Keys!$C$32*Keys!$C$29*(National_totals!$E$8/SUM(National_totals!$C$8:$I$8)), 0)</f>
        <v>21136</v>
      </c>
      <c r="E29">
        <f>ROUND(State_lookup!E28*Keys!$C$32*Keys!$C$29*(National_totals!$F$8/SUM(National_totals!$C$8:$I$8)), 0)</f>
        <v>18064</v>
      </c>
      <c r="F29">
        <f>ROUND(State_lookup!E28*Keys!$C$32*Keys!$C$29*(National_totals!$G$8/SUM(National_totals!$C$8:$I$8)), 0)</f>
        <v>1</v>
      </c>
      <c r="G29">
        <f>ROUND(State_lookup!E28*Keys!$C$32*Keys!$C$29*(National_totals!$H$8/SUM(National_totals!$C$8:$I$8)), 0)</f>
        <v>4</v>
      </c>
      <c r="H29">
        <f>ROUND(State_lookup!E28*Keys!$C$32*Keys!$C$29*(National_totals!$I$8/SUM(National_totals!$C$8:$I$8)), 0)</f>
        <v>0</v>
      </c>
    </row>
    <row r="30" spans="1:8" x14ac:dyDescent="0.45">
      <c r="A30" t="str">
        <f>State_lookup!B29</f>
        <v>New Jersey</v>
      </c>
      <c r="B30">
        <f>ROUND(State_lookup!E29*Keys!$C$32*Keys!$C$29*(National_totals!$C$8/SUM(National_totals!$C$8:$I$8)), 0)</f>
        <v>953</v>
      </c>
      <c r="C30">
        <f>ROUND(State_lookup!E29*Keys!$C$32*Keys!$C$29*(National_totals!$D$8/SUM(National_totals!$C$8:$I$8)), 0)</f>
        <v>174</v>
      </c>
      <c r="D30">
        <f>ROUND(State_lookup!E29*Keys!$C$32*Keys!$C$29*(National_totals!$E$8/SUM(National_totals!$C$8:$I$8)), 0)</f>
        <v>88400</v>
      </c>
      <c r="E30">
        <f>ROUND(State_lookup!E29*Keys!$C$32*Keys!$C$29*(National_totals!$F$8/SUM(National_totals!$C$8:$I$8)), 0)</f>
        <v>75553</v>
      </c>
      <c r="F30">
        <f>ROUND(State_lookup!E29*Keys!$C$32*Keys!$C$29*(National_totals!$G$8/SUM(National_totals!$C$8:$I$8)), 0)</f>
        <v>3</v>
      </c>
      <c r="G30">
        <f>ROUND(State_lookup!E29*Keys!$C$32*Keys!$C$29*(National_totals!$H$8/SUM(National_totals!$C$8:$I$8)), 0)</f>
        <v>15</v>
      </c>
      <c r="H30">
        <f>ROUND(State_lookup!E29*Keys!$C$32*Keys!$C$29*(National_totals!$I$8/SUM(National_totals!$C$8:$I$8)), 0)</f>
        <v>0</v>
      </c>
    </row>
    <row r="31" spans="1:8" x14ac:dyDescent="0.45">
      <c r="A31" t="str">
        <f>State_lookup!B30</f>
        <v>New Mexico</v>
      </c>
      <c r="B31">
        <f>ROUND(State_lookup!E30*Keys!$C$32*Keys!$C$29*(National_totals!$C$8/SUM(National_totals!$C$8:$I$8)), 0)</f>
        <v>319</v>
      </c>
      <c r="C31">
        <f>ROUND(State_lookup!E30*Keys!$C$32*Keys!$C$29*(National_totals!$D$8/SUM(National_totals!$C$8:$I$8)), 0)</f>
        <v>58</v>
      </c>
      <c r="D31">
        <f>ROUND(State_lookup!E30*Keys!$C$32*Keys!$C$29*(National_totals!$E$8/SUM(National_totals!$C$8:$I$8)), 0)</f>
        <v>29626</v>
      </c>
      <c r="E31">
        <f>ROUND(State_lookup!E30*Keys!$C$32*Keys!$C$29*(National_totals!$F$8/SUM(National_totals!$C$8:$I$8)), 0)</f>
        <v>25321</v>
      </c>
      <c r="F31">
        <f>ROUND(State_lookup!E30*Keys!$C$32*Keys!$C$29*(National_totals!$G$8/SUM(National_totals!$C$8:$I$8)), 0)</f>
        <v>1</v>
      </c>
      <c r="G31">
        <f>ROUND(State_lookup!E30*Keys!$C$32*Keys!$C$29*(National_totals!$H$8/SUM(National_totals!$C$8:$I$8)), 0)</f>
        <v>5</v>
      </c>
      <c r="H31">
        <f>ROUND(State_lookup!E30*Keys!$C$32*Keys!$C$29*(National_totals!$I$8/SUM(National_totals!$C$8:$I$8)), 0)</f>
        <v>0</v>
      </c>
    </row>
    <row r="32" spans="1:8" x14ac:dyDescent="0.45">
      <c r="A32" t="str">
        <f>State_lookup!B31</f>
        <v>New York</v>
      </c>
      <c r="B32">
        <f>ROUND(State_lookup!E31*Keys!$C$32*Keys!$C$29*(National_totals!$C$8/SUM(National_totals!$C$8:$I$8)), 0)</f>
        <v>1916</v>
      </c>
      <c r="C32">
        <f>ROUND(State_lookup!E31*Keys!$C$32*Keys!$C$29*(National_totals!$D$8/SUM(National_totals!$C$8:$I$8)), 0)</f>
        <v>350</v>
      </c>
      <c r="D32">
        <f>ROUND(State_lookup!E31*Keys!$C$32*Keys!$C$29*(National_totals!$E$8/SUM(National_totals!$C$8:$I$8)), 0)</f>
        <v>177785</v>
      </c>
      <c r="E32">
        <f>ROUND(State_lookup!E31*Keys!$C$32*Keys!$C$29*(National_totals!$F$8/SUM(National_totals!$C$8:$I$8)), 0)</f>
        <v>151948</v>
      </c>
      <c r="F32">
        <f>ROUND(State_lookup!E31*Keys!$C$32*Keys!$C$29*(National_totals!$G$8/SUM(National_totals!$C$8:$I$8)), 0)</f>
        <v>7</v>
      </c>
      <c r="G32">
        <f>ROUND(State_lookup!E31*Keys!$C$32*Keys!$C$29*(National_totals!$H$8/SUM(National_totals!$C$8:$I$8)), 0)</f>
        <v>31</v>
      </c>
      <c r="H32">
        <f>ROUND(State_lookup!E31*Keys!$C$32*Keys!$C$29*(National_totals!$I$8/SUM(National_totals!$C$8:$I$8)), 0)</f>
        <v>0</v>
      </c>
    </row>
    <row r="33" spans="1:8" x14ac:dyDescent="0.45">
      <c r="A33" t="str">
        <f>State_lookup!B32</f>
        <v>North Carolina</v>
      </c>
      <c r="B33">
        <f>ROUND(State_lookup!E32*Keys!$C$32*Keys!$C$29*(National_totals!$C$8/SUM(National_totals!$C$8:$I$8)), 0)</f>
        <v>1409</v>
      </c>
      <c r="C33">
        <f>ROUND(State_lookup!E32*Keys!$C$32*Keys!$C$29*(National_totals!$D$8/SUM(National_totals!$C$8:$I$8)), 0)</f>
        <v>257</v>
      </c>
      <c r="D33">
        <f>ROUND(State_lookup!E32*Keys!$C$32*Keys!$C$29*(National_totals!$E$8/SUM(National_totals!$C$8:$I$8)), 0)</f>
        <v>130740</v>
      </c>
      <c r="E33">
        <f>ROUND(State_lookup!E32*Keys!$C$32*Keys!$C$29*(National_totals!$F$8/SUM(National_totals!$C$8:$I$8)), 0)</f>
        <v>111740</v>
      </c>
      <c r="F33">
        <f>ROUND(State_lookup!E32*Keys!$C$32*Keys!$C$29*(National_totals!$G$8/SUM(National_totals!$C$8:$I$8)), 0)</f>
        <v>5</v>
      </c>
      <c r="G33">
        <f>ROUND(State_lookup!E32*Keys!$C$32*Keys!$C$29*(National_totals!$H$8/SUM(National_totals!$C$8:$I$8)), 0)</f>
        <v>23</v>
      </c>
      <c r="H33">
        <f>ROUND(State_lookup!E32*Keys!$C$32*Keys!$C$29*(National_totals!$I$8/SUM(National_totals!$C$8:$I$8)), 0)</f>
        <v>0</v>
      </c>
    </row>
    <row r="34" spans="1:8" x14ac:dyDescent="0.45">
      <c r="A34" t="str">
        <f>State_lookup!B33</f>
        <v>North Dakota</v>
      </c>
      <c r="B34">
        <f>ROUND(State_lookup!E33*Keys!$C$32*Keys!$C$29*(National_totals!$C$8/SUM(National_totals!$C$8:$I$8)), 0)</f>
        <v>203</v>
      </c>
      <c r="C34">
        <f>ROUND(State_lookup!E33*Keys!$C$32*Keys!$C$29*(National_totals!$D$8/SUM(National_totals!$C$8:$I$8)), 0)</f>
        <v>37</v>
      </c>
      <c r="D34">
        <f>ROUND(State_lookup!E33*Keys!$C$32*Keys!$C$29*(National_totals!$E$8/SUM(National_totals!$C$8:$I$8)), 0)</f>
        <v>18879</v>
      </c>
      <c r="E34">
        <f>ROUND(State_lookup!E33*Keys!$C$32*Keys!$C$29*(National_totals!$F$8/SUM(National_totals!$C$8:$I$8)), 0)</f>
        <v>16135</v>
      </c>
      <c r="F34">
        <f>ROUND(State_lookup!E33*Keys!$C$32*Keys!$C$29*(National_totals!$G$8/SUM(National_totals!$C$8:$I$8)), 0)</f>
        <v>1</v>
      </c>
      <c r="G34">
        <f>ROUND(State_lookup!E33*Keys!$C$32*Keys!$C$29*(National_totals!$H$8/SUM(National_totals!$C$8:$I$8)), 0)</f>
        <v>3</v>
      </c>
      <c r="H34">
        <f>ROUND(State_lookup!E33*Keys!$C$32*Keys!$C$29*(National_totals!$I$8/SUM(National_totals!$C$8:$I$8)), 0)</f>
        <v>0</v>
      </c>
    </row>
    <row r="35" spans="1:8" x14ac:dyDescent="0.45">
      <c r="A35" t="str">
        <f>State_lookup!B34</f>
        <v>Ohio</v>
      </c>
      <c r="B35">
        <f>ROUND(State_lookup!E34*Keys!$C$32*Keys!$C$29*(National_totals!$C$8/SUM(National_totals!$C$8:$I$8)), 0)</f>
        <v>1776</v>
      </c>
      <c r="C35">
        <f>ROUND(State_lookup!E34*Keys!$C$32*Keys!$C$29*(National_totals!$D$8/SUM(National_totals!$C$8:$I$8)), 0)</f>
        <v>325</v>
      </c>
      <c r="D35">
        <f>ROUND(State_lookup!E34*Keys!$C$32*Keys!$C$29*(National_totals!$E$8/SUM(National_totals!$C$8:$I$8)), 0)</f>
        <v>164822</v>
      </c>
      <c r="E35">
        <f>ROUND(State_lookup!E34*Keys!$C$32*Keys!$C$29*(National_totals!$F$8/SUM(National_totals!$C$8:$I$8)), 0)</f>
        <v>140869</v>
      </c>
      <c r="F35">
        <f>ROUND(State_lookup!E34*Keys!$C$32*Keys!$C$29*(National_totals!$G$8/SUM(National_totals!$C$8:$I$8)), 0)</f>
        <v>6</v>
      </c>
      <c r="G35">
        <f>ROUND(State_lookup!E34*Keys!$C$32*Keys!$C$29*(National_totals!$H$8/SUM(National_totals!$C$8:$I$8)), 0)</f>
        <v>29</v>
      </c>
      <c r="H35">
        <f>ROUND(State_lookup!E34*Keys!$C$32*Keys!$C$29*(National_totals!$I$8/SUM(National_totals!$C$8:$I$8)), 0)</f>
        <v>0</v>
      </c>
    </row>
    <row r="36" spans="1:8" x14ac:dyDescent="0.45">
      <c r="A36" t="str">
        <f>State_lookup!B35</f>
        <v>Oklahoma</v>
      </c>
      <c r="B36">
        <f>ROUND(State_lookup!E35*Keys!$C$32*Keys!$C$29*(National_totals!$C$8/SUM(National_totals!$C$8:$I$8)), 0)</f>
        <v>626</v>
      </c>
      <c r="C36">
        <f>ROUND(State_lookup!E35*Keys!$C$32*Keys!$C$29*(National_totals!$D$8/SUM(National_totals!$C$8:$I$8)), 0)</f>
        <v>114</v>
      </c>
      <c r="D36">
        <f>ROUND(State_lookup!E35*Keys!$C$32*Keys!$C$29*(National_totals!$E$8/SUM(National_totals!$C$8:$I$8)), 0)</f>
        <v>58128</v>
      </c>
      <c r="E36">
        <f>ROUND(State_lookup!E35*Keys!$C$32*Keys!$C$29*(National_totals!$F$8/SUM(National_totals!$C$8:$I$8)), 0)</f>
        <v>49680</v>
      </c>
      <c r="F36">
        <f>ROUND(State_lookup!E35*Keys!$C$32*Keys!$C$29*(National_totals!$G$8/SUM(National_totals!$C$8:$I$8)), 0)</f>
        <v>2</v>
      </c>
      <c r="G36">
        <f>ROUND(State_lookup!E35*Keys!$C$32*Keys!$C$29*(National_totals!$H$8/SUM(National_totals!$C$8:$I$8)), 0)</f>
        <v>10</v>
      </c>
      <c r="H36">
        <f>ROUND(State_lookup!E35*Keys!$C$32*Keys!$C$29*(National_totals!$I$8/SUM(National_totals!$C$8:$I$8)), 0)</f>
        <v>0</v>
      </c>
    </row>
    <row r="37" spans="1:8" x14ac:dyDescent="0.45">
      <c r="A37" t="str">
        <f>State_lookup!B36</f>
        <v>Oregon</v>
      </c>
      <c r="B37">
        <f>ROUND(State_lookup!E36*Keys!$C$32*Keys!$C$29*(National_totals!$C$8/SUM(National_totals!$C$8:$I$8)), 0)</f>
        <v>696</v>
      </c>
      <c r="C37">
        <f>ROUND(State_lookup!E36*Keys!$C$32*Keys!$C$29*(National_totals!$D$8/SUM(National_totals!$C$8:$I$8)), 0)</f>
        <v>127</v>
      </c>
      <c r="D37">
        <f>ROUND(State_lookup!E36*Keys!$C$32*Keys!$C$29*(National_totals!$E$8/SUM(National_totals!$C$8:$I$8)), 0)</f>
        <v>64604</v>
      </c>
      <c r="E37">
        <f>ROUND(State_lookup!E36*Keys!$C$32*Keys!$C$29*(National_totals!$F$8/SUM(National_totals!$C$8:$I$8)), 0)</f>
        <v>55215</v>
      </c>
      <c r="F37">
        <f>ROUND(State_lookup!E36*Keys!$C$32*Keys!$C$29*(National_totals!$G$8/SUM(National_totals!$C$8:$I$8)), 0)</f>
        <v>2</v>
      </c>
      <c r="G37">
        <f>ROUND(State_lookup!E36*Keys!$C$32*Keys!$C$29*(National_totals!$H$8/SUM(National_totals!$C$8:$I$8)), 0)</f>
        <v>11</v>
      </c>
      <c r="H37">
        <f>ROUND(State_lookup!E36*Keys!$C$32*Keys!$C$29*(National_totals!$I$8/SUM(National_totals!$C$8:$I$8)), 0)</f>
        <v>0</v>
      </c>
    </row>
    <row r="38" spans="1:8" x14ac:dyDescent="0.45">
      <c r="A38" t="str">
        <f>State_lookup!B37</f>
        <v>Pennsylvania</v>
      </c>
      <c r="B38">
        <f>ROUND(State_lookup!E37*Keys!$C$32*Keys!$C$29*(National_totals!$C$8/SUM(National_totals!$C$8:$I$8)), 0)</f>
        <v>1711</v>
      </c>
      <c r="C38">
        <f>ROUND(State_lookup!E37*Keys!$C$32*Keys!$C$29*(National_totals!$D$8/SUM(National_totals!$C$8:$I$8)), 0)</f>
        <v>313</v>
      </c>
      <c r="D38">
        <f>ROUND(State_lookup!E37*Keys!$C$32*Keys!$C$29*(National_totals!$E$8/SUM(National_totals!$C$8:$I$8)), 0)</f>
        <v>158818</v>
      </c>
      <c r="E38">
        <f>ROUND(State_lookup!E37*Keys!$C$32*Keys!$C$29*(National_totals!$F$8/SUM(National_totals!$C$8:$I$8)), 0)</f>
        <v>135738</v>
      </c>
      <c r="F38">
        <f>ROUND(State_lookup!E37*Keys!$C$32*Keys!$C$29*(National_totals!$G$8/SUM(National_totals!$C$8:$I$8)), 0)</f>
        <v>6</v>
      </c>
      <c r="G38">
        <f>ROUND(State_lookup!E37*Keys!$C$32*Keys!$C$29*(National_totals!$H$8/SUM(National_totals!$C$8:$I$8)), 0)</f>
        <v>28</v>
      </c>
      <c r="H38">
        <f>ROUND(State_lookup!E37*Keys!$C$32*Keys!$C$29*(National_totals!$I$8/SUM(National_totals!$C$8:$I$8)), 0)</f>
        <v>0</v>
      </c>
    </row>
    <row r="39" spans="1:8" x14ac:dyDescent="0.45">
      <c r="A39" t="str">
        <f>State_lookup!B38</f>
        <v>Rhode Island</v>
      </c>
      <c r="B39">
        <f>ROUND(State_lookup!E38*Keys!$C$32*Keys!$C$29*(National_totals!$C$8/SUM(National_totals!$C$8:$I$8)), 0)</f>
        <v>126</v>
      </c>
      <c r="C39">
        <f>ROUND(State_lookup!E38*Keys!$C$32*Keys!$C$29*(National_totals!$D$8/SUM(National_totals!$C$8:$I$8)), 0)</f>
        <v>23</v>
      </c>
      <c r="D39">
        <f>ROUND(State_lookup!E38*Keys!$C$32*Keys!$C$29*(National_totals!$E$8/SUM(National_totals!$C$8:$I$8)), 0)</f>
        <v>11662</v>
      </c>
      <c r="E39">
        <f>ROUND(State_lookup!E38*Keys!$C$32*Keys!$C$29*(National_totals!$F$8/SUM(National_totals!$C$8:$I$8)), 0)</f>
        <v>9967</v>
      </c>
      <c r="F39">
        <f>ROUND(State_lookup!E38*Keys!$C$32*Keys!$C$29*(National_totals!$G$8/SUM(National_totals!$C$8:$I$8)), 0)</f>
        <v>0</v>
      </c>
      <c r="G39">
        <f>ROUND(State_lookup!E38*Keys!$C$32*Keys!$C$29*(National_totals!$H$8/SUM(National_totals!$C$8:$I$8)), 0)</f>
        <v>2</v>
      </c>
      <c r="H39">
        <f>ROUND(State_lookup!E38*Keys!$C$32*Keys!$C$29*(National_totals!$I$8/SUM(National_totals!$C$8:$I$8)), 0)</f>
        <v>0</v>
      </c>
    </row>
    <row r="40" spans="1:8" x14ac:dyDescent="0.45">
      <c r="A40" t="str">
        <f>State_lookup!B39</f>
        <v>South Carolina</v>
      </c>
      <c r="B40">
        <f>ROUND(State_lookup!E39*Keys!$C$32*Keys!$C$29*(National_totals!$C$8/SUM(National_totals!$C$8:$I$8)), 0)</f>
        <v>801</v>
      </c>
      <c r="C40">
        <f>ROUND(State_lookup!E39*Keys!$C$32*Keys!$C$29*(National_totals!$D$8/SUM(National_totals!$C$8:$I$8)), 0)</f>
        <v>146</v>
      </c>
      <c r="D40">
        <f>ROUND(State_lookup!E39*Keys!$C$32*Keys!$C$29*(National_totals!$E$8/SUM(National_totals!$C$8:$I$8)), 0)</f>
        <v>74363</v>
      </c>
      <c r="E40">
        <f>ROUND(State_lookup!E39*Keys!$C$32*Keys!$C$29*(National_totals!$F$8/SUM(National_totals!$C$8:$I$8)), 0)</f>
        <v>63556</v>
      </c>
      <c r="F40">
        <f>ROUND(State_lookup!E39*Keys!$C$32*Keys!$C$29*(National_totals!$G$8/SUM(National_totals!$C$8:$I$8)), 0)</f>
        <v>3</v>
      </c>
      <c r="G40">
        <f>ROUND(State_lookup!E39*Keys!$C$32*Keys!$C$29*(National_totals!$H$8/SUM(National_totals!$C$8:$I$8)), 0)</f>
        <v>13</v>
      </c>
      <c r="H40">
        <f>ROUND(State_lookup!E39*Keys!$C$32*Keys!$C$29*(National_totals!$I$8/SUM(National_totals!$C$8:$I$8)), 0)</f>
        <v>0</v>
      </c>
    </row>
    <row r="41" spans="1:8" x14ac:dyDescent="0.45">
      <c r="A41" t="str">
        <f>State_lookup!B40</f>
        <v>South Dakota</v>
      </c>
      <c r="B41">
        <f>ROUND(State_lookup!E40*Keys!$C$32*Keys!$C$29*(National_totals!$C$8/SUM(National_totals!$C$8:$I$8)), 0)</f>
        <v>239</v>
      </c>
      <c r="C41">
        <f>ROUND(State_lookup!E40*Keys!$C$32*Keys!$C$29*(National_totals!$D$8/SUM(National_totals!$C$8:$I$8)), 0)</f>
        <v>44</v>
      </c>
      <c r="D41">
        <f>ROUND(State_lookup!E40*Keys!$C$32*Keys!$C$29*(National_totals!$E$8/SUM(National_totals!$C$8:$I$8)), 0)</f>
        <v>22138</v>
      </c>
      <c r="E41">
        <f>ROUND(State_lookup!E40*Keys!$C$32*Keys!$C$29*(National_totals!$F$8/SUM(National_totals!$C$8:$I$8)), 0)</f>
        <v>18920</v>
      </c>
      <c r="F41">
        <f>ROUND(State_lookup!E40*Keys!$C$32*Keys!$C$29*(National_totals!$G$8/SUM(National_totals!$C$8:$I$8)), 0)</f>
        <v>1</v>
      </c>
      <c r="G41">
        <f>ROUND(State_lookup!E40*Keys!$C$32*Keys!$C$29*(National_totals!$H$8/SUM(National_totals!$C$8:$I$8)), 0)</f>
        <v>4</v>
      </c>
      <c r="H41">
        <f>ROUND(State_lookup!E40*Keys!$C$32*Keys!$C$29*(National_totals!$I$8/SUM(National_totals!$C$8:$I$8)), 0)</f>
        <v>0</v>
      </c>
    </row>
    <row r="42" spans="1:8" x14ac:dyDescent="0.45">
      <c r="A42" t="str">
        <f>State_lookup!B41</f>
        <v>Tennessee</v>
      </c>
      <c r="B42">
        <f>ROUND(State_lookup!E41*Keys!$C$32*Keys!$C$29*(National_totals!$C$8/SUM(National_totals!$C$8:$I$8)), 0)</f>
        <v>1174</v>
      </c>
      <c r="C42">
        <f>ROUND(State_lookup!E41*Keys!$C$32*Keys!$C$29*(National_totals!$D$8/SUM(National_totals!$C$8:$I$8)), 0)</f>
        <v>215</v>
      </c>
      <c r="D42">
        <f>ROUND(State_lookup!E41*Keys!$C$32*Keys!$C$29*(National_totals!$E$8/SUM(National_totals!$C$8:$I$8)), 0)</f>
        <v>108971</v>
      </c>
      <c r="E42">
        <f>ROUND(State_lookup!E41*Keys!$C$32*Keys!$C$29*(National_totals!$F$8/SUM(National_totals!$C$8:$I$8)), 0)</f>
        <v>93135</v>
      </c>
      <c r="F42">
        <f>ROUND(State_lookup!E41*Keys!$C$32*Keys!$C$29*(National_totals!$G$8/SUM(National_totals!$C$8:$I$8)), 0)</f>
        <v>4</v>
      </c>
      <c r="G42">
        <f>ROUND(State_lookup!E41*Keys!$C$32*Keys!$C$29*(National_totals!$H$8/SUM(National_totals!$C$8:$I$8)), 0)</f>
        <v>19</v>
      </c>
      <c r="H42">
        <f>ROUND(State_lookup!E41*Keys!$C$32*Keys!$C$29*(National_totals!$I$8/SUM(National_totals!$C$8:$I$8)), 0)</f>
        <v>0</v>
      </c>
    </row>
    <row r="43" spans="1:8" x14ac:dyDescent="0.45">
      <c r="A43" t="str">
        <f>State_lookup!B42</f>
        <v>Texas</v>
      </c>
      <c r="B43">
        <f>ROUND(State_lookup!E42*Keys!$C$32*Keys!$C$29*(National_totals!$C$8/SUM(National_totals!$C$8:$I$8)), 0)</f>
        <v>3984</v>
      </c>
      <c r="C43">
        <f>ROUND(State_lookup!E42*Keys!$C$32*Keys!$C$29*(National_totals!$D$8/SUM(National_totals!$C$8:$I$8)), 0)</f>
        <v>728</v>
      </c>
      <c r="D43">
        <f>ROUND(State_lookup!E42*Keys!$C$32*Keys!$C$29*(National_totals!$E$8/SUM(National_totals!$C$8:$I$8)), 0)</f>
        <v>369709</v>
      </c>
      <c r="E43">
        <f>ROUND(State_lookup!E42*Keys!$C$32*Keys!$C$29*(National_totals!$F$8/SUM(National_totals!$C$8:$I$8)), 0)</f>
        <v>315980</v>
      </c>
      <c r="F43">
        <f>ROUND(State_lookup!E42*Keys!$C$32*Keys!$C$29*(National_totals!$G$8/SUM(National_totals!$C$8:$I$8)), 0)</f>
        <v>14</v>
      </c>
      <c r="G43">
        <f>ROUND(State_lookup!E42*Keys!$C$32*Keys!$C$29*(National_totals!$H$8/SUM(National_totals!$C$8:$I$8)), 0)</f>
        <v>64</v>
      </c>
      <c r="H43">
        <f>ROUND(State_lookup!E42*Keys!$C$32*Keys!$C$29*(National_totals!$I$8/SUM(National_totals!$C$8:$I$8)), 0)</f>
        <v>0</v>
      </c>
    </row>
    <row r="44" spans="1:8" x14ac:dyDescent="0.45">
      <c r="A44" t="str">
        <f>State_lookup!B43</f>
        <v>Utah</v>
      </c>
      <c r="B44">
        <f>ROUND(State_lookup!E43*Keys!$C$32*Keys!$C$29*(National_totals!$C$8/SUM(National_totals!$C$8:$I$8)), 0)</f>
        <v>493</v>
      </c>
      <c r="C44">
        <f>ROUND(State_lookup!E43*Keys!$C$32*Keys!$C$29*(National_totals!$D$8/SUM(National_totals!$C$8:$I$8)), 0)</f>
        <v>90</v>
      </c>
      <c r="D44">
        <f>ROUND(State_lookup!E43*Keys!$C$32*Keys!$C$29*(National_totals!$E$8/SUM(National_totals!$C$8:$I$8)), 0)</f>
        <v>45742</v>
      </c>
      <c r="E44">
        <f>ROUND(State_lookup!E43*Keys!$C$32*Keys!$C$29*(National_totals!$F$8/SUM(National_totals!$C$8:$I$8)), 0)</f>
        <v>39094</v>
      </c>
      <c r="F44">
        <f>ROUND(State_lookup!E43*Keys!$C$32*Keys!$C$29*(National_totals!$G$8/SUM(National_totals!$C$8:$I$8)), 0)</f>
        <v>2</v>
      </c>
      <c r="G44">
        <f>ROUND(State_lookup!E43*Keys!$C$32*Keys!$C$29*(National_totals!$H$8/SUM(National_totals!$C$8:$I$8)), 0)</f>
        <v>8</v>
      </c>
      <c r="H44">
        <f>ROUND(State_lookup!E43*Keys!$C$32*Keys!$C$29*(National_totals!$I$8/SUM(National_totals!$C$8:$I$8)), 0)</f>
        <v>0</v>
      </c>
    </row>
    <row r="45" spans="1:8" x14ac:dyDescent="0.45">
      <c r="A45" t="str">
        <f>State_lookup!B44</f>
        <v>Vermont</v>
      </c>
      <c r="B45">
        <f>ROUND(State_lookup!E44*Keys!$C$32*Keys!$C$29*(National_totals!$C$8/SUM(National_totals!$C$8:$I$8)), 0)</f>
        <v>118</v>
      </c>
      <c r="C45">
        <f>ROUND(State_lookup!E44*Keys!$C$32*Keys!$C$29*(National_totals!$D$8/SUM(National_totals!$C$8:$I$8)), 0)</f>
        <v>22</v>
      </c>
      <c r="D45">
        <f>ROUND(State_lookup!E44*Keys!$C$32*Keys!$C$29*(National_totals!$E$8/SUM(National_totals!$C$8:$I$8)), 0)</f>
        <v>10988</v>
      </c>
      <c r="E45">
        <f>ROUND(State_lookup!E44*Keys!$C$32*Keys!$C$29*(National_totals!$F$8/SUM(National_totals!$C$8:$I$8)), 0)</f>
        <v>9391</v>
      </c>
      <c r="F45">
        <f>ROUND(State_lookup!E44*Keys!$C$32*Keys!$C$29*(National_totals!$G$8/SUM(National_totals!$C$8:$I$8)), 0)</f>
        <v>0</v>
      </c>
      <c r="G45">
        <f>ROUND(State_lookup!E44*Keys!$C$32*Keys!$C$29*(National_totals!$H$8/SUM(National_totals!$C$8:$I$8)), 0)</f>
        <v>2</v>
      </c>
      <c r="H45">
        <f>ROUND(State_lookup!E44*Keys!$C$32*Keys!$C$29*(National_totals!$I$8/SUM(National_totals!$C$8:$I$8)), 0)</f>
        <v>0</v>
      </c>
    </row>
    <row r="46" spans="1:8" x14ac:dyDescent="0.45">
      <c r="A46" t="str">
        <f>State_lookup!B45</f>
        <v>Virginia</v>
      </c>
      <c r="B46">
        <f>ROUND(State_lookup!E45*Keys!$C$32*Keys!$C$29*(National_totals!$C$8/SUM(National_totals!$C$8:$I$8)), 0)</f>
        <v>1231</v>
      </c>
      <c r="C46">
        <f>ROUND(State_lookup!E45*Keys!$C$32*Keys!$C$29*(National_totals!$D$8/SUM(National_totals!$C$8:$I$8)), 0)</f>
        <v>225</v>
      </c>
      <c r="D46">
        <f>ROUND(State_lookup!E45*Keys!$C$32*Keys!$C$29*(National_totals!$E$8/SUM(National_totals!$C$8:$I$8)), 0)</f>
        <v>114264</v>
      </c>
      <c r="E46">
        <f>ROUND(State_lookup!E45*Keys!$C$32*Keys!$C$29*(National_totals!$F$8/SUM(National_totals!$C$8:$I$8)), 0)</f>
        <v>97658</v>
      </c>
      <c r="F46">
        <f>ROUND(State_lookup!E45*Keys!$C$32*Keys!$C$29*(National_totals!$G$8/SUM(National_totals!$C$8:$I$8)), 0)</f>
        <v>4</v>
      </c>
      <c r="G46">
        <f>ROUND(State_lookup!E45*Keys!$C$32*Keys!$C$29*(National_totals!$H$8/SUM(National_totals!$C$8:$I$8)), 0)</f>
        <v>20</v>
      </c>
      <c r="H46">
        <f>ROUND(State_lookup!E45*Keys!$C$32*Keys!$C$29*(National_totals!$I$8/SUM(National_totals!$C$8:$I$8)), 0)</f>
        <v>0</v>
      </c>
    </row>
    <row r="47" spans="1:8" x14ac:dyDescent="0.45">
      <c r="A47" t="str">
        <f>State_lookup!B46</f>
        <v>Washington</v>
      </c>
      <c r="B47">
        <f>ROUND(State_lookup!E46*Keys!$C$32*Keys!$C$29*(National_totals!$C$8/SUM(National_totals!$C$8:$I$8)), 0)</f>
        <v>1190</v>
      </c>
      <c r="C47">
        <f>ROUND(State_lookup!E46*Keys!$C$32*Keys!$C$29*(National_totals!$D$8/SUM(National_totals!$C$8:$I$8)), 0)</f>
        <v>217</v>
      </c>
      <c r="D47">
        <f>ROUND(State_lookup!E46*Keys!$C$32*Keys!$C$29*(National_totals!$E$8/SUM(National_totals!$C$8:$I$8)), 0)</f>
        <v>110414</v>
      </c>
      <c r="E47">
        <f>ROUND(State_lookup!E46*Keys!$C$32*Keys!$C$29*(National_totals!$F$8/SUM(National_totals!$C$8:$I$8)), 0)</f>
        <v>94368</v>
      </c>
      <c r="F47">
        <f>ROUND(State_lookup!E46*Keys!$C$32*Keys!$C$29*(National_totals!$G$8/SUM(National_totals!$C$8:$I$8)), 0)</f>
        <v>4</v>
      </c>
      <c r="G47">
        <f>ROUND(State_lookup!E46*Keys!$C$32*Keys!$C$29*(National_totals!$H$8/SUM(National_totals!$C$8:$I$8)), 0)</f>
        <v>19</v>
      </c>
      <c r="H47">
        <f>ROUND(State_lookup!E46*Keys!$C$32*Keys!$C$29*(National_totals!$I$8/SUM(National_totals!$C$8:$I$8)), 0)</f>
        <v>0</v>
      </c>
    </row>
    <row r="48" spans="1:8" x14ac:dyDescent="0.45">
      <c r="A48" t="str">
        <f>State_lookup!B47</f>
        <v>West Virginia</v>
      </c>
      <c r="B48">
        <f>ROUND(State_lookup!E47*Keys!$C$32*Keys!$C$29*(National_totals!$C$8/SUM(National_totals!$C$8:$I$8)), 0)</f>
        <v>258</v>
      </c>
      <c r="C48">
        <f>ROUND(State_lookup!E47*Keys!$C$32*Keys!$C$29*(National_totals!$D$8/SUM(National_totals!$C$8:$I$8)), 0)</f>
        <v>47</v>
      </c>
      <c r="D48">
        <f>ROUND(State_lookup!E47*Keys!$C$32*Keys!$C$29*(National_totals!$E$8/SUM(National_totals!$C$8:$I$8)), 0)</f>
        <v>23962</v>
      </c>
      <c r="E48">
        <f>ROUND(State_lookup!E47*Keys!$C$32*Keys!$C$29*(National_totals!$F$8/SUM(National_totals!$C$8:$I$8)), 0)</f>
        <v>20479</v>
      </c>
      <c r="F48">
        <f>ROUND(State_lookup!E47*Keys!$C$32*Keys!$C$29*(National_totals!$G$8/SUM(National_totals!$C$8:$I$8)), 0)</f>
        <v>1</v>
      </c>
      <c r="G48">
        <f>ROUND(State_lookup!E47*Keys!$C$32*Keys!$C$29*(National_totals!$H$8/SUM(National_totals!$C$8:$I$8)), 0)</f>
        <v>4</v>
      </c>
      <c r="H48">
        <f>ROUND(State_lookup!E47*Keys!$C$32*Keys!$C$29*(National_totals!$I$8/SUM(National_totals!$C$8:$I$8)), 0)</f>
        <v>0</v>
      </c>
    </row>
    <row r="49" spans="1:8" x14ac:dyDescent="0.45">
      <c r="A49" t="str">
        <f>State_lookup!B48</f>
        <v>Wisconsin</v>
      </c>
      <c r="B49">
        <f>ROUND(State_lookup!E48*Keys!$C$32*Keys!$C$29*(National_totals!$C$8/SUM(National_totals!$C$8:$I$8)), 0)</f>
        <v>980</v>
      </c>
      <c r="C49">
        <f>ROUND(State_lookup!E48*Keys!$C$32*Keys!$C$29*(National_totals!$D$8/SUM(National_totals!$C$8:$I$8)), 0)</f>
        <v>179</v>
      </c>
      <c r="D49">
        <f>ROUND(State_lookup!E48*Keys!$C$32*Keys!$C$29*(National_totals!$E$8/SUM(National_totals!$C$8:$I$8)), 0)</f>
        <v>90933</v>
      </c>
      <c r="E49">
        <f>ROUND(State_lookup!E48*Keys!$C$32*Keys!$C$29*(National_totals!$F$8/SUM(National_totals!$C$8:$I$8)), 0)</f>
        <v>77718</v>
      </c>
      <c r="F49">
        <f>ROUND(State_lookup!E48*Keys!$C$32*Keys!$C$29*(National_totals!$G$8/SUM(National_totals!$C$8:$I$8)), 0)</f>
        <v>3</v>
      </c>
      <c r="G49">
        <f>ROUND(State_lookup!E48*Keys!$C$32*Keys!$C$29*(National_totals!$H$8/SUM(National_totals!$C$8:$I$8)), 0)</f>
        <v>16</v>
      </c>
      <c r="H49">
        <f>ROUND(State_lookup!E48*Keys!$C$32*Keys!$C$29*(National_totals!$I$8/SUM(National_totals!$C$8:$I$8)), 0)</f>
        <v>0</v>
      </c>
    </row>
    <row r="50" spans="1:8" x14ac:dyDescent="0.45">
      <c r="A50" t="str">
        <f>State_lookup!B49</f>
        <v>Wyoming</v>
      </c>
      <c r="B50">
        <f>ROUND(State_lookup!E49*Keys!$C$32*Keys!$C$29*(National_totals!$C$8/SUM(National_totals!$C$8:$I$8)), 0)</f>
        <v>170</v>
      </c>
      <c r="C50">
        <f>ROUND(State_lookup!E49*Keys!$C$32*Keys!$C$29*(National_totals!$D$8/SUM(National_totals!$C$8:$I$8)), 0)</f>
        <v>31</v>
      </c>
      <c r="D50">
        <f>ROUND(State_lookup!E49*Keys!$C$32*Keys!$C$29*(National_totals!$E$8/SUM(National_totals!$C$8:$I$8)), 0)</f>
        <v>15789</v>
      </c>
      <c r="E50">
        <f>ROUND(State_lookup!E49*Keys!$C$32*Keys!$C$29*(National_totals!$F$8/SUM(National_totals!$C$8:$I$8)), 0)</f>
        <v>13495</v>
      </c>
      <c r="F50">
        <f>ROUND(State_lookup!E49*Keys!$C$32*Keys!$C$29*(National_totals!$G$8/SUM(National_totals!$C$8:$I$8)), 0)</f>
        <v>1</v>
      </c>
      <c r="G50">
        <f>ROUND(State_lookup!E49*Keys!$C$32*Keys!$C$29*(National_totals!$H$8/SUM(National_totals!$C$8:$I$8)), 0)</f>
        <v>3</v>
      </c>
      <c r="H50">
        <f>ROUND(State_lookup!E49*Keys!$C$32*Keys!$C$29*(National_totals!$I$8/SUM(National_totals!$C$8:$I$8)), 0)</f>
        <v>0</v>
      </c>
    </row>
    <row r="51" spans="1:8" x14ac:dyDescent="0.45">
      <c r="A51" s="4" t="s">
        <v>335</v>
      </c>
      <c r="B51" s="4">
        <f t="shared" ref="B51:H51" si="0">SUM(B3:B50)</f>
        <v>45504</v>
      </c>
      <c r="C51" s="4">
        <f t="shared" si="0"/>
        <v>8314</v>
      </c>
      <c r="D51" s="4">
        <f t="shared" si="0"/>
        <v>4222932</v>
      </c>
      <c r="E51" s="4">
        <f t="shared" si="0"/>
        <v>3609221</v>
      </c>
      <c r="F51" s="4">
        <f t="shared" si="0"/>
        <v>161</v>
      </c>
      <c r="G51" s="4">
        <f t="shared" si="0"/>
        <v>737</v>
      </c>
      <c r="H51" s="4">
        <f t="shared" si="0"/>
        <v>0</v>
      </c>
    </row>
    <row r="52" spans="1:8" x14ac:dyDescent="0.45">
      <c r="A52" s="4" t="s">
        <v>336</v>
      </c>
      <c r="B52" s="4">
        <f>National_totals!$C$8</f>
        <v>138292</v>
      </c>
      <c r="C52" s="4">
        <f>National_totals!$D$8</f>
        <v>25267</v>
      </c>
      <c r="D52" s="4">
        <f>National_totals!$E$8</f>
        <v>12833715</v>
      </c>
      <c r="E52" s="4">
        <f>National_totals!$F$8</f>
        <v>10968619</v>
      </c>
      <c r="F52" s="4">
        <f>National_totals!$G$8</f>
        <v>493</v>
      </c>
      <c r="G52" s="4">
        <f>National_totals!$H$8</f>
        <v>2238</v>
      </c>
      <c r="H52" s="4">
        <f>National_totals!$I$8</f>
        <v>0</v>
      </c>
    </row>
    <row r="53" spans="1:8" x14ac:dyDescent="0.45">
      <c r="A53" s="4" t="s">
        <v>337</v>
      </c>
      <c r="B53" s="7">
        <f t="shared" ref="B53:H53" si="1">IFERROR((B51-B52)/B52, 0)</f>
        <v>-0.67095710525554619</v>
      </c>
      <c r="C53" s="7">
        <f t="shared" si="1"/>
        <v>-0.67095420904737402</v>
      </c>
      <c r="D53" s="7">
        <f t="shared" si="1"/>
        <v>-0.67095014966438016</v>
      </c>
      <c r="E53" s="7">
        <f t="shared" si="1"/>
        <v>-0.67095028097885434</v>
      </c>
      <c r="F53" s="7">
        <f t="shared" si="1"/>
        <v>-0.67342799188640978</v>
      </c>
      <c r="G53" s="7">
        <f t="shared" si="1"/>
        <v>-0.67068811438784626</v>
      </c>
      <c r="H53" s="7">
        <f t="shared" si="1"/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344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ROUND(State_lookup!E2*Keys!$C$31*(National_totals!$C$9/SUM(National_totals!$C$9:$I$9)), 0)</f>
        <v>50</v>
      </c>
      <c r="C3">
        <f>ROUND(State_lookup!E2*Keys!$C$31*(National_totals!$D$9/SUM(National_totals!$C$9:$I$9)), 0)</f>
        <v>1371</v>
      </c>
      <c r="D3">
        <f>ROUND(State_lookup!E2*Keys!$C$31*(National_totals!$E$9/SUM(National_totals!$C$9:$I$9)), 0)</f>
        <v>911</v>
      </c>
      <c r="E3">
        <f>ROUND(State_lookup!E2*Keys!$C$31*(National_totals!$F$9/SUM(National_totals!$C$9:$I$9)), 0)</f>
        <v>130263</v>
      </c>
      <c r="F3">
        <f>ROUND(State_lookup!E2*Keys!$C$31*(National_totals!$G$9/SUM(National_totals!$C$9:$I$9)), 0)</f>
        <v>0</v>
      </c>
      <c r="G3">
        <f>ROUND(State_lookup!E2*Keys!$C$31*(National_totals!$H$9/SUM(National_totals!$C$9:$I$9)), 0)</f>
        <v>73</v>
      </c>
      <c r="H3">
        <f>ROUND(State_lookup!E2*Keys!$C$31*(National_totals!$I$9/SUM(National_totals!$C$9:$I$9)), 0)</f>
        <v>0</v>
      </c>
    </row>
    <row r="4" spans="1:8" x14ac:dyDescent="0.45">
      <c r="A4" t="str">
        <f>State_lookup!B3</f>
        <v>Arizona</v>
      </c>
      <c r="B4">
        <f>ROUND(State_lookup!E3*Keys!$C$31*(National_totals!$C$9/SUM(National_totals!$C$9:$I$9)), 0)</f>
        <v>58</v>
      </c>
      <c r="C4">
        <f>ROUND(State_lookup!E3*Keys!$C$31*(National_totals!$D$9/SUM(National_totals!$C$9:$I$9)), 0)</f>
        <v>1564</v>
      </c>
      <c r="D4">
        <f>ROUND(State_lookup!E3*Keys!$C$31*(National_totals!$E$9/SUM(National_totals!$C$9:$I$9)), 0)</f>
        <v>1039</v>
      </c>
      <c r="E4">
        <f>ROUND(State_lookup!E3*Keys!$C$31*(National_totals!$F$9/SUM(National_totals!$C$9:$I$9)), 0)</f>
        <v>148603</v>
      </c>
      <c r="F4">
        <f>ROUND(State_lookup!E3*Keys!$C$31*(National_totals!$G$9/SUM(National_totals!$C$9:$I$9)), 0)</f>
        <v>0</v>
      </c>
      <c r="G4">
        <f>ROUND(State_lookup!E3*Keys!$C$31*(National_totals!$H$9/SUM(National_totals!$C$9:$I$9)), 0)</f>
        <v>83</v>
      </c>
      <c r="H4">
        <f>ROUND(State_lookup!E3*Keys!$C$31*(National_totals!$I$9/SUM(National_totals!$C$9:$I$9)), 0)</f>
        <v>0</v>
      </c>
    </row>
    <row r="5" spans="1:8" x14ac:dyDescent="0.45">
      <c r="A5" t="str">
        <f>State_lookup!B4</f>
        <v>Arkansas</v>
      </c>
      <c r="B5">
        <f>ROUND(State_lookup!E4*Keys!$C$31*(National_totals!$C$9/SUM(National_totals!$C$9:$I$9)), 0)</f>
        <v>33</v>
      </c>
      <c r="C5">
        <f>ROUND(State_lookup!E4*Keys!$C$31*(National_totals!$D$9/SUM(National_totals!$C$9:$I$9)), 0)</f>
        <v>896</v>
      </c>
      <c r="D5">
        <f>ROUND(State_lookup!E4*Keys!$C$31*(National_totals!$E$9/SUM(National_totals!$C$9:$I$9)), 0)</f>
        <v>595</v>
      </c>
      <c r="E5">
        <f>ROUND(State_lookup!E4*Keys!$C$31*(National_totals!$F$9/SUM(National_totals!$C$9:$I$9)), 0)</f>
        <v>85140</v>
      </c>
      <c r="F5">
        <f>ROUND(State_lookup!E4*Keys!$C$31*(National_totals!$G$9/SUM(National_totals!$C$9:$I$9)), 0)</f>
        <v>0</v>
      </c>
      <c r="G5">
        <f>ROUND(State_lookup!E4*Keys!$C$31*(National_totals!$H$9/SUM(National_totals!$C$9:$I$9)), 0)</f>
        <v>48</v>
      </c>
      <c r="H5">
        <f>ROUND(State_lookup!E4*Keys!$C$31*(National_totals!$I$9/SUM(National_totals!$C$9:$I$9)), 0)</f>
        <v>0</v>
      </c>
    </row>
    <row r="6" spans="1:8" x14ac:dyDescent="0.45">
      <c r="A6" t="str">
        <f>State_lookup!B5</f>
        <v>California</v>
      </c>
      <c r="B6">
        <f>ROUND(State_lookup!E5*Keys!$C$31*(National_totals!$C$9/SUM(National_totals!$C$9:$I$9)), 0)</f>
        <v>241</v>
      </c>
      <c r="C6">
        <f>ROUND(State_lookup!E5*Keys!$C$31*(National_totals!$D$9/SUM(National_totals!$C$9:$I$9)), 0)</f>
        <v>6543</v>
      </c>
      <c r="D6">
        <f>ROUND(State_lookup!E5*Keys!$C$31*(National_totals!$E$9/SUM(National_totals!$C$9:$I$9)), 0)</f>
        <v>4348</v>
      </c>
      <c r="E6">
        <f>ROUND(State_lookup!E5*Keys!$C$31*(National_totals!$F$9/SUM(National_totals!$C$9:$I$9)), 0)</f>
        <v>621728</v>
      </c>
      <c r="F6">
        <f>ROUND(State_lookup!E5*Keys!$C$31*(National_totals!$G$9/SUM(National_totals!$C$9:$I$9)), 0)</f>
        <v>0</v>
      </c>
      <c r="G6">
        <f>ROUND(State_lookup!E5*Keys!$C$31*(National_totals!$H$9/SUM(National_totals!$C$9:$I$9)), 0)</f>
        <v>349</v>
      </c>
      <c r="H6">
        <f>ROUND(State_lookup!E5*Keys!$C$31*(National_totals!$I$9/SUM(National_totals!$C$9:$I$9)), 0)</f>
        <v>0</v>
      </c>
    </row>
    <row r="7" spans="1:8" x14ac:dyDescent="0.45">
      <c r="A7" t="str">
        <f>State_lookup!B6</f>
        <v>Colorado</v>
      </c>
      <c r="B7">
        <f>ROUND(State_lookup!E6*Keys!$C$31*(National_totals!$C$9/SUM(National_totals!$C$9:$I$9)), 0)</f>
        <v>53</v>
      </c>
      <c r="C7">
        <f>ROUND(State_lookup!E6*Keys!$C$31*(National_totals!$D$9/SUM(National_totals!$C$9:$I$9)), 0)</f>
        <v>1427</v>
      </c>
      <c r="D7">
        <f>ROUND(State_lookup!E6*Keys!$C$31*(National_totals!$E$9/SUM(National_totals!$C$9:$I$9)), 0)</f>
        <v>948</v>
      </c>
      <c r="E7">
        <f>ROUND(State_lookup!E6*Keys!$C$31*(National_totals!$F$9/SUM(National_totals!$C$9:$I$9)), 0)</f>
        <v>135547</v>
      </c>
      <c r="F7">
        <f>ROUND(State_lookup!E6*Keys!$C$31*(National_totals!$G$9/SUM(National_totals!$C$9:$I$9)), 0)</f>
        <v>0</v>
      </c>
      <c r="G7">
        <f>ROUND(State_lookup!E6*Keys!$C$31*(National_totals!$H$9/SUM(National_totals!$C$9:$I$9)), 0)</f>
        <v>76</v>
      </c>
      <c r="H7">
        <f>ROUND(State_lookup!E6*Keys!$C$31*(National_totals!$I$9/SUM(National_totals!$C$9:$I$9)), 0)</f>
        <v>0</v>
      </c>
    </row>
    <row r="8" spans="1:8" x14ac:dyDescent="0.45">
      <c r="A8" t="str">
        <f>State_lookup!B7</f>
        <v>Connecticut</v>
      </c>
      <c r="B8">
        <f>ROUND(State_lookup!E7*Keys!$C$31*(National_totals!$C$9/SUM(National_totals!$C$9:$I$9)), 0)</f>
        <v>24</v>
      </c>
      <c r="C8">
        <f>ROUND(State_lookup!E7*Keys!$C$31*(National_totals!$D$9/SUM(National_totals!$C$9:$I$9)), 0)</f>
        <v>646</v>
      </c>
      <c r="D8">
        <f>ROUND(State_lookup!E7*Keys!$C$31*(National_totals!$E$9/SUM(National_totals!$C$9:$I$9)), 0)</f>
        <v>429</v>
      </c>
      <c r="E8">
        <f>ROUND(State_lookup!E7*Keys!$C$31*(National_totals!$F$9/SUM(National_totals!$C$9:$I$9)), 0)</f>
        <v>61352</v>
      </c>
      <c r="F8">
        <f>ROUND(State_lookup!E7*Keys!$C$31*(National_totals!$G$9/SUM(National_totals!$C$9:$I$9)), 0)</f>
        <v>0</v>
      </c>
      <c r="G8">
        <f>ROUND(State_lookup!E7*Keys!$C$31*(National_totals!$H$9/SUM(National_totals!$C$9:$I$9)), 0)</f>
        <v>34</v>
      </c>
      <c r="H8">
        <f>ROUND(State_lookup!E7*Keys!$C$31*(National_totals!$I$9/SUM(National_totals!$C$9:$I$9)), 0)</f>
        <v>0</v>
      </c>
    </row>
    <row r="9" spans="1:8" x14ac:dyDescent="0.45">
      <c r="A9" t="str">
        <f>State_lookup!B8</f>
        <v>Delaware</v>
      </c>
      <c r="B9">
        <f>ROUND(State_lookup!E8*Keys!$C$31*(National_totals!$C$9/SUM(National_totals!$C$9:$I$9)), 0)</f>
        <v>8</v>
      </c>
      <c r="C9">
        <f>ROUND(State_lookup!E8*Keys!$C$31*(National_totals!$D$9/SUM(National_totals!$C$9:$I$9)), 0)</f>
        <v>227</v>
      </c>
      <c r="D9">
        <f>ROUND(State_lookup!E8*Keys!$C$31*(National_totals!$E$9/SUM(National_totals!$C$9:$I$9)), 0)</f>
        <v>151</v>
      </c>
      <c r="E9">
        <f>ROUND(State_lookup!E8*Keys!$C$31*(National_totals!$F$9/SUM(National_totals!$C$9:$I$9)), 0)</f>
        <v>21575</v>
      </c>
      <c r="F9">
        <f>ROUND(State_lookup!E8*Keys!$C$31*(National_totals!$G$9/SUM(National_totals!$C$9:$I$9)), 0)</f>
        <v>0</v>
      </c>
      <c r="G9">
        <f>ROUND(State_lookup!E8*Keys!$C$31*(National_totals!$H$9/SUM(National_totals!$C$9:$I$9)), 0)</f>
        <v>12</v>
      </c>
      <c r="H9">
        <f>ROUND(State_lookup!E8*Keys!$C$31*(National_totals!$I$9/SUM(National_totals!$C$9:$I$9)), 0)</f>
        <v>0</v>
      </c>
    </row>
    <row r="10" spans="1:8" x14ac:dyDescent="0.45">
      <c r="A10" t="str">
        <f>State_lookup!B9</f>
        <v>Florida</v>
      </c>
      <c r="B10">
        <f>ROUND(State_lookup!E9*Keys!$C$31*(National_totals!$C$9/SUM(National_totals!$C$9:$I$9)), 0)</f>
        <v>166</v>
      </c>
      <c r="C10">
        <f>ROUND(State_lookup!E9*Keys!$C$31*(National_totals!$D$9/SUM(National_totals!$C$9:$I$9)), 0)</f>
        <v>4509</v>
      </c>
      <c r="D10">
        <f>ROUND(State_lookup!E9*Keys!$C$31*(National_totals!$E$9/SUM(National_totals!$C$9:$I$9)), 0)</f>
        <v>2996</v>
      </c>
      <c r="E10">
        <f>ROUND(State_lookup!E9*Keys!$C$31*(National_totals!$F$9/SUM(National_totals!$C$9:$I$9)), 0)</f>
        <v>428471</v>
      </c>
      <c r="F10">
        <f>ROUND(State_lookup!E9*Keys!$C$31*(National_totals!$G$9/SUM(National_totals!$C$9:$I$9)), 0)</f>
        <v>0</v>
      </c>
      <c r="G10">
        <f>ROUND(State_lookup!E9*Keys!$C$31*(National_totals!$H$9/SUM(National_totals!$C$9:$I$9)), 0)</f>
        <v>240</v>
      </c>
      <c r="H10">
        <f>ROUND(State_lookup!E9*Keys!$C$31*(National_totals!$I$9/SUM(National_totals!$C$9:$I$9)), 0)</f>
        <v>0</v>
      </c>
    </row>
    <row r="11" spans="1:8" x14ac:dyDescent="0.45">
      <c r="A11" t="str">
        <f>State_lookup!B10</f>
        <v>Georgia</v>
      </c>
      <c r="B11">
        <f>ROUND(State_lookup!E10*Keys!$C$31*(National_totals!$C$9/SUM(National_totals!$C$9:$I$9)), 0)</f>
        <v>82</v>
      </c>
      <c r="C11">
        <f>ROUND(State_lookup!E10*Keys!$C$31*(National_totals!$D$9/SUM(National_totals!$C$9:$I$9)), 0)</f>
        <v>2234</v>
      </c>
      <c r="D11">
        <f>ROUND(State_lookup!E10*Keys!$C$31*(National_totals!$E$9/SUM(National_totals!$C$9:$I$9)), 0)</f>
        <v>1484</v>
      </c>
      <c r="E11">
        <f>ROUND(State_lookup!E10*Keys!$C$31*(National_totals!$F$9/SUM(National_totals!$C$9:$I$9)), 0)</f>
        <v>212239</v>
      </c>
      <c r="F11">
        <f>ROUND(State_lookup!E10*Keys!$C$31*(National_totals!$G$9/SUM(National_totals!$C$9:$I$9)), 0)</f>
        <v>0</v>
      </c>
      <c r="G11">
        <f>ROUND(State_lookup!E10*Keys!$C$31*(National_totals!$H$9/SUM(National_totals!$C$9:$I$9)), 0)</f>
        <v>119</v>
      </c>
      <c r="H11">
        <f>ROUND(State_lookup!E10*Keys!$C$31*(National_totals!$I$9/SUM(National_totals!$C$9:$I$9)), 0)</f>
        <v>0</v>
      </c>
    </row>
    <row r="12" spans="1:8" x14ac:dyDescent="0.45">
      <c r="A12" t="str">
        <f>State_lookup!B11</f>
        <v>Idaho</v>
      </c>
      <c r="B12">
        <f>ROUND(State_lookup!E11*Keys!$C$31*(National_totals!$C$9/SUM(National_totals!$C$9:$I$9)), 0)</f>
        <v>20</v>
      </c>
      <c r="C12">
        <f>ROUND(State_lookup!E11*Keys!$C$31*(National_totals!$D$9/SUM(National_totals!$C$9:$I$9)), 0)</f>
        <v>551</v>
      </c>
      <c r="D12">
        <f>ROUND(State_lookup!E11*Keys!$C$31*(National_totals!$E$9/SUM(National_totals!$C$9:$I$9)), 0)</f>
        <v>366</v>
      </c>
      <c r="E12">
        <f>ROUND(State_lookup!E11*Keys!$C$31*(National_totals!$F$9/SUM(National_totals!$C$9:$I$9)), 0)</f>
        <v>52334</v>
      </c>
      <c r="F12">
        <f>ROUND(State_lookup!E11*Keys!$C$31*(National_totals!$G$9/SUM(National_totals!$C$9:$I$9)), 0)</f>
        <v>0</v>
      </c>
      <c r="G12">
        <f>ROUND(State_lookup!E11*Keys!$C$31*(National_totals!$H$9/SUM(National_totals!$C$9:$I$9)), 0)</f>
        <v>29</v>
      </c>
      <c r="H12">
        <f>ROUND(State_lookup!E11*Keys!$C$31*(National_totals!$I$9/SUM(National_totals!$C$9:$I$9)), 0)</f>
        <v>0</v>
      </c>
    </row>
    <row r="13" spans="1:8" x14ac:dyDescent="0.45">
      <c r="A13" t="str">
        <f>State_lookup!B12</f>
        <v>Illinois</v>
      </c>
      <c r="B13">
        <f>ROUND(State_lookup!E12*Keys!$C$31*(National_totals!$C$9/SUM(National_totals!$C$9:$I$9)), 0)</f>
        <v>95</v>
      </c>
      <c r="C13">
        <f>ROUND(State_lookup!E12*Keys!$C$31*(National_totals!$D$9/SUM(National_totals!$C$9:$I$9)), 0)</f>
        <v>2572</v>
      </c>
      <c r="D13">
        <f>ROUND(State_lookup!E12*Keys!$C$31*(National_totals!$E$9/SUM(National_totals!$C$9:$I$9)), 0)</f>
        <v>1709</v>
      </c>
      <c r="E13">
        <f>ROUND(State_lookup!E12*Keys!$C$31*(National_totals!$F$9/SUM(National_totals!$C$9:$I$9)), 0)</f>
        <v>244398</v>
      </c>
      <c r="F13">
        <f>ROUND(State_lookup!E12*Keys!$C$31*(National_totals!$G$9/SUM(National_totals!$C$9:$I$9)), 0)</f>
        <v>0</v>
      </c>
      <c r="G13">
        <f>ROUND(State_lookup!E12*Keys!$C$31*(National_totals!$H$9/SUM(National_totals!$C$9:$I$9)), 0)</f>
        <v>137</v>
      </c>
      <c r="H13">
        <f>ROUND(State_lookup!E12*Keys!$C$31*(National_totals!$I$9/SUM(National_totals!$C$9:$I$9)), 0)</f>
        <v>0</v>
      </c>
    </row>
    <row r="14" spans="1:8" x14ac:dyDescent="0.45">
      <c r="A14" t="str">
        <f>State_lookup!B13</f>
        <v>Indiana</v>
      </c>
      <c r="B14">
        <f>ROUND(State_lookup!E13*Keys!$C$31*(National_totals!$C$9/SUM(National_totals!$C$9:$I$9)), 0)</f>
        <v>57</v>
      </c>
      <c r="C14">
        <f>ROUND(State_lookup!E13*Keys!$C$31*(National_totals!$D$9/SUM(National_totals!$C$9:$I$9)), 0)</f>
        <v>1557</v>
      </c>
      <c r="D14">
        <f>ROUND(State_lookup!E13*Keys!$C$31*(National_totals!$E$9/SUM(National_totals!$C$9:$I$9)), 0)</f>
        <v>1035</v>
      </c>
      <c r="E14">
        <f>ROUND(State_lookup!E13*Keys!$C$31*(National_totals!$F$9/SUM(National_totals!$C$9:$I$9)), 0)</f>
        <v>147983</v>
      </c>
      <c r="F14">
        <f>ROUND(State_lookup!E13*Keys!$C$31*(National_totals!$G$9/SUM(National_totals!$C$9:$I$9)), 0)</f>
        <v>0</v>
      </c>
      <c r="G14">
        <f>ROUND(State_lookup!E13*Keys!$C$31*(National_totals!$H$9/SUM(National_totals!$C$9:$I$9)), 0)</f>
        <v>83</v>
      </c>
      <c r="H14">
        <f>ROUND(State_lookup!E13*Keys!$C$31*(National_totals!$I$9/SUM(National_totals!$C$9:$I$9)), 0)</f>
        <v>0</v>
      </c>
    </row>
    <row r="15" spans="1:8" x14ac:dyDescent="0.45">
      <c r="A15" t="str">
        <f>State_lookup!B14</f>
        <v>Iowa</v>
      </c>
      <c r="B15">
        <f>ROUND(State_lookup!E14*Keys!$C$31*(National_totals!$C$9/SUM(National_totals!$C$9:$I$9)), 0)</f>
        <v>37</v>
      </c>
      <c r="C15">
        <f>ROUND(State_lookup!E14*Keys!$C$31*(National_totals!$D$9/SUM(National_totals!$C$9:$I$9)), 0)</f>
        <v>1012</v>
      </c>
      <c r="D15">
        <f>ROUND(State_lookup!E14*Keys!$C$31*(National_totals!$E$9/SUM(National_totals!$C$9:$I$9)), 0)</f>
        <v>673</v>
      </c>
      <c r="E15">
        <f>ROUND(State_lookup!E14*Keys!$C$31*(National_totals!$F$9/SUM(National_totals!$C$9:$I$9)), 0)</f>
        <v>96175</v>
      </c>
      <c r="F15">
        <f>ROUND(State_lookup!E14*Keys!$C$31*(National_totals!$G$9/SUM(National_totals!$C$9:$I$9)), 0)</f>
        <v>0</v>
      </c>
      <c r="G15">
        <f>ROUND(State_lookup!E14*Keys!$C$31*(National_totals!$H$9/SUM(National_totals!$C$9:$I$9)), 0)</f>
        <v>54</v>
      </c>
      <c r="H15">
        <f>ROUND(State_lookup!E14*Keys!$C$31*(National_totals!$I$9/SUM(National_totals!$C$9:$I$9)), 0)</f>
        <v>0</v>
      </c>
    </row>
    <row r="16" spans="1:8" x14ac:dyDescent="0.45">
      <c r="A16" t="str">
        <f>State_lookup!B15</f>
        <v>Kansas</v>
      </c>
      <c r="B16">
        <f>ROUND(State_lookup!E15*Keys!$C$31*(National_totals!$C$9/SUM(National_totals!$C$9:$I$9)), 0)</f>
        <v>19</v>
      </c>
      <c r="C16">
        <f>ROUND(State_lookup!E15*Keys!$C$31*(National_totals!$D$9/SUM(National_totals!$C$9:$I$9)), 0)</f>
        <v>503</v>
      </c>
      <c r="D16">
        <f>ROUND(State_lookup!E15*Keys!$C$31*(National_totals!$E$9/SUM(National_totals!$C$9:$I$9)), 0)</f>
        <v>335</v>
      </c>
      <c r="E16">
        <f>ROUND(State_lookup!E15*Keys!$C$31*(National_totals!$F$9/SUM(National_totals!$C$9:$I$9)), 0)</f>
        <v>47841</v>
      </c>
      <c r="F16">
        <f>ROUND(State_lookup!E15*Keys!$C$31*(National_totals!$G$9/SUM(National_totals!$C$9:$I$9)), 0)</f>
        <v>0</v>
      </c>
      <c r="G16">
        <f>ROUND(State_lookup!E15*Keys!$C$31*(National_totals!$H$9/SUM(National_totals!$C$9:$I$9)), 0)</f>
        <v>27</v>
      </c>
      <c r="H16">
        <f>ROUND(State_lookup!E15*Keys!$C$31*(National_totals!$I$9/SUM(National_totals!$C$9:$I$9)), 0)</f>
        <v>0</v>
      </c>
    </row>
    <row r="17" spans="1:8" x14ac:dyDescent="0.45">
      <c r="A17" t="str">
        <f>State_lookup!B16</f>
        <v>Kentucky</v>
      </c>
      <c r="B17">
        <f>ROUND(State_lookup!E16*Keys!$C$31*(National_totals!$C$9/SUM(National_totals!$C$9:$I$9)), 0)</f>
        <v>42</v>
      </c>
      <c r="C17">
        <f>ROUND(State_lookup!E16*Keys!$C$31*(National_totals!$D$9/SUM(National_totals!$C$9:$I$9)), 0)</f>
        <v>1136</v>
      </c>
      <c r="D17">
        <f>ROUND(State_lookup!E16*Keys!$C$31*(National_totals!$E$9/SUM(National_totals!$C$9:$I$9)), 0)</f>
        <v>755</v>
      </c>
      <c r="E17">
        <f>ROUND(State_lookup!E16*Keys!$C$31*(National_totals!$F$9/SUM(National_totals!$C$9:$I$9)), 0)</f>
        <v>107954</v>
      </c>
      <c r="F17">
        <f>ROUND(State_lookup!E16*Keys!$C$31*(National_totals!$G$9/SUM(National_totals!$C$9:$I$9)), 0)</f>
        <v>0</v>
      </c>
      <c r="G17">
        <f>ROUND(State_lookup!E16*Keys!$C$31*(National_totals!$H$9/SUM(National_totals!$C$9:$I$9)), 0)</f>
        <v>61</v>
      </c>
      <c r="H17">
        <f>ROUND(State_lookup!E16*Keys!$C$31*(National_totals!$I$9/SUM(National_totals!$C$9:$I$9)), 0)</f>
        <v>0</v>
      </c>
    </row>
    <row r="18" spans="1:8" x14ac:dyDescent="0.45">
      <c r="A18" t="str">
        <f>State_lookup!B17</f>
        <v>Louisiana</v>
      </c>
      <c r="B18">
        <f>ROUND(State_lookup!E17*Keys!$C$31*(National_totals!$C$9/SUM(National_totals!$C$9:$I$9)), 0)</f>
        <v>43</v>
      </c>
      <c r="C18">
        <f>ROUND(State_lookup!E17*Keys!$C$31*(National_totals!$D$9/SUM(National_totals!$C$9:$I$9)), 0)</f>
        <v>1165</v>
      </c>
      <c r="D18">
        <f>ROUND(State_lookup!E17*Keys!$C$31*(National_totals!$E$9/SUM(National_totals!$C$9:$I$9)), 0)</f>
        <v>774</v>
      </c>
      <c r="E18">
        <f>ROUND(State_lookup!E17*Keys!$C$31*(National_totals!$F$9/SUM(National_totals!$C$9:$I$9)), 0)</f>
        <v>110685</v>
      </c>
      <c r="F18">
        <f>ROUND(State_lookup!E17*Keys!$C$31*(National_totals!$G$9/SUM(National_totals!$C$9:$I$9)), 0)</f>
        <v>0</v>
      </c>
      <c r="G18">
        <f>ROUND(State_lookup!E17*Keys!$C$31*(National_totals!$H$9/SUM(National_totals!$C$9:$I$9)), 0)</f>
        <v>62</v>
      </c>
      <c r="H18">
        <f>ROUND(State_lookup!E17*Keys!$C$31*(National_totals!$I$9/SUM(National_totals!$C$9:$I$9)), 0)</f>
        <v>0</v>
      </c>
    </row>
    <row r="19" spans="1:8" x14ac:dyDescent="0.45">
      <c r="A19" t="str">
        <f>State_lookup!B18</f>
        <v>Maine</v>
      </c>
      <c r="B19">
        <f>ROUND(State_lookup!E18*Keys!$C$31*(National_totals!$C$9/SUM(National_totals!$C$9:$I$9)), 0)</f>
        <v>12</v>
      </c>
      <c r="C19">
        <f>ROUND(State_lookup!E18*Keys!$C$31*(National_totals!$D$9/SUM(National_totals!$C$9:$I$9)), 0)</f>
        <v>323</v>
      </c>
      <c r="D19">
        <f>ROUND(State_lookup!E18*Keys!$C$31*(National_totals!$E$9/SUM(National_totals!$C$9:$I$9)), 0)</f>
        <v>215</v>
      </c>
      <c r="E19">
        <f>ROUND(State_lookup!E18*Keys!$C$31*(National_totals!$F$9/SUM(National_totals!$C$9:$I$9)), 0)</f>
        <v>30704</v>
      </c>
      <c r="F19">
        <f>ROUND(State_lookup!E18*Keys!$C$31*(National_totals!$G$9/SUM(National_totals!$C$9:$I$9)), 0)</f>
        <v>0</v>
      </c>
      <c r="G19">
        <f>ROUND(State_lookup!E18*Keys!$C$31*(National_totals!$H$9/SUM(National_totals!$C$9:$I$9)), 0)</f>
        <v>17</v>
      </c>
      <c r="H19">
        <f>ROUND(State_lookup!E18*Keys!$C$31*(National_totals!$I$9/SUM(National_totals!$C$9:$I$9)), 0)</f>
        <v>0</v>
      </c>
    </row>
    <row r="20" spans="1:8" x14ac:dyDescent="0.45">
      <c r="A20" t="str">
        <f>State_lookup!B19</f>
        <v>Maryland</v>
      </c>
      <c r="B20">
        <f>ROUND(State_lookup!E19*Keys!$C$31*(National_totals!$C$9/SUM(National_totals!$C$9:$I$9)), 0)</f>
        <v>41</v>
      </c>
      <c r="C20">
        <f>ROUND(State_lookup!E19*Keys!$C$31*(National_totals!$D$9/SUM(National_totals!$C$9:$I$9)), 0)</f>
        <v>1125</v>
      </c>
      <c r="D20">
        <f>ROUND(State_lookup!E19*Keys!$C$31*(National_totals!$E$9/SUM(National_totals!$C$9:$I$9)), 0)</f>
        <v>747</v>
      </c>
      <c r="E20">
        <f>ROUND(State_lookup!E19*Keys!$C$31*(National_totals!$F$9/SUM(National_totals!$C$9:$I$9)), 0)</f>
        <v>106885</v>
      </c>
      <c r="F20">
        <f>ROUND(State_lookup!E19*Keys!$C$31*(National_totals!$G$9/SUM(National_totals!$C$9:$I$9)), 0)</f>
        <v>0</v>
      </c>
      <c r="G20">
        <f>ROUND(State_lookup!E19*Keys!$C$31*(National_totals!$H$9/SUM(National_totals!$C$9:$I$9)), 0)</f>
        <v>60</v>
      </c>
      <c r="H20">
        <f>ROUND(State_lookup!E19*Keys!$C$31*(National_totals!$I$9/SUM(National_totals!$C$9:$I$9)), 0)</f>
        <v>0</v>
      </c>
    </row>
    <row r="21" spans="1:8" x14ac:dyDescent="0.45">
      <c r="A21" t="str">
        <f>State_lookup!B20</f>
        <v>Massachusetts</v>
      </c>
      <c r="B21">
        <f>ROUND(State_lookup!E20*Keys!$C$31*(National_totals!$C$9/SUM(National_totals!$C$9:$I$9)), 0)</f>
        <v>46</v>
      </c>
      <c r="C21">
        <f>ROUND(State_lookup!E20*Keys!$C$31*(National_totals!$D$9/SUM(National_totals!$C$9:$I$9)), 0)</f>
        <v>1236</v>
      </c>
      <c r="D21">
        <f>ROUND(State_lookup!E20*Keys!$C$31*(National_totals!$E$9/SUM(National_totals!$C$9:$I$9)), 0)</f>
        <v>821</v>
      </c>
      <c r="E21">
        <f>ROUND(State_lookup!E20*Keys!$C$31*(National_totals!$F$9/SUM(National_totals!$C$9:$I$9)), 0)</f>
        <v>117429</v>
      </c>
      <c r="F21">
        <f>ROUND(State_lookup!E20*Keys!$C$31*(National_totals!$G$9/SUM(National_totals!$C$9:$I$9)), 0)</f>
        <v>0</v>
      </c>
      <c r="G21">
        <f>ROUND(State_lookup!E20*Keys!$C$31*(National_totals!$H$9/SUM(National_totals!$C$9:$I$9)), 0)</f>
        <v>66</v>
      </c>
      <c r="H21">
        <f>ROUND(State_lookup!E20*Keys!$C$31*(National_totals!$I$9/SUM(National_totals!$C$9:$I$9)), 0)</f>
        <v>0</v>
      </c>
    </row>
    <row r="22" spans="1:8" x14ac:dyDescent="0.45">
      <c r="A22" t="str">
        <f>State_lookup!B21</f>
        <v>Michigan</v>
      </c>
      <c r="B22">
        <f>ROUND(State_lookup!E21*Keys!$C$31*(National_totals!$C$9/SUM(National_totals!$C$9:$I$9)), 0)</f>
        <v>97</v>
      </c>
      <c r="C22">
        <f>ROUND(State_lookup!E21*Keys!$C$31*(National_totals!$D$9/SUM(National_totals!$C$9:$I$9)), 0)</f>
        <v>2623</v>
      </c>
      <c r="D22">
        <f>ROUND(State_lookup!E21*Keys!$C$31*(National_totals!$E$9/SUM(National_totals!$C$9:$I$9)), 0)</f>
        <v>1743</v>
      </c>
      <c r="E22">
        <f>ROUND(State_lookup!E21*Keys!$C$31*(National_totals!$F$9/SUM(National_totals!$C$9:$I$9)), 0)</f>
        <v>249249</v>
      </c>
      <c r="F22">
        <f>ROUND(State_lookup!E21*Keys!$C$31*(National_totals!$G$9/SUM(National_totals!$C$9:$I$9)), 0)</f>
        <v>0</v>
      </c>
      <c r="G22">
        <f>ROUND(State_lookup!E21*Keys!$C$31*(National_totals!$H$9/SUM(National_totals!$C$9:$I$9)), 0)</f>
        <v>140</v>
      </c>
      <c r="H22">
        <f>ROUND(State_lookup!E21*Keys!$C$31*(National_totals!$I$9/SUM(National_totals!$C$9:$I$9)), 0)</f>
        <v>0</v>
      </c>
    </row>
    <row r="23" spans="1:8" x14ac:dyDescent="0.45">
      <c r="A23" t="str">
        <f>State_lookup!B22</f>
        <v>Minnesota</v>
      </c>
      <c r="B23">
        <f>ROUND(State_lookup!E22*Keys!$C$31*(National_totals!$C$9/SUM(National_totals!$C$9:$I$9)), 0)</f>
        <v>58</v>
      </c>
      <c r="C23">
        <f>ROUND(State_lookup!E22*Keys!$C$31*(National_totals!$D$9/SUM(National_totals!$C$9:$I$9)), 0)</f>
        <v>1563</v>
      </c>
      <c r="D23">
        <f>ROUND(State_lookup!E22*Keys!$C$31*(National_totals!$E$9/SUM(National_totals!$C$9:$I$9)), 0)</f>
        <v>1039</v>
      </c>
      <c r="E23">
        <f>ROUND(State_lookup!E22*Keys!$C$31*(National_totals!$F$9/SUM(National_totals!$C$9:$I$9)), 0)</f>
        <v>148501</v>
      </c>
      <c r="F23">
        <f>ROUND(State_lookup!E22*Keys!$C$31*(National_totals!$G$9/SUM(National_totals!$C$9:$I$9)), 0)</f>
        <v>0</v>
      </c>
      <c r="G23">
        <f>ROUND(State_lookup!E22*Keys!$C$31*(National_totals!$H$9/SUM(National_totals!$C$9:$I$9)), 0)</f>
        <v>83</v>
      </c>
      <c r="H23">
        <f>ROUND(State_lookup!E22*Keys!$C$31*(National_totals!$I$9/SUM(National_totals!$C$9:$I$9)), 0)</f>
        <v>0</v>
      </c>
    </row>
    <row r="24" spans="1:8" x14ac:dyDescent="0.45">
      <c r="A24" t="str">
        <f>State_lookup!B23</f>
        <v>Mississippi</v>
      </c>
      <c r="B24">
        <f>ROUND(State_lookup!E23*Keys!$C$31*(National_totals!$C$9/SUM(National_totals!$C$9:$I$9)), 0)</f>
        <v>20</v>
      </c>
      <c r="C24">
        <f>ROUND(State_lookup!E23*Keys!$C$31*(National_totals!$D$9/SUM(National_totals!$C$9:$I$9)), 0)</f>
        <v>542</v>
      </c>
      <c r="D24">
        <f>ROUND(State_lookup!E23*Keys!$C$31*(National_totals!$E$9/SUM(National_totals!$C$9:$I$9)), 0)</f>
        <v>360</v>
      </c>
      <c r="E24">
        <f>ROUND(State_lookup!E23*Keys!$C$31*(National_totals!$F$9/SUM(National_totals!$C$9:$I$9)), 0)</f>
        <v>51529</v>
      </c>
      <c r="F24">
        <f>ROUND(State_lookup!E23*Keys!$C$31*(National_totals!$G$9/SUM(National_totals!$C$9:$I$9)), 0)</f>
        <v>0</v>
      </c>
      <c r="G24">
        <f>ROUND(State_lookup!E23*Keys!$C$31*(National_totals!$H$9/SUM(National_totals!$C$9:$I$9)), 0)</f>
        <v>29</v>
      </c>
      <c r="H24">
        <f>ROUND(State_lookup!E23*Keys!$C$31*(National_totals!$I$9/SUM(National_totals!$C$9:$I$9)), 0)</f>
        <v>0</v>
      </c>
    </row>
    <row r="25" spans="1:8" x14ac:dyDescent="0.45">
      <c r="A25" t="str">
        <f>State_lookup!B24</f>
        <v>Missouri</v>
      </c>
      <c r="B25">
        <f>ROUND(State_lookup!E24*Keys!$C$31*(National_totals!$C$9/SUM(National_totals!$C$9:$I$9)), 0)</f>
        <v>51</v>
      </c>
      <c r="C25">
        <f>ROUND(State_lookup!E24*Keys!$C$31*(National_totals!$D$9/SUM(National_totals!$C$9:$I$9)), 0)</f>
        <v>1384</v>
      </c>
      <c r="D25">
        <f>ROUND(State_lookup!E24*Keys!$C$31*(National_totals!$E$9/SUM(National_totals!$C$9:$I$9)), 0)</f>
        <v>920</v>
      </c>
      <c r="E25">
        <f>ROUND(State_lookup!E24*Keys!$C$31*(National_totals!$F$9/SUM(National_totals!$C$9:$I$9)), 0)</f>
        <v>131511</v>
      </c>
      <c r="F25">
        <f>ROUND(State_lookup!E24*Keys!$C$31*(National_totals!$G$9/SUM(National_totals!$C$9:$I$9)), 0)</f>
        <v>0</v>
      </c>
      <c r="G25">
        <f>ROUND(State_lookup!E24*Keys!$C$31*(National_totals!$H$9/SUM(National_totals!$C$9:$I$9)), 0)</f>
        <v>74</v>
      </c>
      <c r="H25">
        <f>ROUND(State_lookup!E24*Keys!$C$31*(National_totals!$I$9/SUM(National_totals!$C$9:$I$9)), 0)</f>
        <v>0</v>
      </c>
    </row>
    <row r="26" spans="1:8" x14ac:dyDescent="0.45">
      <c r="A26" t="str">
        <f>State_lookup!B25</f>
        <v>Montana</v>
      </c>
      <c r="B26">
        <f>ROUND(State_lookup!E25*Keys!$C$31*(National_totals!$C$9/SUM(National_totals!$C$9:$I$9)), 0)</f>
        <v>11</v>
      </c>
      <c r="C26">
        <f>ROUND(State_lookup!E25*Keys!$C$31*(National_totals!$D$9/SUM(National_totals!$C$9:$I$9)), 0)</f>
        <v>294</v>
      </c>
      <c r="D26">
        <f>ROUND(State_lookup!E25*Keys!$C$31*(National_totals!$E$9/SUM(National_totals!$C$9:$I$9)), 0)</f>
        <v>195</v>
      </c>
      <c r="E26">
        <f>ROUND(State_lookup!E25*Keys!$C$31*(National_totals!$F$9/SUM(National_totals!$C$9:$I$9)), 0)</f>
        <v>27919</v>
      </c>
      <c r="F26">
        <f>ROUND(State_lookup!E25*Keys!$C$31*(National_totals!$G$9/SUM(National_totals!$C$9:$I$9)), 0)</f>
        <v>0</v>
      </c>
      <c r="G26">
        <f>ROUND(State_lookup!E25*Keys!$C$31*(National_totals!$H$9/SUM(National_totals!$C$9:$I$9)), 0)</f>
        <v>16</v>
      </c>
      <c r="H26">
        <f>ROUND(State_lookup!E25*Keys!$C$31*(National_totals!$I$9/SUM(National_totals!$C$9:$I$9)), 0)</f>
        <v>0</v>
      </c>
    </row>
    <row r="27" spans="1:8" x14ac:dyDescent="0.45">
      <c r="A27" t="str">
        <f>State_lookup!B26</f>
        <v>Nebraska</v>
      </c>
      <c r="B27">
        <f>ROUND(State_lookup!E26*Keys!$C$31*(National_totals!$C$9/SUM(National_totals!$C$9:$I$9)), 0)</f>
        <v>19</v>
      </c>
      <c r="C27">
        <f>ROUND(State_lookup!E26*Keys!$C$31*(National_totals!$D$9/SUM(National_totals!$C$9:$I$9)), 0)</f>
        <v>523</v>
      </c>
      <c r="D27">
        <f>ROUND(State_lookup!E26*Keys!$C$31*(National_totals!$E$9/SUM(National_totals!$C$9:$I$9)), 0)</f>
        <v>348</v>
      </c>
      <c r="E27">
        <f>ROUND(State_lookup!E26*Keys!$C$31*(National_totals!$F$9/SUM(National_totals!$C$9:$I$9)), 0)</f>
        <v>49709</v>
      </c>
      <c r="F27">
        <f>ROUND(State_lookup!E26*Keys!$C$31*(National_totals!$G$9/SUM(National_totals!$C$9:$I$9)), 0)</f>
        <v>0</v>
      </c>
      <c r="G27">
        <f>ROUND(State_lookup!E26*Keys!$C$31*(National_totals!$H$9/SUM(National_totals!$C$9:$I$9)), 0)</f>
        <v>28</v>
      </c>
      <c r="H27">
        <f>ROUND(State_lookup!E26*Keys!$C$31*(National_totals!$I$9/SUM(National_totals!$C$9:$I$9)), 0)</f>
        <v>0</v>
      </c>
    </row>
    <row r="28" spans="1:8" x14ac:dyDescent="0.45">
      <c r="A28" t="str">
        <f>State_lookup!B27</f>
        <v>Nevada</v>
      </c>
      <c r="B28">
        <f>ROUND(State_lookup!E27*Keys!$C$31*(National_totals!$C$9/SUM(National_totals!$C$9:$I$9)), 0)</f>
        <v>20</v>
      </c>
      <c r="C28">
        <f>ROUND(State_lookup!E27*Keys!$C$31*(National_totals!$D$9/SUM(National_totals!$C$9:$I$9)), 0)</f>
        <v>554</v>
      </c>
      <c r="D28">
        <f>ROUND(State_lookup!E27*Keys!$C$31*(National_totals!$E$9/SUM(National_totals!$C$9:$I$9)), 0)</f>
        <v>368</v>
      </c>
      <c r="E28">
        <f>ROUND(State_lookup!E27*Keys!$C$31*(National_totals!$F$9/SUM(National_totals!$C$9:$I$9)), 0)</f>
        <v>52686</v>
      </c>
      <c r="F28">
        <f>ROUND(State_lookup!E27*Keys!$C$31*(National_totals!$G$9/SUM(National_totals!$C$9:$I$9)), 0)</f>
        <v>0</v>
      </c>
      <c r="G28">
        <f>ROUND(State_lookup!E27*Keys!$C$31*(National_totals!$H$9/SUM(National_totals!$C$9:$I$9)), 0)</f>
        <v>30</v>
      </c>
      <c r="H28">
        <f>ROUND(State_lookup!E27*Keys!$C$31*(National_totals!$I$9/SUM(National_totals!$C$9:$I$9)), 0)</f>
        <v>0</v>
      </c>
    </row>
    <row r="29" spans="1:8" x14ac:dyDescent="0.45">
      <c r="A29" t="str">
        <f>State_lookup!B28</f>
        <v>New Hampshire</v>
      </c>
      <c r="B29">
        <f>ROUND(State_lookup!E28*Keys!$C$31*(National_totals!$C$9/SUM(National_totals!$C$9:$I$9)), 0)</f>
        <v>13</v>
      </c>
      <c r="C29">
        <f>ROUND(State_lookup!E28*Keys!$C$31*(National_totals!$D$9/SUM(National_totals!$C$9:$I$9)), 0)</f>
        <v>348</v>
      </c>
      <c r="D29">
        <f>ROUND(State_lookup!E28*Keys!$C$31*(National_totals!$E$9/SUM(National_totals!$C$9:$I$9)), 0)</f>
        <v>231</v>
      </c>
      <c r="E29">
        <f>ROUND(State_lookup!E28*Keys!$C$31*(National_totals!$F$9/SUM(National_totals!$C$9:$I$9)), 0)</f>
        <v>33092</v>
      </c>
      <c r="F29">
        <f>ROUND(State_lookup!E28*Keys!$C$31*(National_totals!$G$9/SUM(National_totals!$C$9:$I$9)), 0)</f>
        <v>0</v>
      </c>
      <c r="G29">
        <f>ROUND(State_lookup!E28*Keys!$C$31*(National_totals!$H$9/SUM(National_totals!$C$9:$I$9)), 0)</f>
        <v>19</v>
      </c>
      <c r="H29">
        <f>ROUND(State_lookup!E28*Keys!$C$31*(National_totals!$I$9/SUM(National_totals!$C$9:$I$9)), 0)</f>
        <v>0</v>
      </c>
    </row>
    <row r="30" spans="1:8" x14ac:dyDescent="0.45">
      <c r="A30" t="str">
        <f>State_lookup!B29</f>
        <v>New Jersey</v>
      </c>
      <c r="B30">
        <f>ROUND(State_lookup!E29*Keys!$C$31*(National_totals!$C$9/SUM(National_totals!$C$9:$I$9)), 0)</f>
        <v>54</v>
      </c>
      <c r="C30">
        <f>ROUND(State_lookup!E29*Keys!$C$31*(National_totals!$D$9/SUM(National_totals!$C$9:$I$9)), 0)</f>
        <v>1457</v>
      </c>
      <c r="D30">
        <f>ROUND(State_lookup!E29*Keys!$C$31*(National_totals!$E$9/SUM(National_totals!$C$9:$I$9)), 0)</f>
        <v>968</v>
      </c>
      <c r="E30">
        <f>ROUND(State_lookup!E29*Keys!$C$31*(National_totals!$F$9/SUM(National_totals!$C$9:$I$9)), 0)</f>
        <v>138408</v>
      </c>
      <c r="F30">
        <f>ROUND(State_lookup!E29*Keys!$C$31*(National_totals!$G$9/SUM(National_totals!$C$9:$I$9)), 0)</f>
        <v>0</v>
      </c>
      <c r="G30">
        <f>ROUND(State_lookup!E29*Keys!$C$31*(National_totals!$H$9/SUM(National_totals!$C$9:$I$9)), 0)</f>
        <v>78</v>
      </c>
      <c r="H30">
        <f>ROUND(State_lookup!E29*Keys!$C$31*(National_totals!$I$9/SUM(National_totals!$C$9:$I$9)), 0)</f>
        <v>0</v>
      </c>
    </row>
    <row r="31" spans="1:8" x14ac:dyDescent="0.45">
      <c r="A31" t="str">
        <f>State_lookup!B30</f>
        <v>New Mexico</v>
      </c>
      <c r="B31">
        <f>ROUND(State_lookup!E30*Keys!$C$31*(National_totals!$C$9/SUM(National_totals!$C$9:$I$9)), 0)</f>
        <v>18</v>
      </c>
      <c r="C31">
        <f>ROUND(State_lookup!E30*Keys!$C$31*(National_totals!$D$9/SUM(National_totals!$C$9:$I$9)), 0)</f>
        <v>488</v>
      </c>
      <c r="D31">
        <f>ROUND(State_lookup!E30*Keys!$C$31*(National_totals!$E$9/SUM(National_totals!$C$9:$I$9)), 0)</f>
        <v>324</v>
      </c>
      <c r="E31">
        <f>ROUND(State_lookup!E30*Keys!$C$31*(National_totals!$F$9/SUM(National_totals!$C$9:$I$9)), 0)</f>
        <v>46385</v>
      </c>
      <c r="F31">
        <f>ROUND(State_lookup!E30*Keys!$C$31*(National_totals!$G$9/SUM(National_totals!$C$9:$I$9)), 0)</f>
        <v>0</v>
      </c>
      <c r="G31">
        <f>ROUND(State_lookup!E30*Keys!$C$31*(National_totals!$H$9/SUM(National_totals!$C$9:$I$9)), 0)</f>
        <v>26</v>
      </c>
      <c r="H31">
        <f>ROUND(State_lookup!E30*Keys!$C$31*(National_totals!$I$9/SUM(National_totals!$C$9:$I$9)), 0)</f>
        <v>0</v>
      </c>
    </row>
    <row r="32" spans="1:8" x14ac:dyDescent="0.45">
      <c r="A32" t="str">
        <f>State_lookup!B31</f>
        <v>New York</v>
      </c>
      <c r="B32">
        <f>ROUND(State_lookup!E31*Keys!$C$31*(National_totals!$C$9/SUM(National_totals!$C$9:$I$9)), 0)</f>
        <v>108</v>
      </c>
      <c r="C32">
        <f>ROUND(State_lookup!E31*Keys!$C$31*(National_totals!$D$9/SUM(National_totals!$C$9:$I$9)), 0)</f>
        <v>2930</v>
      </c>
      <c r="D32">
        <f>ROUND(State_lookup!E31*Keys!$C$31*(National_totals!$E$9/SUM(National_totals!$C$9:$I$9)), 0)</f>
        <v>1947</v>
      </c>
      <c r="E32">
        <f>ROUND(State_lookup!E31*Keys!$C$31*(National_totals!$F$9/SUM(National_totals!$C$9:$I$9)), 0)</f>
        <v>278357</v>
      </c>
      <c r="F32">
        <f>ROUND(State_lookup!E31*Keys!$C$31*(National_totals!$G$9/SUM(National_totals!$C$9:$I$9)), 0)</f>
        <v>0</v>
      </c>
      <c r="G32">
        <f>ROUND(State_lookup!E31*Keys!$C$31*(National_totals!$H$9/SUM(National_totals!$C$9:$I$9)), 0)</f>
        <v>156</v>
      </c>
      <c r="H32">
        <f>ROUND(State_lookup!E31*Keys!$C$31*(National_totals!$I$9/SUM(National_totals!$C$9:$I$9)), 0)</f>
        <v>0</v>
      </c>
    </row>
    <row r="33" spans="1:8" x14ac:dyDescent="0.45">
      <c r="A33" t="str">
        <f>State_lookup!B32</f>
        <v>North Carolina</v>
      </c>
      <c r="B33">
        <f>ROUND(State_lookup!E32*Keys!$C$31*(National_totals!$C$9/SUM(National_totals!$C$9:$I$9)), 0)</f>
        <v>79</v>
      </c>
      <c r="C33">
        <f>ROUND(State_lookup!E32*Keys!$C$31*(National_totals!$D$9/SUM(National_totals!$C$9:$I$9)), 0)</f>
        <v>2154</v>
      </c>
      <c r="D33">
        <f>ROUND(State_lookup!E32*Keys!$C$31*(National_totals!$E$9/SUM(National_totals!$C$9:$I$9)), 0)</f>
        <v>1432</v>
      </c>
      <c r="E33">
        <f>ROUND(State_lookup!E32*Keys!$C$31*(National_totals!$F$9/SUM(National_totals!$C$9:$I$9)), 0)</f>
        <v>204699</v>
      </c>
      <c r="F33">
        <f>ROUND(State_lookup!E32*Keys!$C$31*(National_totals!$G$9/SUM(National_totals!$C$9:$I$9)), 0)</f>
        <v>0</v>
      </c>
      <c r="G33">
        <f>ROUND(State_lookup!E32*Keys!$C$31*(National_totals!$H$9/SUM(National_totals!$C$9:$I$9)), 0)</f>
        <v>115</v>
      </c>
      <c r="H33">
        <f>ROUND(State_lookup!E32*Keys!$C$31*(National_totals!$I$9/SUM(National_totals!$C$9:$I$9)), 0)</f>
        <v>0</v>
      </c>
    </row>
    <row r="34" spans="1:8" x14ac:dyDescent="0.45">
      <c r="A34" t="str">
        <f>State_lookup!B33</f>
        <v>North Dakota</v>
      </c>
      <c r="B34">
        <f>ROUND(State_lookup!E33*Keys!$C$31*(National_totals!$C$9/SUM(National_totals!$C$9:$I$9)), 0)</f>
        <v>11</v>
      </c>
      <c r="C34">
        <f>ROUND(State_lookup!E33*Keys!$C$31*(National_totals!$D$9/SUM(National_totals!$C$9:$I$9)), 0)</f>
        <v>311</v>
      </c>
      <c r="D34">
        <f>ROUND(State_lookup!E33*Keys!$C$31*(National_totals!$E$9/SUM(National_totals!$C$9:$I$9)), 0)</f>
        <v>207</v>
      </c>
      <c r="E34">
        <f>ROUND(State_lookup!E33*Keys!$C$31*(National_totals!$F$9/SUM(National_totals!$C$9:$I$9)), 0)</f>
        <v>29558</v>
      </c>
      <c r="F34">
        <f>ROUND(State_lookup!E33*Keys!$C$31*(National_totals!$G$9/SUM(National_totals!$C$9:$I$9)), 0)</f>
        <v>0</v>
      </c>
      <c r="G34">
        <f>ROUND(State_lookup!E33*Keys!$C$31*(National_totals!$H$9/SUM(National_totals!$C$9:$I$9)), 0)</f>
        <v>17</v>
      </c>
      <c r="H34">
        <f>ROUND(State_lookup!E33*Keys!$C$31*(National_totals!$I$9/SUM(National_totals!$C$9:$I$9)), 0)</f>
        <v>0</v>
      </c>
    </row>
    <row r="35" spans="1:8" x14ac:dyDescent="0.45">
      <c r="A35" t="str">
        <f>State_lookup!B34</f>
        <v>Ohio</v>
      </c>
      <c r="B35">
        <f>ROUND(State_lookup!E34*Keys!$C$31*(National_totals!$C$9/SUM(National_totals!$C$9:$I$9)), 0)</f>
        <v>100</v>
      </c>
      <c r="C35">
        <f>ROUND(State_lookup!E34*Keys!$C$31*(National_totals!$D$9/SUM(National_totals!$C$9:$I$9)), 0)</f>
        <v>2716</v>
      </c>
      <c r="D35">
        <f>ROUND(State_lookup!E34*Keys!$C$31*(National_totals!$E$9/SUM(National_totals!$C$9:$I$9)), 0)</f>
        <v>1805</v>
      </c>
      <c r="E35">
        <f>ROUND(State_lookup!E34*Keys!$C$31*(National_totals!$F$9/SUM(National_totals!$C$9:$I$9)), 0)</f>
        <v>258061</v>
      </c>
      <c r="F35">
        <f>ROUND(State_lookup!E34*Keys!$C$31*(National_totals!$G$9/SUM(National_totals!$C$9:$I$9)), 0)</f>
        <v>0</v>
      </c>
      <c r="G35">
        <f>ROUND(State_lookup!E34*Keys!$C$31*(National_totals!$H$9/SUM(National_totals!$C$9:$I$9)), 0)</f>
        <v>145</v>
      </c>
      <c r="H35">
        <f>ROUND(State_lookup!E34*Keys!$C$31*(National_totals!$I$9/SUM(National_totals!$C$9:$I$9)), 0)</f>
        <v>0</v>
      </c>
    </row>
    <row r="36" spans="1:8" x14ac:dyDescent="0.45">
      <c r="A36" t="str">
        <f>State_lookup!B35</f>
        <v>Oklahoma</v>
      </c>
      <c r="B36">
        <f>ROUND(State_lookup!E35*Keys!$C$31*(National_totals!$C$9/SUM(National_totals!$C$9:$I$9)), 0)</f>
        <v>35</v>
      </c>
      <c r="C36">
        <f>ROUND(State_lookup!E35*Keys!$C$31*(National_totals!$D$9/SUM(National_totals!$C$9:$I$9)), 0)</f>
        <v>958</v>
      </c>
      <c r="D36">
        <f>ROUND(State_lookup!E35*Keys!$C$31*(National_totals!$E$9/SUM(National_totals!$C$9:$I$9)), 0)</f>
        <v>636</v>
      </c>
      <c r="E36">
        <f>ROUND(State_lookup!E35*Keys!$C$31*(National_totals!$F$9/SUM(National_totals!$C$9:$I$9)), 0)</f>
        <v>91010</v>
      </c>
      <c r="F36">
        <f>ROUND(State_lookup!E35*Keys!$C$31*(National_totals!$G$9/SUM(National_totals!$C$9:$I$9)), 0)</f>
        <v>0</v>
      </c>
      <c r="G36">
        <f>ROUND(State_lookup!E35*Keys!$C$31*(National_totals!$H$9/SUM(National_totals!$C$9:$I$9)), 0)</f>
        <v>51</v>
      </c>
      <c r="H36">
        <f>ROUND(State_lookup!E35*Keys!$C$31*(National_totals!$I$9/SUM(National_totals!$C$9:$I$9)), 0)</f>
        <v>0</v>
      </c>
    </row>
    <row r="37" spans="1:8" x14ac:dyDescent="0.45">
      <c r="A37" t="str">
        <f>State_lookup!B36</f>
        <v>Oregon</v>
      </c>
      <c r="B37">
        <f>ROUND(State_lookup!E36*Keys!$C$31*(National_totals!$C$9/SUM(National_totals!$C$9:$I$9)), 0)</f>
        <v>39</v>
      </c>
      <c r="C37">
        <f>ROUND(State_lookup!E36*Keys!$C$31*(National_totals!$D$9/SUM(National_totals!$C$9:$I$9)), 0)</f>
        <v>1065</v>
      </c>
      <c r="D37">
        <f>ROUND(State_lookup!E36*Keys!$C$31*(National_totals!$E$9/SUM(National_totals!$C$9:$I$9)), 0)</f>
        <v>707</v>
      </c>
      <c r="E37">
        <f>ROUND(State_lookup!E36*Keys!$C$31*(National_totals!$F$9/SUM(National_totals!$C$9:$I$9)), 0)</f>
        <v>101150</v>
      </c>
      <c r="F37">
        <f>ROUND(State_lookup!E36*Keys!$C$31*(National_totals!$G$9/SUM(National_totals!$C$9:$I$9)), 0)</f>
        <v>0</v>
      </c>
      <c r="G37">
        <f>ROUND(State_lookup!E36*Keys!$C$31*(National_totals!$H$9/SUM(National_totals!$C$9:$I$9)), 0)</f>
        <v>57</v>
      </c>
      <c r="H37">
        <f>ROUND(State_lookup!E36*Keys!$C$31*(National_totals!$I$9/SUM(National_totals!$C$9:$I$9)), 0)</f>
        <v>0</v>
      </c>
    </row>
    <row r="38" spans="1:8" x14ac:dyDescent="0.45">
      <c r="A38" t="str">
        <f>State_lookup!B37</f>
        <v>Pennsylvania</v>
      </c>
      <c r="B38">
        <f>ROUND(State_lookup!E37*Keys!$C$31*(National_totals!$C$9/SUM(National_totals!$C$9:$I$9)), 0)</f>
        <v>96</v>
      </c>
      <c r="C38">
        <f>ROUND(State_lookup!E37*Keys!$C$31*(National_totals!$D$9/SUM(National_totals!$C$9:$I$9)), 0)</f>
        <v>2617</v>
      </c>
      <c r="D38">
        <f>ROUND(State_lookup!E37*Keys!$C$31*(National_totals!$E$9/SUM(National_totals!$C$9:$I$9)), 0)</f>
        <v>1739</v>
      </c>
      <c r="E38">
        <f>ROUND(State_lookup!E37*Keys!$C$31*(National_totals!$F$9/SUM(National_totals!$C$9:$I$9)), 0)</f>
        <v>248661</v>
      </c>
      <c r="F38">
        <f>ROUND(State_lookup!E37*Keys!$C$31*(National_totals!$G$9/SUM(National_totals!$C$9:$I$9)), 0)</f>
        <v>0</v>
      </c>
      <c r="G38">
        <f>ROUND(State_lookup!E37*Keys!$C$31*(National_totals!$H$9/SUM(National_totals!$C$9:$I$9)), 0)</f>
        <v>139</v>
      </c>
      <c r="H38">
        <f>ROUND(State_lookup!E37*Keys!$C$31*(National_totals!$I$9/SUM(National_totals!$C$9:$I$9)), 0)</f>
        <v>0</v>
      </c>
    </row>
    <row r="39" spans="1:8" x14ac:dyDescent="0.45">
      <c r="A39" t="str">
        <f>State_lookup!B38</f>
        <v>Rhode Island</v>
      </c>
      <c r="B39">
        <f>ROUND(State_lookup!E38*Keys!$C$31*(National_totals!$C$9/SUM(National_totals!$C$9:$I$9)), 0)</f>
        <v>7</v>
      </c>
      <c r="C39">
        <f>ROUND(State_lookup!E38*Keys!$C$31*(National_totals!$D$9/SUM(National_totals!$C$9:$I$9)), 0)</f>
        <v>192</v>
      </c>
      <c r="D39">
        <f>ROUND(State_lookup!E38*Keys!$C$31*(National_totals!$E$9/SUM(National_totals!$C$9:$I$9)), 0)</f>
        <v>128</v>
      </c>
      <c r="E39">
        <f>ROUND(State_lookup!E38*Keys!$C$31*(National_totals!$F$9/SUM(National_totals!$C$9:$I$9)), 0)</f>
        <v>18259</v>
      </c>
      <c r="F39">
        <f>ROUND(State_lookup!E38*Keys!$C$31*(National_totals!$G$9/SUM(National_totals!$C$9:$I$9)), 0)</f>
        <v>0</v>
      </c>
      <c r="G39">
        <f>ROUND(State_lookup!E38*Keys!$C$31*(National_totals!$H$9/SUM(National_totals!$C$9:$I$9)), 0)</f>
        <v>10</v>
      </c>
      <c r="H39">
        <f>ROUND(State_lookup!E38*Keys!$C$31*(National_totals!$I$9/SUM(National_totals!$C$9:$I$9)), 0)</f>
        <v>0</v>
      </c>
    </row>
    <row r="40" spans="1:8" x14ac:dyDescent="0.45">
      <c r="A40" t="str">
        <f>State_lookup!B39</f>
        <v>South Carolina</v>
      </c>
      <c r="B40">
        <f>ROUND(State_lookup!E39*Keys!$C$31*(National_totals!$C$9/SUM(National_totals!$C$9:$I$9)), 0)</f>
        <v>45</v>
      </c>
      <c r="C40">
        <f>ROUND(State_lookup!E39*Keys!$C$31*(National_totals!$D$9/SUM(National_totals!$C$9:$I$9)), 0)</f>
        <v>1225</v>
      </c>
      <c r="D40">
        <f>ROUND(State_lookup!E39*Keys!$C$31*(National_totals!$E$9/SUM(National_totals!$C$9:$I$9)), 0)</f>
        <v>814</v>
      </c>
      <c r="E40">
        <f>ROUND(State_lookup!E39*Keys!$C$31*(National_totals!$F$9/SUM(National_totals!$C$9:$I$9)), 0)</f>
        <v>116430</v>
      </c>
      <c r="F40">
        <f>ROUND(State_lookup!E39*Keys!$C$31*(National_totals!$G$9/SUM(National_totals!$C$9:$I$9)), 0)</f>
        <v>0</v>
      </c>
      <c r="G40">
        <f>ROUND(State_lookup!E39*Keys!$C$31*(National_totals!$H$9/SUM(National_totals!$C$9:$I$9)), 0)</f>
        <v>65</v>
      </c>
      <c r="H40">
        <f>ROUND(State_lookup!E39*Keys!$C$31*(National_totals!$I$9/SUM(National_totals!$C$9:$I$9)), 0)</f>
        <v>0</v>
      </c>
    </row>
    <row r="41" spans="1:8" x14ac:dyDescent="0.45">
      <c r="A41" t="str">
        <f>State_lookup!B40</f>
        <v>South Dakota</v>
      </c>
      <c r="B41">
        <f>ROUND(State_lookup!E40*Keys!$C$31*(National_totals!$C$9/SUM(National_totals!$C$9:$I$9)), 0)</f>
        <v>13</v>
      </c>
      <c r="C41">
        <f>ROUND(State_lookup!E40*Keys!$C$31*(National_totals!$D$9/SUM(National_totals!$C$9:$I$9)), 0)</f>
        <v>365</v>
      </c>
      <c r="D41">
        <f>ROUND(State_lookup!E40*Keys!$C$31*(National_totals!$E$9/SUM(National_totals!$C$9:$I$9)), 0)</f>
        <v>242</v>
      </c>
      <c r="E41">
        <f>ROUND(State_lookup!E40*Keys!$C$31*(National_totals!$F$9/SUM(National_totals!$C$9:$I$9)), 0)</f>
        <v>34661</v>
      </c>
      <c r="F41">
        <f>ROUND(State_lookup!E40*Keys!$C$31*(National_totals!$G$9/SUM(National_totals!$C$9:$I$9)), 0)</f>
        <v>0</v>
      </c>
      <c r="G41">
        <f>ROUND(State_lookup!E40*Keys!$C$31*(National_totals!$H$9/SUM(National_totals!$C$9:$I$9)), 0)</f>
        <v>19</v>
      </c>
      <c r="H41">
        <f>ROUND(State_lookup!E40*Keys!$C$31*(National_totals!$I$9/SUM(National_totals!$C$9:$I$9)), 0)</f>
        <v>0</v>
      </c>
    </row>
    <row r="42" spans="1:8" x14ac:dyDescent="0.45">
      <c r="A42" t="str">
        <f>State_lookup!B41</f>
        <v>Tennessee</v>
      </c>
      <c r="B42">
        <f>ROUND(State_lookup!E41*Keys!$C$31*(National_totals!$C$9/SUM(National_totals!$C$9:$I$9)), 0)</f>
        <v>66</v>
      </c>
      <c r="C42">
        <f>ROUND(State_lookup!E41*Keys!$C$31*(National_totals!$D$9/SUM(National_totals!$C$9:$I$9)), 0)</f>
        <v>1796</v>
      </c>
      <c r="D42">
        <f>ROUND(State_lookup!E41*Keys!$C$31*(National_totals!$E$9/SUM(National_totals!$C$9:$I$9)), 0)</f>
        <v>1193</v>
      </c>
      <c r="E42">
        <f>ROUND(State_lookup!E41*Keys!$C$31*(National_totals!$F$9/SUM(National_totals!$C$9:$I$9)), 0)</f>
        <v>170616</v>
      </c>
      <c r="F42">
        <f>ROUND(State_lookup!E41*Keys!$C$31*(National_totals!$G$9/SUM(National_totals!$C$9:$I$9)), 0)</f>
        <v>0</v>
      </c>
      <c r="G42">
        <f>ROUND(State_lookup!E41*Keys!$C$31*(National_totals!$H$9/SUM(National_totals!$C$9:$I$9)), 0)</f>
        <v>96</v>
      </c>
      <c r="H42">
        <f>ROUND(State_lookup!E41*Keys!$C$31*(National_totals!$I$9/SUM(National_totals!$C$9:$I$9)), 0)</f>
        <v>0</v>
      </c>
    </row>
    <row r="43" spans="1:8" x14ac:dyDescent="0.45">
      <c r="A43" t="str">
        <f>State_lookup!B42</f>
        <v>Texas</v>
      </c>
      <c r="B43">
        <f>ROUND(State_lookup!E42*Keys!$C$31*(National_totals!$C$9/SUM(National_totals!$C$9:$I$9)), 0)</f>
        <v>224</v>
      </c>
      <c r="C43">
        <f>ROUND(State_lookup!E42*Keys!$C$31*(National_totals!$D$9/SUM(National_totals!$C$9:$I$9)), 0)</f>
        <v>6092</v>
      </c>
      <c r="D43">
        <f>ROUND(State_lookup!E42*Keys!$C$31*(National_totals!$E$9/SUM(National_totals!$C$9:$I$9)), 0)</f>
        <v>4048</v>
      </c>
      <c r="E43">
        <f>ROUND(State_lookup!E42*Keys!$C$31*(National_totals!$F$9/SUM(National_totals!$C$9:$I$9)), 0)</f>
        <v>578851</v>
      </c>
      <c r="F43">
        <f>ROUND(State_lookup!E42*Keys!$C$31*(National_totals!$G$9/SUM(National_totals!$C$9:$I$9)), 0)</f>
        <v>0</v>
      </c>
      <c r="G43">
        <f>ROUND(State_lookup!E42*Keys!$C$31*(National_totals!$H$9/SUM(National_totals!$C$9:$I$9)), 0)</f>
        <v>324</v>
      </c>
      <c r="H43">
        <f>ROUND(State_lookup!E42*Keys!$C$31*(National_totals!$I$9/SUM(National_totals!$C$9:$I$9)), 0)</f>
        <v>0</v>
      </c>
    </row>
    <row r="44" spans="1:8" x14ac:dyDescent="0.45">
      <c r="A44" t="str">
        <f>State_lookup!B43</f>
        <v>Utah</v>
      </c>
      <c r="B44">
        <f>ROUND(State_lookup!E43*Keys!$C$31*(National_totals!$C$9/SUM(National_totals!$C$9:$I$9)), 0)</f>
        <v>28</v>
      </c>
      <c r="C44">
        <f>ROUND(State_lookup!E43*Keys!$C$31*(National_totals!$D$9/SUM(National_totals!$C$9:$I$9)), 0)</f>
        <v>754</v>
      </c>
      <c r="D44">
        <f>ROUND(State_lookup!E43*Keys!$C$31*(National_totals!$E$9/SUM(National_totals!$C$9:$I$9)), 0)</f>
        <v>501</v>
      </c>
      <c r="E44">
        <f>ROUND(State_lookup!E43*Keys!$C$31*(National_totals!$F$9/SUM(National_totals!$C$9:$I$9)), 0)</f>
        <v>71618</v>
      </c>
      <c r="F44">
        <f>ROUND(State_lookup!E43*Keys!$C$31*(National_totals!$G$9/SUM(National_totals!$C$9:$I$9)), 0)</f>
        <v>0</v>
      </c>
      <c r="G44">
        <f>ROUND(State_lookup!E43*Keys!$C$31*(National_totals!$H$9/SUM(National_totals!$C$9:$I$9)), 0)</f>
        <v>40</v>
      </c>
      <c r="H44">
        <f>ROUND(State_lookup!E43*Keys!$C$31*(National_totals!$I$9/SUM(National_totals!$C$9:$I$9)), 0)</f>
        <v>0</v>
      </c>
    </row>
    <row r="45" spans="1:8" x14ac:dyDescent="0.45">
      <c r="A45" t="str">
        <f>State_lookup!B44</f>
        <v>Vermont</v>
      </c>
      <c r="B45">
        <f>ROUND(State_lookup!E44*Keys!$C$31*(National_totals!$C$9/SUM(National_totals!$C$9:$I$9)), 0)</f>
        <v>7</v>
      </c>
      <c r="C45">
        <f>ROUND(State_lookup!E44*Keys!$C$31*(National_totals!$D$9/SUM(National_totals!$C$9:$I$9)), 0)</f>
        <v>181</v>
      </c>
      <c r="D45">
        <f>ROUND(State_lookup!E44*Keys!$C$31*(National_totals!$E$9/SUM(National_totals!$C$9:$I$9)), 0)</f>
        <v>120</v>
      </c>
      <c r="E45">
        <f>ROUND(State_lookup!E44*Keys!$C$31*(National_totals!$F$9/SUM(National_totals!$C$9:$I$9)), 0)</f>
        <v>17204</v>
      </c>
      <c r="F45">
        <f>ROUND(State_lookup!E44*Keys!$C$31*(National_totals!$G$9/SUM(National_totals!$C$9:$I$9)), 0)</f>
        <v>0</v>
      </c>
      <c r="G45">
        <f>ROUND(State_lookup!E44*Keys!$C$31*(National_totals!$H$9/SUM(National_totals!$C$9:$I$9)), 0)</f>
        <v>10</v>
      </c>
      <c r="H45">
        <f>ROUND(State_lookup!E44*Keys!$C$31*(National_totals!$I$9/SUM(National_totals!$C$9:$I$9)), 0)</f>
        <v>0</v>
      </c>
    </row>
    <row r="46" spans="1:8" x14ac:dyDescent="0.45">
      <c r="A46" t="str">
        <f>State_lookup!B45</f>
        <v>Virginia</v>
      </c>
      <c r="B46">
        <f>ROUND(State_lookup!E45*Keys!$C$31*(National_totals!$C$9/SUM(National_totals!$C$9:$I$9)), 0)</f>
        <v>69</v>
      </c>
      <c r="C46">
        <f>ROUND(State_lookup!E45*Keys!$C$31*(National_totals!$D$9/SUM(National_totals!$C$9:$I$9)), 0)</f>
        <v>1883</v>
      </c>
      <c r="D46">
        <f>ROUND(State_lookup!E45*Keys!$C$31*(National_totals!$E$9/SUM(National_totals!$C$9:$I$9)), 0)</f>
        <v>1251</v>
      </c>
      <c r="E46">
        <f>ROUND(State_lookup!E45*Keys!$C$31*(National_totals!$F$9/SUM(National_totals!$C$9:$I$9)), 0)</f>
        <v>178902</v>
      </c>
      <c r="F46">
        <f>ROUND(State_lookup!E45*Keys!$C$31*(National_totals!$G$9/SUM(National_totals!$C$9:$I$9)), 0)</f>
        <v>0</v>
      </c>
      <c r="G46">
        <f>ROUND(State_lookup!E45*Keys!$C$31*(National_totals!$H$9/SUM(National_totals!$C$9:$I$9)), 0)</f>
        <v>100</v>
      </c>
      <c r="H46">
        <f>ROUND(State_lookup!E45*Keys!$C$31*(National_totals!$I$9/SUM(National_totals!$C$9:$I$9)), 0)</f>
        <v>0</v>
      </c>
    </row>
    <row r="47" spans="1:8" x14ac:dyDescent="0.45">
      <c r="A47" t="str">
        <f>State_lookup!B46</f>
        <v>Washington</v>
      </c>
      <c r="B47">
        <f>ROUND(State_lookup!E46*Keys!$C$31*(National_totals!$C$9/SUM(National_totals!$C$9:$I$9)), 0)</f>
        <v>67</v>
      </c>
      <c r="C47">
        <f>ROUND(State_lookup!E46*Keys!$C$31*(National_totals!$D$9/SUM(National_totals!$C$9:$I$9)), 0)</f>
        <v>1819</v>
      </c>
      <c r="D47">
        <f>ROUND(State_lookup!E46*Keys!$C$31*(National_totals!$E$9/SUM(National_totals!$C$9:$I$9)), 0)</f>
        <v>1209</v>
      </c>
      <c r="E47">
        <f>ROUND(State_lookup!E46*Keys!$C$31*(National_totals!$F$9/SUM(National_totals!$C$9:$I$9)), 0)</f>
        <v>172875</v>
      </c>
      <c r="F47">
        <f>ROUND(State_lookup!E46*Keys!$C$31*(National_totals!$G$9/SUM(National_totals!$C$9:$I$9)), 0)</f>
        <v>0</v>
      </c>
      <c r="G47">
        <f>ROUND(State_lookup!E46*Keys!$C$31*(National_totals!$H$9/SUM(National_totals!$C$9:$I$9)), 0)</f>
        <v>97</v>
      </c>
      <c r="H47">
        <f>ROUND(State_lookup!E46*Keys!$C$31*(National_totals!$I$9/SUM(National_totals!$C$9:$I$9)), 0)</f>
        <v>0</v>
      </c>
    </row>
    <row r="48" spans="1:8" x14ac:dyDescent="0.45">
      <c r="A48" t="str">
        <f>State_lookup!B47</f>
        <v>West Virginia</v>
      </c>
      <c r="B48">
        <f>ROUND(State_lookup!E47*Keys!$C$31*(National_totals!$C$9/SUM(National_totals!$C$9:$I$9)), 0)</f>
        <v>15</v>
      </c>
      <c r="C48">
        <f>ROUND(State_lookup!E47*Keys!$C$31*(National_totals!$D$9/SUM(National_totals!$C$9:$I$9)), 0)</f>
        <v>395</v>
      </c>
      <c r="D48">
        <f>ROUND(State_lookup!E47*Keys!$C$31*(National_totals!$E$9/SUM(National_totals!$C$9:$I$9)), 0)</f>
        <v>262</v>
      </c>
      <c r="E48">
        <f>ROUND(State_lookup!E47*Keys!$C$31*(National_totals!$F$9/SUM(National_totals!$C$9:$I$9)), 0)</f>
        <v>37517</v>
      </c>
      <c r="F48">
        <f>ROUND(State_lookup!E47*Keys!$C$31*(National_totals!$G$9/SUM(National_totals!$C$9:$I$9)), 0)</f>
        <v>0</v>
      </c>
      <c r="G48">
        <f>ROUND(State_lookup!E47*Keys!$C$31*(National_totals!$H$9/SUM(National_totals!$C$9:$I$9)), 0)</f>
        <v>21</v>
      </c>
      <c r="H48">
        <f>ROUND(State_lookup!E47*Keys!$C$31*(National_totals!$I$9/SUM(National_totals!$C$9:$I$9)), 0)</f>
        <v>0</v>
      </c>
    </row>
    <row r="49" spans="1:8" x14ac:dyDescent="0.45">
      <c r="A49" t="str">
        <f>State_lookup!B48</f>
        <v>Wisconsin</v>
      </c>
      <c r="B49">
        <f>ROUND(State_lookup!E48*Keys!$C$31*(National_totals!$C$9/SUM(National_totals!$C$9:$I$9)), 0)</f>
        <v>55</v>
      </c>
      <c r="C49">
        <f>ROUND(State_lookup!E48*Keys!$C$31*(National_totals!$D$9/SUM(National_totals!$C$9:$I$9)), 0)</f>
        <v>1498</v>
      </c>
      <c r="D49">
        <f>ROUND(State_lookup!E48*Keys!$C$31*(National_totals!$E$9/SUM(National_totals!$C$9:$I$9)), 0)</f>
        <v>996</v>
      </c>
      <c r="E49">
        <f>ROUND(State_lookup!E48*Keys!$C$31*(National_totals!$F$9/SUM(National_totals!$C$9:$I$9)), 0)</f>
        <v>142373</v>
      </c>
      <c r="F49">
        <f>ROUND(State_lookup!E48*Keys!$C$31*(National_totals!$G$9/SUM(National_totals!$C$9:$I$9)), 0)</f>
        <v>0</v>
      </c>
      <c r="G49">
        <f>ROUND(State_lookup!E48*Keys!$C$31*(National_totals!$H$9/SUM(National_totals!$C$9:$I$9)), 0)</f>
        <v>80</v>
      </c>
      <c r="H49">
        <f>ROUND(State_lookup!E48*Keys!$C$31*(National_totals!$I$9/SUM(National_totals!$C$9:$I$9)), 0)</f>
        <v>0</v>
      </c>
    </row>
    <row r="50" spans="1:8" x14ac:dyDescent="0.45">
      <c r="A50" t="str">
        <f>State_lookup!B49</f>
        <v>Wyoming</v>
      </c>
      <c r="B50">
        <f>ROUND(State_lookup!E49*Keys!$C$31*(National_totals!$C$9/SUM(National_totals!$C$9:$I$9)), 0)</f>
        <v>10</v>
      </c>
      <c r="C50">
        <f>ROUND(State_lookup!E49*Keys!$C$31*(National_totals!$D$9/SUM(National_totals!$C$9:$I$9)), 0)</f>
        <v>260</v>
      </c>
      <c r="D50">
        <f>ROUND(State_lookup!E49*Keys!$C$31*(National_totals!$E$9/SUM(National_totals!$C$9:$I$9)), 0)</f>
        <v>173</v>
      </c>
      <c r="E50">
        <f>ROUND(State_lookup!E49*Keys!$C$31*(National_totals!$F$9/SUM(National_totals!$C$9:$I$9)), 0)</f>
        <v>24721</v>
      </c>
      <c r="F50">
        <f>ROUND(State_lookup!E49*Keys!$C$31*(National_totals!$G$9/SUM(National_totals!$C$9:$I$9)), 0)</f>
        <v>0</v>
      </c>
      <c r="G50">
        <f>ROUND(State_lookup!E49*Keys!$C$31*(National_totals!$H$9/SUM(National_totals!$C$9:$I$9)), 0)</f>
        <v>14</v>
      </c>
      <c r="H50">
        <f>ROUND(State_lookup!E49*Keys!$C$31*(National_totals!$I$9/SUM(National_totals!$C$9:$I$9)), 0)</f>
        <v>0</v>
      </c>
    </row>
    <row r="51" spans="1:8" x14ac:dyDescent="0.45">
      <c r="A51" s="4" t="s">
        <v>335</v>
      </c>
      <c r="B51" s="4">
        <f t="shared" ref="B51:H51" si="0">SUM(B3:B50)</f>
        <v>2562</v>
      </c>
      <c r="C51" s="4">
        <f t="shared" si="0"/>
        <v>69584</v>
      </c>
      <c r="D51" s="4">
        <f t="shared" si="0"/>
        <v>46237</v>
      </c>
      <c r="E51" s="4">
        <f t="shared" si="0"/>
        <v>6611818</v>
      </c>
      <c r="F51" s="4">
        <f t="shared" si="0"/>
        <v>0</v>
      </c>
      <c r="G51" s="4">
        <f t="shared" si="0"/>
        <v>3709</v>
      </c>
      <c r="H51" s="4">
        <f t="shared" si="0"/>
        <v>0</v>
      </c>
    </row>
    <row r="52" spans="1:8" x14ac:dyDescent="0.45">
      <c r="A52" s="4" t="s">
        <v>336</v>
      </c>
      <c r="B52" s="4">
        <f>National_totals!$C$9</f>
        <v>2114</v>
      </c>
      <c r="C52" s="4">
        <f>National_totals!$D$9</f>
        <v>57392</v>
      </c>
      <c r="D52" s="4">
        <f>National_totals!$E$9</f>
        <v>38136</v>
      </c>
      <c r="E52" s="4">
        <f>National_totals!$F$9</f>
        <v>5453223</v>
      </c>
      <c r="F52" s="4">
        <f>National_totals!$G$9</f>
        <v>0</v>
      </c>
      <c r="G52" s="4">
        <f>National_totals!$H$9</f>
        <v>3057</v>
      </c>
      <c r="H52" s="4">
        <f>National_totals!$I$9</f>
        <v>0</v>
      </c>
    </row>
    <row r="53" spans="1:8" x14ac:dyDescent="0.45">
      <c r="A53" s="4" t="s">
        <v>337</v>
      </c>
      <c r="B53" s="7">
        <f t="shared" ref="B53:H53" si="1">IFERROR((B51-B52)/B52, 0)</f>
        <v>0.2119205298013245</v>
      </c>
      <c r="C53" s="7">
        <f t="shared" si="1"/>
        <v>0.21243378868134932</v>
      </c>
      <c r="D53" s="7">
        <f t="shared" si="1"/>
        <v>0.21242395636668765</v>
      </c>
      <c r="E53" s="7">
        <f t="shared" si="1"/>
        <v>0.2124605944044467</v>
      </c>
      <c r="F53" s="7">
        <f t="shared" si="1"/>
        <v>0</v>
      </c>
      <c r="G53" s="7">
        <f t="shared" si="1"/>
        <v>0.21328099443899248</v>
      </c>
      <c r="H53" s="7">
        <f t="shared" si="1"/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345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IFERROR(ROUND(State_lookup!I2/SUM(State_lookup!I2:I49)*National_totals!$C$10, 0), 0)</f>
        <v>0</v>
      </c>
      <c r="C3">
        <f>IFERROR(ROUND(State_lookup!I2/SUM(State_lookup!I2:I49)*National_totals!$D$10, 0), 0)</f>
        <v>0</v>
      </c>
      <c r="D3">
        <f>IFERROR(ROUND(State_lookup!I2/SUM(State_lookup!I2:I49)*National_totals!$E$10, 0), 0)</f>
        <v>0</v>
      </c>
      <c r="E3">
        <f>IFERROR(ROUND(State_lookup!I2/SUM(State_lookup!I2:I49)*National_totals!$F$10, 0), 0)</f>
        <v>4</v>
      </c>
      <c r="F3">
        <f>IFERROR(ROUND(State_lookup!I2/SUM(State_lookup!I2:I49)*National_totals!$G$10, 0), 0)</f>
        <v>0</v>
      </c>
      <c r="G3">
        <f>IFERROR(ROUND(State_lookup!I2/SUM(State_lookup!I2:I49)*National_totals!$H$10, 0), 0)</f>
        <v>0</v>
      </c>
      <c r="H3">
        <f>IFERROR(ROUND(State_lookup!I2/SUM(State_lookup!I2:I49)*National_totals!$I$10, 0), 0)</f>
        <v>0</v>
      </c>
    </row>
    <row r="4" spans="1:8" x14ac:dyDescent="0.45">
      <c r="A4" t="str">
        <f>State_lookup!B3</f>
        <v>Arizona</v>
      </c>
      <c r="B4">
        <f>IFERROR(ROUND(State_lookup!I3/SUM(State_lookup!I2:I49)*National_totals!$C$10, 0), 0)</f>
        <v>0</v>
      </c>
      <c r="C4">
        <f>IFERROR(ROUND(State_lookup!I3/SUM(State_lookup!I2:I49)*National_totals!$D$10, 0), 0)</f>
        <v>0</v>
      </c>
      <c r="D4">
        <f>IFERROR(ROUND(State_lookup!I3/SUM(State_lookup!I2:I49)*National_totals!$E$10, 0), 0)</f>
        <v>0</v>
      </c>
      <c r="E4">
        <f>IFERROR(ROUND(State_lookup!I3/SUM(State_lookup!I2:I49)*National_totals!$F$10, 0), 0)</f>
        <v>14</v>
      </c>
      <c r="F4">
        <f>IFERROR(ROUND(State_lookup!I3/SUM(State_lookup!I2:I49)*National_totals!$G$10, 0), 0)</f>
        <v>0</v>
      </c>
      <c r="G4">
        <f>IFERROR(ROUND(State_lookup!I3/SUM(State_lookup!I2:I49)*National_totals!$H$10, 0), 0)</f>
        <v>0</v>
      </c>
      <c r="H4">
        <f>IFERROR(ROUND(State_lookup!I3/SUM(State_lookup!I2:I49)*National_totals!$I$10, 0), 0)</f>
        <v>0</v>
      </c>
    </row>
    <row r="5" spans="1:8" x14ac:dyDescent="0.45">
      <c r="A5" t="str">
        <f>State_lookup!B4</f>
        <v>Arkansas</v>
      </c>
      <c r="B5">
        <f>IFERROR(ROUND(State_lookup!I4/SUM(State_lookup!I2:I49)*National_totals!$C$10, 0), 0)</f>
        <v>0</v>
      </c>
      <c r="C5">
        <f>IFERROR(ROUND(State_lookup!I4/SUM(State_lookup!I2:I49)*National_totals!$D$10, 0), 0)</f>
        <v>0</v>
      </c>
      <c r="D5">
        <f>IFERROR(ROUND(State_lookup!I4/SUM(State_lookup!I2:I49)*National_totals!$E$10, 0), 0)</f>
        <v>0</v>
      </c>
      <c r="E5">
        <f>IFERROR(ROUND(State_lookup!I4/SUM(State_lookup!I2:I49)*National_totals!$F$10, 0), 0)</f>
        <v>1</v>
      </c>
      <c r="F5">
        <f>IFERROR(ROUND(State_lookup!I4/SUM(State_lookup!I2:I49)*National_totals!$G$10, 0), 0)</f>
        <v>0</v>
      </c>
      <c r="G5">
        <f>IFERROR(ROUND(State_lookup!I4/SUM(State_lookup!I2:I49)*National_totals!$H$10, 0), 0)</f>
        <v>0</v>
      </c>
      <c r="H5">
        <f>IFERROR(ROUND(State_lookup!I4/SUM(State_lookup!I2:I49)*National_totals!$I$10, 0), 0)</f>
        <v>0</v>
      </c>
    </row>
    <row r="6" spans="1:8" x14ac:dyDescent="0.45">
      <c r="A6" t="str">
        <f>State_lookup!B5</f>
        <v>California</v>
      </c>
      <c r="B6">
        <f>IFERROR(ROUND(State_lookup!I5/SUM(State_lookup!I2:I49)*National_totals!$C$10, 0), 0)</f>
        <v>0</v>
      </c>
      <c r="C6">
        <f>IFERROR(ROUND(State_lookup!I5/SUM(State_lookup!I2:I49)*National_totals!$D$10, 0), 0)</f>
        <v>0</v>
      </c>
      <c r="D6">
        <f>IFERROR(ROUND(State_lookup!I5/SUM(State_lookup!I2:I49)*National_totals!$E$10, 0), 0)</f>
        <v>0</v>
      </c>
      <c r="E6">
        <f>IFERROR(ROUND(State_lookup!I5/SUM(State_lookup!I2:I49)*National_totals!$F$10, 0), 0)</f>
        <v>118</v>
      </c>
      <c r="F6">
        <f>IFERROR(ROUND(State_lookup!I5/SUM(State_lookup!I2:I49)*National_totals!$G$10, 0), 0)</f>
        <v>0</v>
      </c>
      <c r="G6">
        <f>IFERROR(ROUND(State_lookup!I5/SUM(State_lookup!I2:I49)*National_totals!$H$10, 0), 0)</f>
        <v>0</v>
      </c>
      <c r="H6">
        <f>IFERROR(ROUND(State_lookup!I5/SUM(State_lookup!I2:I49)*National_totals!$I$10, 0), 0)</f>
        <v>0</v>
      </c>
    </row>
    <row r="7" spans="1:8" x14ac:dyDescent="0.45">
      <c r="A7" t="str">
        <f>State_lookup!B6</f>
        <v>Colorado</v>
      </c>
      <c r="B7">
        <f>IFERROR(ROUND(State_lookup!I6/SUM(State_lookup!I2:I49)*National_totals!$C$10, 0), 0)</f>
        <v>0</v>
      </c>
      <c r="C7">
        <f>IFERROR(ROUND(State_lookup!I6/SUM(State_lookup!I2:I49)*National_totals!$D$10, 0), 0)</f>
        <v>0</v>
      </c>
      <c r="D7">
        <f>IFERROR(ROUND(State_lookup!I6/SUM(State_lookup!I2:I49)*National_totals!$E$10, 0), 0)</f>
        <v>0</v>
      </c>
      <c r="E7">
        <f>IFERROR(ROUND(State_lookup!I6/SUM(State_lookup!I2:I49)*National_totals!$F$10, 0), 0)</f>
        <v>10</v>
      </c>
      <c r="F7">
        <f>IFERROR(ROUND(State_lookup!I6/SUM(State_lookup!I2:I49)*National_totals!$G$10, 0), 0)</f>
        <v>0</v>
      </c>
      <c r="G7">
        <f>IFERROR(ROUND(State_lookup!I6/SUM(State_lookup!I2:I49)*National_totals!$H$10, 0), 0)</f>
        <v>0</v>
      </c>
      <c r="H7">
        <f>IFERROR(ROUND(State_lookup!I6/SUM(State_lookup!I2:I49)*National_totals!$I$10, 0), 0)</f>
        <v>0</v>
      </c>
    </row>
    <row r="8" spans="1:8" x14ac:dyDescent="0.45">
      <c r="A8" t="str">
        <f>State_lookup!B7</f>
        <v>Connecticut</v>
      </c>
      <c r="B8">
        <f>IFERROR(ROUND(State_lookup!I7/SUM(State_lookup!I2:I49)*National_totals!$C$10, 0), 0)</f>
        <v>0</v>
      </c>
      <c r="C8">
        <f>IFERROR(ROUND(State_lookup!I7/SUM(State_lookup!I2:I49)*National_totals!$D$10, 0), 0)</f>
        <v>0</v>
      </c>
      <c r="D8">
        <f>IFERROR(ROUND(State_lookup!I7/SUM(State_lookup!I2:I49)*National_totals!$E$10, 0), 0)</f>
        <v>0</v>
      </c>
      <c r="E8">
        <f>IFERROR(ROUND(State_lookup!I7/SUM(State_lookup!I2:I49)*National_totals!$F$10, 0), 0)</f>
        <v>7</v>
      </c>
      <c r="F8">
        <f>IFERROR(ROUND(State_lookup!I7/SUM(State_lookup!I2:I49)*National_totals!$G$10, 0), 0)</f>
        <v>0</v>
      </c>
      <c r="G8">
        <f>IFERROR(ROUND(State_lookup!I7/SUM(State_lookup!I2:I49)*National_totals!$H$10, 0), 0)</f>
        <v>0</v>
      </c>
      <c r="H8">
        <f>IFERROR(ROUND(State_lookup!I7/SUM(State_lookup!I2:I49)*National_totals!$I$10, 0), 0)</f>
        <v>0</v>
      </c>
    </row>
    <row r="9" spans="1:8" x14ac:dyDescent="0.45">
      <c r="A9" t="str">
        <f>State_lookup!B8</f>
        <v>Delaware</v>
      </c>
      <c r="B9">
        <f>IFERROR(ROUND(State_lookup!I8/SUM(State_lookup!I2:I49)*National_totals!$C$10, 0), 0)</f>
        <v>0</v>
      </c>
      <c r="C9">
        <f>IFERROR(ROUND(State_lookup!I8/SUM(State_lookup!I2:I49)*National_totals!$D$10, 0), 0)</f>
        <v>0</v>
      </c>
      <c r="D9">
        <f>IFERROR(ROUND(State_lookup!I8/SUM(State_lookup!I2:I49)*National_totals!$E$10, 0), 0)</f>
        <v>0</v>
      </c>
      <c r="E9">
        <f>IFERROR(ROUND(State_lookup!I8/SUM(State_lookup!I2:I49)*National_totals!$F$10, 0), 0)</f>
        <v>0</v>
      </c>
      <c r="F9">
        <f>IFERROR(ROUND(State_lookup!I8/SUM(State_lookup!I2:I49)*National_totals!$G$10, 0), 0)</f>
        <v>0</v>
      </c>
      <c r="G9">
        <f>IFERROR(ROUND(State_lookup!I8/SUM(State_lookup!I2:I49)*National_totals!$H$10, 0), 0)</f>
        <v>0</v>
      </c>
      <c r="H9">
        <f>IFERROR(ROUND(State_lookup!I8/SUM(State_lookup!I2:I49)*National_totals!$I$10, 0), 0)</f>
        <v>0</v>
      </c>
    </row>
    <row r="10" spans="1:8" x14ac:dyDescent="0.45">
      <c r="A10" t="str">
        <f>State_lookup!B9</f>
        <v>Florida</v>
      </c>
      <c r="B10">
        <f>IFERROR(ROUND(State_lookup!I9/SUM(State_lookup!I2:I49)*National_totals!$C$10, 0), 0)</f>
        <v>0</v>
      </c>
      <c r="C10">
        <f>IFERROR(ROUND(State_lookup!I9/SUM(State_lookup!I2:I49)*National_totals!$D$10, 0), 0)</f>
        <v>0</v>
      </c>
      <c r="D10">
        <f>IFERROR(ROUND(State_lookup!I9/SUM(State_lookup!I2:I49)*National_totals!$E$10, 0), 0)</f>
        <v>0</v>
      </c>
      <c r="E10">
        <f>IFERROR(ROUND(State_lookup!I9/SUM(State_lookup!I2:I49)*National_totals!$F$10, 0), 0)</f>
        <v>77</v>
      </c>
      <c r="F10">
        <f>IFERROR(ROUND(State_lookup!I9/SUM(State_lookup!I2:I49)*National_totals!$G$10, 0), 0)</f>
        <v>0</v>
      </c>
      <c r="G10">
        <f>IFERROR(ROUND(State_lookup!I9/SUM(State_lookup!I2:I49)*National_totals!$H$10, 0), 0)</f>
        <v>0</v>
      </c>
      <c r="H10">
        <f>IFERROR(ROUND(State_lookup!I9/SUM(State_lookup!I2:I49)*National_totals!$I$10, 0), 0)</f>
        <v>0</v>
      </c>
    </row>
    <row r="11" spans="1:8" x14ac:dyDescent="0.45">
      <c r="A11" t="str">
        <f>State_lookup!B10</f>
        <v>Georgia</v>
      </c>
      <c r="B11">
        <f>IFERROR(ROUND(State_lookup!I10/SUM(State_lookup!I2:I49)*National_totals!$C$10, 0), 0)</f>
        <v>0</v>
      </c>
      <c r="C11">
        <f>IFERROR(ROUND(State_lookup!I10/SUM(State_lookup!I2:I49)*National_totals!$D$10, 0), 0)</f>
        <v>0</v>
      </c>
      <c r="D11">
        <f>IFERROR(ROUND(State_lookup!I10/SUM(State_lookup!I2:I49)*National_totals!$E$10, 0), 0)</f>
        <v>0</v>
      </c>
      <c r="E11">
        <f>IFERROR(ROUND(State_lookup!I10/SUM(State_lookup!I2:I49)*National_totals!$F$10, 0), 0)</f>
        <v>19</v>
      </c>
      <c r="F11">
        <f>IFERROR(ROUND(State_lookup!I10/SUM(State_lookup!I2:I49)*National_totals!$G$10, 0), 0)</f>
        <v>0</v>
      </c>
      <c r="G11">
        <f>IFERROR(ROUND(State_lookup!I10/SUM(State_lookup!I2:I49)*National_totals!$H$10, 0), 0)</f>
        <v>0</v>
      </c>
      <c r="H11">
        <f>IFERROR(ROUND(State_lookup!I10/SUM(State_lookup!I2:I49)*National_totals!$I$10, 0), 0)</f>
        <v>0</v>
      </c>
    </row>
    <row r="12" spans="1:8" x14ac:dyDescent="0.45">
      <c r="A12" t="str">
        <f>State_lookup!B11</f>
        <v>Idaho</v>
      </c>
      <c r="B12">
        <f>IFERROR(ROUND(State_lookup!I11/SUM(State_lookup!I2:I49)*National_totals!$C$10, 0), 0)</f>
        <v>0</v>
      </c>
      <c r="C12">
        <f>IFERROR(ROUND(State_lookup!I11/SUM(State_lookup!I2:I49)*National_totals!$D$10, 0), 0)</f>
        <v>0</v>
      </c>
      <c r="D12">
        <f>IFERROR(ROUND(State_lookup!I11/SUM(State_lookup!I2:I49)*National_totals!$E$10, 0), 0)</f>
        <v>0</v>
      </c>
      <c r="E12">
        <f>IFERROR(ROUND(State_lookup!I11/SUM(State_lookup!I2:I49)*National_totals!$F$10, 0), 0)</f>
        <v>2</v>
      </c>
      <c r="F12">
        <f>IFERROR(ROUND(State_lookup!I11/SUM(State_lookup!I2:I49)*National_totals!$G$10, 0), 0)</f>
        <v>0</v>
      </c>
      <c r="G12">
        <f>IFERROR(ROUND(State_lookup!I11/SUM(State_lookup!I2:I49)*National_totals!$H$10, 0), 0)</f>
        <v>0</v>
      </c>
      <c r="H12">
        <f>IFERROR(ROUND(State_lookup!I11/SUM(State_lookup!I2:I49)*National_totals!$I$10, 0), 0)</f>
        <v>0</v>
      </c>
    </row>
    <row r="13" spans="1:8" x14ac:dyDescent="0.45">
      <c r="A13" t="str">
        <f>State_lookup!B12</f>
        <v>Illinois</v>
      </c>
      <c r="B13">
        <f>IFERROR(ROUND(State_lookup!I12/SUM(State_lookup!I2:I49)*National_totals!$C$10, 0), 0)</f>
        <v>0</v>
      </c>
      <c r="C13">
        <f>IFERROR(ROUND(State_lookup!I12/SUM(State_lookup!I2:I49)*National_totals!$D$10, 0), 0)</f>
        <v>0</v>
      </c>
      <c r="D13">
        <f>IFERROR(ROUND(State_lookup!I12/SUM(State_lookup!I2:I49)*National_totals!$E$10, 0), 0)</f>
        <v>0</v>
      </c>
      <c r="E13">
        <f>IFERROR(ROUND(State_lookup!I12/SUM(State_lookup!I2:I49)*National_totals!$F$10, 0), 0)</f>
        <v>53</v>
      </c>
      <c r="F13">
        <f>IFERROR(ROUND(State_lookup!I12/SUM(State_lookup!I2:I49)*National_totals!$G$10, 0), 0)</f>
        <v>0</v>
      </c>
      <c r="G13">
        <f>IFERROR(ROUND(State_lookup!I12/SUM(State_lookup!I2:I49)*National_totals!$H$10, 0), 0)</f>
        <v>0</v>
      </c>
      <c r="H13">
        <f>IFERROR(ROUND(State_lookup!I12/SUM(State_lookup!I2:I49)*National_totals!$I$10, 0), 0)</f>
        <v>0</v>
      </c>
    </row>
    <row r="14" spans="1:8" x14ac:dyDescent="0.45">
      <c r="A14" t="str">
        <f>State_lookup!B13</f>
        <v>Indiana</v>
      </c>
      <c r="B14">
        <f>IFERROR(ROUND(State_lookup!I13/SUM(State_lookup!I2:I49)*National_totals!$C$10, 0), 0)</f>
        <v>0</v>
      </c>
      <c r="C14">
        <f>IFERROR(ROUND(State_lookup!I13/SUM(State_lookup!I2:I49)*National_totals!$D$10, 0), 0)</f>
        <v>0</v>
      </c>
      <c r="D14">
        <f>IFERROR(ROUND(State_lookup!I13/SUM(State_lookup!I2:I49)*National_totals!$E$10, 0), 0)</f>
        <v>0</v>
      </c>
      <c r="E14">
        <f>IFERROR(ROUND(State_lookup!I13/SUM(State_lookup!I2:I49)*National_totals!$F$10, 0), 0)</f>
        <v>33</v>
      </c>
      <c r="F14">
        <f>IFERROR(ROUND(State_lookup!I13/SUM(State_lookup!I2:I49)*National_totals!$G$10, 0), 0)</f>
        <v>0</v>
      </c>
      <c r="G14">
        <f>IFERROR(ROUND(State_lookup!I13/SUM(State_lookup!I2:I49)*National_totals!$H$10, 0), 0)</f>
        <v>0</v>
      </c>
      <c r="H14">
        <f>IFERROR(ROUND(State_lookup!I13/SUM(State_lookup!I2:I49)*National_totals!$I$10, 0), 0)</f>
        <v>0</v>
      </c>
    </row>
    <row r="15" spans="1:8" x14ac:dyDescent="0.45">
      <c r="A15" t="str">
        <f>State_lookup!B14</f>
        <v>Iowa</v>
      </c>
      <c r="B15">
        <f>IFERROR(ROUND(State_lookup!I14/SUM(State_lookup!I2:I49)*National_totals!$C$10, 0), 0)</f>
        <v>0</v>
      </c>
      <c r="C15">
        <f>IFERROR(ROUND(State_lookup!I14/SUM(State_lookup!I2:I49)*National_totals!$D$10, 0), 0)</f>
        <v>0</v>
      </c>
      <c r="D15">
        <f>IFERROR(ROUND(State_lookup!I14/SUM(State_lookup!I2:I49)*National_totals!$E$10, 0), 0)</f>
        <v>0</v>
      </c>
      <c r="E15">
        <f>IFERROR(ROUND(State_lookup!I14/SUM(State_lookup!I2:I49)*National_totals!$F$10, 0), 0)</f>
        <v>4</v>
      </c>
      <c r="F15">
        <f>IFERROR(ROUND(State_lookup!I14/SUM(State_lookup!I2:I49)*National_totals!$G$10, 0), 0)</f>
        <v>0</v>
      </c>
      <c r="G15">
        <f>IFERROR(ROUND(State_lookup!I14/SUM(State_lookup!I2:I49)*National_totals!$H$10, 0), 0)</f>
        <v>0</v>
      </c>
      <c r="H15">
        <f>IFERROR(ROUND(State_lookup!I14/SUM(State_lookup!I2:I49)*National_totals!$I$10, 0), 0)</f>
        <v>0</v>
      </c>
    </row>
    <row r="16" spans="1:8" x14ac:dyDescent="0.45">
      <c r="A16" t="str">
        <f>State_lookup!B15</f>
        <v>Kansas</v>
      </c>
      <c r="B16">
        <f>IFERROR(ROUND(State_lookup!I15/SUM(State_lookup!I2:I49)*National_totals!$C$10, 0), 0)</f>
        <v>0</v>
      </c>
      <c r="C16">
        <f>IFERROR(ROUND(State_lookup!I15/SUM(State_lookup!I2:I49)*National_totals!$D$10, 0), 0)</f>
        <v>0</v>
      </c>
      <c r="D16">
        <f>IFERROR(ROUND(State_lookup!I15/SUM(State_lookup!I2:I49)*National_totals!$E$10, 0), 0)</f>
        <v>0</v>
      </c>
      <c r="E16">
        <f>IFERROR(ROUND(State_lookup!I15/SUM(State_lookup!I2:I49)*National_totals!$F$10, 0), 0)</f>
        <v>2</v>
      </c>
      <c r="F16">
        <f>IFERROR(ROUND(State_lookup!I15/SUM(State_lookup!I2:I49)*National_totals!$G$10, 0), 0)</f>
        <v>0</v>
      </c>
      <c r="G16">
        <f>IFERROR(ROUND(State_lookup!I15/SUM(State_lookup!I2:I49)*National_totals!$H$10, 0), 0)</f>
        <v>0</v>
      </c>
      <c r="H16">
        <f>IFERROR(ROUND(State_lookup!I15/SUM(State_lookup!I2:I49)*National_totals!$I$10, 0), 0)</f>
        <v>0</v>
      </c>
    </row>
    <row r="17" spans="1:8" x14ac:dyDescent="0.45">
      <c r="A17" t="str">
        <f>State_lookup!B16</f>
        <v>Kentucky</v>
      </c>
      <c r="B17">
        <f>IFERROR(ROUND(State_lookup!I16/SUM(State_lookup!I2:I49)*National_totals!$C$10, 0), 0)</f>
        <v>0</v>
      </c>
      <c r="C17">
        <f>IFERROR(ROUND(State_lookup!I16/SUM(State_lookup!I2:I49)*National_totals!$D$10, 0), 0)</f>
        <v>0</v>
      </c>
      <c r="D17">
        <f>IFERROR(ROUND(State_lookup!I16/SUM(State_lookup!I2:I49)*National_totals!$E$10, 0), 0)</f>
        <v>0</v>
      </c>
      <c r="E17">
        <f>IFERROR(ROUND(State_lookup!I16/SUM(State_lookup!I2:I49)*National_totals!$F$10, 0), 0)</f>
        <v>134</v>
      </c>
      <c r="F17">
        <f>IFERROR(ROUND(State_lookup!I16/SUM(State_lookup!I2:I49)*National_totals!$G$10, 0), 0)</f>
        <v>0</v>
      </c>
      <c r="G17">
        <f>IFERROR(ROUND(State_lookup!I16/SUM(State_lookup!I2:I49)*National_totals!$H$10, 0), 0)</f>
        <v>0</v>
      </c>
      <c r="H17">
        <f>IFERROR(ROUND(State_lookup!I16/SUM(State_lookup!I2:I49)*National_totals!$I$10, 0), 0)</f>
        <v>0</v>
      </c>
    </row>
    <row r="18" spans="1:8" x14ac:dyDescent="0.45">
      <c r="A18" t="str">
        <f>State_lookup!B17</f>
        <v>Louisiana</v>
      </c>
      <c r="B18">
        <f>IFERROR(ROUND(State_lookup!I17/SUM(State_lookup!I2:I49)*National_totals!$C$10, 0), 0)</f>
        <v>0</v>
      </c>
      <c r="C18">
        <f>IFERROR(ROUND(State_lookup!I17/SUM(State_lookup!I2:I49)*National_totals!$D$10, 0), 0)</f>
        <v>0</v>
      </c>
      <c r="D18">
        <f>IFERROR(ROUND(State_lookup!I17/SUM(State_lookup!I2:I49)*National_totals!$E$10, 0), 0)</f>
        <v>0</v>
      </c>
      <c r="E18">
        <f>IFERROR(ROUND(State_lookup!I17/SUM(State_lookup!I2:I49)*National_totals!$F$10, 0), 0)</f>
        <v>5</v>
      </c>
      <c r="F18">
        <f>IFERROR(ROUND(State_lookup!I17/SUM(State_lookup!I2:I49)*National_totals!$G$10, 0), 0)</f>
        <v>0</v>
      </c>
      <c r="G18">
        <f>IFERROR(ROUND(State_lookup!I17/SUM(State_lookup!I2:I49)*National_totals!$H$10, 0), 0)</f>
        <v>0</v>
      </c>
      <c r="H18">
        <f>IFERROR(ROUND(State_lookup!I17/SUM(State_lookup!I2:I49)*National_totals!$I$10, 0), 0)</f>
        <v>0</v>
      </c>
    </row>
    <row r="19" spans="1:8" x14ac:dyDescent="0.45">
      <c r="A19" t="str">
        <f>State_lookup!B18</f>
        <v>Maine</v>
      </c>
      <c r="B19">
        <f>IFERROR(ROUND(State_lookup!I18/SUM(State_lookup!I2:I49)*National_totals!$C$10, 0), 0)</f>
        <v>0</v>
      </c>
      <c r="C19">
        <f>IFERROR(ROUND(State_lookup!I18/SUM(State_lookup!I2:I49)*National_totals!$D$10, 0), 0)</f>
        <v>0</v>
      </c>
      <c r="D19">
        <f>IFERROR(ROUND(State_lookup!I18/SUM(State_lookup!I2:I49)*National_totals!$E$10, 0), 0)</f>
        <v>0</v>
      </c>
      <c r="E19">
        <f>IFERROR(ROUND(State_lookup!I18/SUM(State_lookup!I2:I49)*National_totals!$F$10, 0), 0)</f>
        <v>0</v>
      </c>
      <c r="F19">
        <f>IFERROR(ROUND(State_lookup!I18/SUM(State_lookup!I2:I49)*National_totals!$G$10, 0), 0)</f>
        <v>0</v>
      </c>
      <c r="G19">
        <f>IFERROR(ROUND(State_lookup!I18/SUM(State_lookup!I2:I49)*National_totals!$H$10, 0), 0)</f>
        <v>0</v>
      </c>
      <c r="H19">
        <f>IFERROR(ROUND(State_lookup!I18/SUM(State_lookup!I2:I49)*National_totals!$I$10, 0), 0)</f>
        <v>0</v>
      </c>
    </row>
    <row r="20" spans="1:8" x14ac:dyDescent="0.45">
      <c r="A20" t="str">
        <f>State_lookup!B19</f>
        <v>Maryland</v>
      </c>
      <c r="B20">
        <f>IFERROR(ROUND(State_lookup!I19/SUM(State_lookup!I2:I49)*National_totals!$C$10, 0), 0)</f>
        <v>0</v>
      </c>
      <c r="C20">
        <f>IFERROR(ROUND(State_lookup!I19/SUM(State_lookup!I2:I49)*National_totals!$D$10, 0), 0)</f>
        <v>0</v>
      </c>
      <c r="D20">
        <f>IFERROR(ROUND(State_lookup!I19/SUM(State_lookup!I2:I49)*National_totals!$E$10, 0), 0)</f>
        <v>0</v>
      </c>
      <c r="E20">
        <f>IFERROR(ROUND(State_lookup!I19/SUM(State_lookup!I2:I49)*National_totals!$F$10, 0), 0)</f>
        <v>8</v>
      </c>
      <c r="F20">
        <f>IFERROR(ROUND(State_lookup!I19/SUM(State_lookup!I2:I49)*National_totals!$G$10, 0), 0)</f>
        <v>0</v>
      </c>
      <c r="G20">
        <f>IFERROR(ROUND(State_lookup!I19/SUM(State_lookup!I2:I49)*National_totals!$H$10, 0), 0)</f>
        <v>0</v>
      </c>
      <c r="H20">
        <f>IFERROR(ROUND(State_lookup!I19/SUM(State_lookup!I2:I49)*National_totals!$I$10, 0), 0)</f>
        <v>0</v>
      </c>
    </row>
    <row r="21" spans="1:8" x14ac:dyDescent="0.45">
      <c r="A21" t="str">
        <f>State_lookup!B20</f>
        <v>Massachusetts</v>
      </c>
      <c r="B21">
        <f>IFERROR(ROUND(State_lookup!I20/SUM(State_lookup!I2:I49)*National_totals!$C$10, 0), 0)</f>
        <v>0</v>
      </c>
      <c r="C21">
        <f>IFERROR(ROUND(State_lookup!I20/SUM(State_lookup!I2:I49)*National_totals!$D$10, 0), 0)</f>
        <v>0</v>
      </c>
      <c r="D21">
        <f>IFERROR(ROUND(State_lookup!I20/SUM(State_lookup!I2:I49)*National_totals!$E$10, 0), 0)</f>
        <v>0</v>
      </c>
      <c r="E21">
        <f>IFERROR(ROUND(State_lookup!I20/SUM(State_lookup!I2:I49)*National_totals!$F$10, 0), 0)</f>
        <v>6</v>
      </c>
      <c r="F21">
        <f>IFERROR(ROUND(State_lookup!I20/SUM(State_lookup!I2:I49)*National_totals!$G$10, 0), 0)</f>
        <v>0</v>
      </c>
      <c r="G21">
        <f>IFERROR(ROUND(State_lookup!I20/SUM(State_lookup!I2:I49)*National_totals!$H$10, 0), 0)</f>
        <v>0</v>
      </c>
      <c r="H21">
        <f>IFERROR(ROUND(State_lookup!I20/SUM(State_lookup!I2:I49)*National_totals!$I$10, 0), 0)</f>
        <v>0</v>
      </c>
    </row>
    <row r="22" spans="1:8" x14ac:dyDescent="0.45">
      <c r="A22" t="str">
        <f>State_lookup!B21</f>
        <v>Michigan</v>
      </c>
      <c r="B22">
        <f>IFERROR(ROUND(State_lookup!I21/SUM(State_lookup!I2:I49)*National_totals!$C$10, 0), 0)</f>
        <v>0</v>
      </c>
      <c r="C22">
        <f>IFERROR(ROUND(State_lookup!I21/SUM(State_lookup!I2:I49)*National_totals!$D$10, 0), 0)</f>
        <v>0</v>
      </c>
      <c r="D22">
        <f>IFERROR(ROUND(State_lookup!I21/SUM(State_lookup!I2:I49)*National_totals!$E$10, 0), 0)</f>
        <v>0</v>
      </c>
      <c r="E22">
        <f>IFERROR(ROUND(State_lookup!I21/SUM(State_lookup!I2:I49)*National_totals!$F$10, 0), 0)</f>
        <v>10</v>
      </c>
      <c r="F22">
        <f>IFERROR(ROUND(State_lookup!I21/SUM(State_lookup!I2:I49)*National_totals!$G$10, 0), 0)</f>
        <v>0</v>
      </c>
      <c r="G22">
        <f>IFERROR(ROUND(State_lookup!I21/SUM(State_lookup!I2:I49)*National_totals!$H$10, 0), 0)</f>
        <v>0</v>
      </c>
      <c r="H22">
        <f>IFERROR(ROUND(State_lookup!I21/SUM(State_lookup!I2:I49)*National_totals!$I$10, 0), 0)</f>
        <v>0</v>
      </c>
    </row>
    <row r="23" spans="1:8" x14ac:dyDescent="0.45">
      <c r="A23" t="str">
        <f>State_lookup!B22</f>
        <v>Minnesota</v>
      </c>
      <c r="B23">
        <f>IFERROR(ROUND(State_lookup!I22/SUM(State_lookup!I2:I49)*National_totals!$C$10, 0), 0)</f>
        <v>0</v>
      </c>
      <c r="C23">
        <f>IFERROR(ROUND(State_lookup!I22/SUM(State_lookup!I2:I49)*National_totals!$D$10, 0), 0)</f>
        <v>0</v>
      </c>
      <c r="D23">
        <f>IFERROR(ROUND(State_lookup!I22/SUM(State_lookup!I2:I49)*National_totals!$E$10, 0), 0)</f>
        <v>0</v>
      </c>
      <c r="E23">
        <f>IFERROR(ROUND(State_lookup!I22/SUM(State_lookup!I2:I49)*National_totals!$F$10, 0), 0)</f>
        <v>7</v>
      </c>
      <c r="F23">
        <f>IFERROR(ROUND(State_lookup!I22/SUM(State_lookup!I2:I49)*National_totals!$G$10, 0), 0)</f>
        <v>0</v>
      </c>
      <c r="G23">
        <f>IFERROR(ROUND(State_lookup!I22/SUM(State_lookup!I2:I49)*National_totals!$H$10, 0), 0)</f>
        <v>0</v>
      </c>
      <c r="H23">
        <f>IFERROR(ROUND(State_lookup!I22/SUM(State_lookup!I2:I49)*National_totals!$I$10, 0), 0)</f>
        <v>0</v>
      </c>
    </row>
    <row r="24" spans="1:8" x14ac:dyDescent="0.45">
      <c r="A24" t="str">
        <f>State_lookup!B23</f>
        <v>Mississippi</v>
      </c>
      <c r="B24">
        <f>IFERROR(ROUND(State_lookup!I23/SUM(State_lookup!I2:I49)*National_totals!$C$10, 0), 0)</f>
        <v>0</v>
      </c>
      <c r="C24">
        <f>IFERROR(ROUND(State_lookup!I23/SUM(State_lookup!I2:I49)*National_totals!$D$10, 0), 0)</f>
        <v>0</v>
      </c>
      <c r="D24">
        <f>IFERROR(ROUND(State_lookup!I23/SUM(State_lookup!I2:I49)*National_totals!$E$10, 0), 0)</f>
        <v>0</v>
      </c>
      <c r="E24">
        <f>IFERROR(ROUND(State_lookup!I23/SUM(State_lookup!I2:I49)*National_totals!$F$10, 0), 0)</f>
        <v>0</v>
      </c>
      <c r="F24">
        <f>IFERROR(ROUND(State_lookup!I23/SUM(State_lookup!I2:I49)*National_totals!$G$10, 0), 0)</f>
        <v>0</v>
      </c>
      <c r="G24">
        <f>IFERROR(ROUND(State_lookup!I23/SUM(State_lookup!I2:I49)*National_totals!$H$10, 0), 0)</f>
        <v>0</v>
      </c>
      <c r="H24">
        <f>IFERROR(ROUND(State_lookup!I23/SUM(State_lookup!I2:I49)*National_totals!$I$10, 0), 0)</f>
        <v>0</v>
      </c>
    </row>
    <row r="25" spans="1:8" x14ac:dyDescent="0.45">
      <c r="A25" t="str">
        <f>State_lookup!B24</f>
        <v>Missouri</v>
      </c>
      <c r="B25">
        <f>IFERROR(ROUND(State_lookup!I24/SUM(State_lookup!I2:I49)*National_totals!$C$10, 0), 0)</f>
        <v>0</v>
      </c>
      <c r="C25">
        <f>IFERROR(ROUND(State_lookup!I24/SUM(State_lookup!I2:I49)*National_totals!$D$10, 0), 0)</f>
        <v>0</v>
      </c>
      <c r="D25">
        <f>IFERROR(ROUND(State_lookup!I24/SUM(State_lookup!I2:I49)*National_totals!$E$10, 0), 0)</f>
        <v>0</v>
      </c>
      <c r="E25">
        <f>IFERROR(ROUND(State_lookup!I24/SUM(State_lookup!I2:I49)*National_totals!$F$10, 0), 0)</f>
        <v>7</v>
      </c>
      <c r="F25">
        <f>IFERROR(ROUND(State_lookup!I24/SUM(State_lookup!I2:I49)*National_totals!$G$10, 0), 0)</f>
        <v>0</v>
      </c>
      <c r="G25">
        <f>IFERROR(ROUND(State_lookup!I24/SUM(State_lookup!I2:I49)*National_totals!$H$10, 0), 0)</f>
        <v>0</v>
      </c>
      <c r="H25">
        <f>IFERROR(ROUND(State_lookup!I24/SUM(State_lookup!I2:I49)*National_totals!$I$10, 0), 0)</f>
        <v>0</v>
      </c>
    </row>
    <row r="26" spans="1:8" x14ac:dyDescent="0.45">
      <c r="A26" t="str">
        <f>State_lookup!B25</f>
        <v>Montana</v>
      </c>
      <c r="B26">
        <f>IFERROR(ROUND(State_lookup!I25/SUM(State_lookup!I2:I49)*National_totals!$C$10, 0), 0)</f>
        <v>0</v>
      </c>
      <c r="C26">
        <f>IFERROR(ROUND(State_lookup!I25/SUM(State_lookup!I2:I49)*National_totals!$D$10, 0), 0)</f>
        <v>0</v>
      </c>
      <c r="D26">
        <f>IFERROR(ROUND(State_lookup!I25/SUM(State_lookup!I2:I49)*National_totals!$E$10, 0), 0)</f>
        <v>0</v>
      </c>
      <c r="E26">
        <f>IFERROR(ROUND(State_lookup!I25/SUM(State_lookup!I2:I49)*National_totals!$F$10, 0), 0)</f>
        <v>4</v>
      </c>
      <c r="F26">
        <f>IFERROR(ROUND(State_lookup!I25/SUM(State_lookup!I2:I49)*National_totals!$G$10, 0), 0)</f>
        <v>0</v>
      </c>
      <c r="G26">
        <f>IFERROR(ROUND(State_lookup!I25/SUM(State_lookup!I2:I49)*National_totals!$H$10, 0), 0)</f>
        <v>0</v>
      </c>
      <c r="H26">
        <f>IFERROR(ROUND(State_lookup!I25/SUM(State_lookup!I2:I49)*National_totals!$I$10, 0), 0)</f>
        <v>0</v>
      </c>
    </row>
    <row r="27" spans="1:8" x14ac:dyDescent="0.45">
      <c r="A27" t="str">
        <f>State_lookup!B26</f>
        <v>Nebraska</v>
      </c>
      <c r="B27">
        <f>IFERROR(ROUND(State_lookup!I26/SUM(State_lookup!I2:I49)*National_totals!$C$10, 0), 0)</f>
        <v>0</v>
      </c>
      <c r="C27">
        <f>IFERROR(ROUND(State_lookup!I26/SUM(State_lookup!I2:I49)*National_totals!$D$10, 0), 0)</f>
        <v>0</v>
      </c>
      <c r="D27">
        <f>IFERROR(ROUND(State_lookup!I26/SUM(State_lookup!I2:I49)*National_totals!$E$10, 0), 0)</f>
        <v>0</v>
      </c>
      <c r="E27">
        <f>IFERROR(ROUND(State_lookup!I26/SUM(State_lookup!I2:I49)*National_totals!$F$10, 0), 0)</f>
        <v>3</v>
      </c>
      <c r="F27">
        <f>IFERROR(ROUND(State_lookup!I26/SUM(State_lookup!I2:I49)*National_totals!$G$10, 0), 0)</f>
        <v>0</v>
      </c>
      <c r="G27">
        <f>IFERROR(ROUND(State_lookup!I26/SUM(State_lookup!I2:I49)*National_totals!$H$10, 0), 0)</f>
        <v>0</v>
      </c>
      <c r="H27">
        <f>IFERROR(ROUND(State_lookup!I26/SUM(State_lookup!I2:I49)*National_totals!$I$10, 0), 0)</f>
        <v>0</v>
      </c>
    </row>
    <row r="28" spans="1:8" x14ac:dyDescent="0.45">
      <c r="A28" t="str">
        <f>State_lookup!B27</f>
        <v>Nevada</v>
      </c>
      <c r="B28">
        <f>IFERROR(ROUND(State_lookup!I27/SUM(State_lookup!I2:I49)*National_totals!$C$10, 0), 0)</f>
        <v>0</v>
      </c>
      <c r="C28">
        <f>IFERROR(ROUND(State_lookup!I27/SUM(State_lookup!I2:I49)*National_totals!$D$10, 0), 0)</f>
        <v>0</v>
      </c>
      <c r="D28">
        <f>IFERROR(ROUND(State_lookup!I27/SUM(State_lookup!I2:I49)*National_totals!$E$10, 0), 0)</f>
        <v>0</v>
      </c>
      <c r="E28">
        <f>IFERROR(ROUND(State_lookup!I27/SUM(State_lookup!I2:I49)*National_totals!$F$10, 0), 0)</f>
        <v>6</v>
      </c>
      <c r="F28">
        <f>IFERROR(ROUND(State_lookup!I27/SUM(State_lookup!I2:I49)*National_totals!$G$10, 0), 0)</f>
        <v>0</v>
      </c>
      <c r="G28">
        <f>IFERROR(ROUND(State_lookup!I27/SUM(State_lookup!I2:I49)*National_totals!$H$10, 0), 0)</f>
        <v>0</v>
      </c>
      <c r="H28">
        <f>IFERROR(ROUND(State_lookup!I27/SUM(State_lookup!I2:I49)*National_totals!$I$10, 0), 0)</f>
        <v>0</v>
      </c>
    </row>
    <row r="29" spans="1:8" x14ac:dyDescent="0.45">
      <c r="A29" t="str">
        <f>State_lookup!B28</f>
        <v>New Hampshire</v>
      </c>
      <c r="B29">
        <f>IFERROR(ROUND(State_lookup!I28/SUM(State_lookup!I2:I49)*National_totals!$C$10, 0), 0)</f>
        <v>0</v>
      </c>
      <c r="C29">
        <f>IFERROR(ROUND(State_lookup!I28/SUM(State_lookup!I2:I49)*National_totals!$D$10, 0), 0)</f>
        <v>0</v>
      </c>
      <c r="D29">
        <f>IFERROR(ROUND(State_lookup!I28/SUM(State_lookup!I2:I49)*National_totals!$E$10, 0), 0)</f>
        <v>0</v>
      </c>
      <c r="E29">
        <f>IFERROR(ROUND(State_lookup!I28/SUM(State_lookup!I2:I49)*National_totals!$F$10, 0), 0)</f>
        <v>3</v>
      </c>
      <c r="F29">
        <f>IFERROR(ROUND(State_lookup!I28/SUM(State_lookup!I2:I49)*National_totals!$G$10, 0), 0)</f>
        <v>0</v>
      </c>
      <c r="G29">
        <f>IFERROR(ROUND(State_lookup!I28/SUM(State_lookup!I2:I49)*National_totals!$H$10, 0), 0)</f>
        <v>0</v>
      </c>
      <c r="H29">
        <f>IFERROR(ROUND(State_lookup!I28/SUM(State_lookup!I2:I49)*National_totals!$I$10, 0), 0)</f>
        <v>0</v>
      </c>
    </row>
    <row r="30" spans="1:8" x14ac:dyDescent="0.45">
      <c r="A30" t="str">
        <f>State_lookup!B29</f>
        <v>New Jersey</v>
      </c>
      <c r="B30">
        <f>IFERROR(ROUND(State_lookup!I29/SUM(State_lookup!I2:I49)*National_totals!$C$10, 0), 0)</f>
        <v>0</v>
      </c>
      <c r="C30">
        <f>IFERROR(ROUND(State_lookup!I29/SUM(State_lookup!I2:I49)*National_totals!$D$10, 0), 0)</f>
        <v>0</v>
      </c>
      <c r="D30">
        <f>IFERROR(ROUND(State_lookup!I29/SUM(State_lookup!I2:I49)*National_totals!$E$10, 0), 0)</f>
        <v>0</v>
      </c>
      <c r="E30">
        <f>IFERROR(ROUND(State_lookup!I29/SUM(State_lookup!I2:I49)*National_totals!$F$10, 0), 0)</f>
        <v>18</v>
      </c>
      <c r="F30">
        <f>IFERROR(ROUND(State_lookup!I29/SUM(State_lookup!I2:I49)*National_totals!$G$10, 0), 0)</f>
        <v>0</v>
      </c>
      <c r="G30">
        <f>IFERROR(ROUND(State_lookup!I29/SUM(State_lookup!I2:I49)*National_totals!$H$10, 0), 0)</f>
        <v>0</v>
      </c>
      <c r="H30">
        <f>IFERROR(ROUND(State_lookup!I29/SUM(State_lookup!I2:I49)*National_totals!$I$10, 0), 0)</f>
        <v>0</v>
      </c>
    </row>
    <row r="31" spans="1:8" x14ac:dyDescent="0.45">
      <c r="A31" t="str">
        <f>State_lookup!B30</f>
        <v>New Mexico</v>
      </c>
      <c r="B31">
        <f>IFERROR(ROUND(State_lookup!I30/SUM(State_lookup!I2:I49)*National_totals!$C$10, 0), 0)</f>
        <v>0</v>
      </c>
      <c r="C31">
        <f>IFERROR(ROUND(State_lookup!I30/SUM(State_lookup!I2:I49)*National_totals!$D$10, 0), 0)</f>
        <v>0</v>
      </c>
      <c r="D31">
        <f>IFERROR(ROUND(State_lookup!I30/SUM(State_lookup!I2:I49)*National_totals!$E$10, 0), 0)</f>
        <v>0</v>
      </c>
      <c r="E31">
        <f>IFERROR(ROUND(State_lookup!I30/SUM(State_lookup!I2:I49)*National_totals!$F$10, 0), 0)</f>
        <v>3</v>
      </c>
      <c r="F31">
        <f>IFERROR(ROUND(State_lookup!I30/SUM(State_lookup!I2:I49)*National_totals!$G$10, 0), 0)</f>
        <v>0</v>
      </c>
      <c r="G31">
        <f>IFERROR(ROUND(State_lookup!I30/SUM(State_lookup!I2:I49)*National_totals!$H$10, 0), 0)</f>
        <v>0</v>
      </c>
      <c r="H31">
        <f>IFERROR(ROUND(State_lookup!I30/SUM(State_lookup!I2:I49)*National_totals!$I$10, 0), 0)</f>
        <v>0</v>
      </c>
    </row>
    <row r="32" spans="1:8" x14ac:dyDescent="0.45">
      <c r="A32" t="str">
        <f>State_lookup!B31</f>
        <v>New York</v>
      </c>
      <c r="B32">
        <f>IFERROR(ROUND(State_lookup!I31/SUM(State_lookup!I2:I49)*National_totals!$C$10, 0), 0)</f>
        <v>0</v>
      </c>
      <c r="C32">
        <f>IFERROR(ROUND(State_lookup!I31/SUM(State_lookup!I2:I49)*National_totals!$D$10, 0), 0)</f>
        <v>0</v>
      </c>
      <c r="D32">
        <f>IFERROR(ROUND(State_lookup!I31/SUM(State_lookup!I2:I49)*National_totals!$E$10, 0), 0)</f>
        <v>0</v>
      </c>
      <c r="E32">
        <f>IFERROR(ROUND(State_lookup!I31/SUM(State_lookup!I2:I49)*National_totals!$F$10, 0), 0)</f>
        <v>28</v>
      </c>
      <c r="F32">
        <f>IFERROR(ROUND(State_lookup!I31/SUM(State_lookup!I2:I49)*National_totals!$G$10, 0), 0)</f>
        <v>0</v>
      </c>
      <c r="G32">
        <f>IFERROR(ROUND(State_lookup!I31/SUM(State_lookup!I2:I49)*National_totals!$H$10, 0), 0)</f>
        <v>0</v>
      </c>
      <c r="H32">
        <f>IFERROR(ROUND(State_lookup!I31/SUM(State_lookup!I2:I49)*National_totals!$I$10, 0), 0)</f>
        <v>0</v>
      </c>
    </row>
    <row r="33" spans="1:8" x14ac:dyDescent="0.45">
      <c r="A33" t="str">
        <f>State_lookup!B32</f>
        <v>North Carolina</v>
      </c>
      <c r="B33">
        <f>IFERROR(ROUND(State_lookup!I32/SUM(State_lookup!I2:I49)*National_totals!$C$10, 0), 0)</f>
        <v>0</v>
      </c>
      <c r="C33">
        <f>IFERROR(ROUND(State_lookup!I32/SUM(State_lookup!I2:I49)*National_totals!$D$10, 0), 0)</f>
        <v>0</v>
      </c>
      <c r="D33">
        <f>IFERROR(ROUND(State_lookup!I32/SUM(State_lookup!I2:I49)*National_totals!$E$10, 0), 0)</f>
        <v>0</v>
      </c>
      <c r="E33">
        <f>IFERROR(ROUND(State_lookup!I32/SUM(State_lookup!I2:I49)*National_totals!$F$10, 0), 0)</f>
        <v>13</v>
      </c>
      <c r="F33">
        <f>IFERROR(ROUND(State_lookup!I32/SUM(State_lookup!I2:I49)*National_totals!$G$10, 0), 0)</f>
        <v>0</v>
      </c>
      <c r="G33">
        <f>IFERROR(ROUND(State_lookup!I32/SUM(State_lookup!I2:I49)*National_totals!$H$10, 0), 0)</f>
        <v>0</v>
      </c>
      <c r="H33">
        <f>IFERROR(ROUND(State_lookup!I32/SUM(State_lookup!I2:I49)*National_totals!$I$10, 0), 0)</f>
        <v>0</v>
      </c>
    </row>
    <row r="34" spans="1:8" x14ac:dyDescent="0.45">
      <c r="A34" t="str">
        <f>State_lookup!B33</f>
        <v>North Dakota</v>
      </c>
      <c r="B34">
        <f>IFERROR(ROUND(State_lookup!I33/SUM(State_lookup!I2:I49)*National_totals!$C$10, 0), 0)</f>
        <v>0</v>
      </c>
      <c r="C34">
        <f>IFERROR(ROUND(State_lookup!I33/SUM(State_lookup!I2:I49)*National_totals!$D$10, 0), 0)</f>
        <v>0</v>
      </c>
      <c r="D34">
        <f>IFERROR(ROUND(State_lookup!I33/SUM(State_lookup!I2:I49)*National_totals!$E$10, 0), 0)</f>
        <v>0</v>
      </c>
      <c r="E34">
        <f>IFERROR(ROUND(State_lookup!I33/SUM(State_lookup!I2:I49)*National_totals!$F$10, 0), 0)</f>
        <v>2</v>
      </c>
      <c r="F34">
        <f>IFERROR(ROUND(State_lookup!I33/SUM(State_lookup!I2:I49)*National_totals!$G$10, 0), 0)</f>
        <v>0</v>
      </c>
      <c r="G34">
        <f>IFERROR(ROUND(State_lookup!I33/SUM(State_lookup!I2:I49)*National_totals!$H$10, 0), 0)</f>
        <v>0</v>
      </c>
      <c r="H34">
        <f>IFERROR(ROUND(State_lookup!I33/SUM(State_lookup!I2:I49)*National_totals!$I$10, 0), 0)</f>
        <v>0</v>
      </c>
    </row>
    <row r="35" spans="1:8" x14ac:dyDescent="0.45">
      <c r="A35" t="str">
        <f>State_lookup!B34</f>
        <v>Ohio</v>
      </c>
      <c r="B35">
        <f>IFERROR(ROUND(State_lookup!I34/SUM(State_lookup!I2:I49)*National_totals!$C$10, 0), 0)</f>
        <v>0</v>
      </c>
      <c r="C35">
        <f>IFERROR(ROUND(State_lookup!I34/SUM(State_lookup!I2:I49)*National_totals!$D$10, 0), 0)</f>
        <v>0</v>
      </c>
      <c r="D35">
        <f>IFERROR(ROUND(State_lookup!I34/SUM(State_lookup!I2:I49)*National_totals!$E$10, 0), 0)</f>
        <v>0</v>
      </c>
      <c r="E35">
        <f>IFERROR(ROUND(State_lookup!I34/SUM(State_lookup!I2:I49)*National_totals!$F$10, 0), 0)</f>
        <v>10</v>
      </c>
      <c r="F35">
        <f>IFERROR(ROUND(State_lookup!I34/SUM(State_lookup!I2:I49)*National_totals!$G$10, 0), 0)</f>
        <v>0</v>
      </c>
      <c r="G35">
        <f>IFERROR(ROUND(State_lookup!I34/SUM(State_lookup!I2:I49)*National_totals!$H$10, 0), 0)</f>
        <v>0</v>
      </c>
      <c r="H35">
        <f>IFERROR(ROUND(State_lookup!I34/SUM(State_lookup!I2:I49)*National_totals!$I$10, 0), 0)</f>
        <v>0</v>
      </c>
    </row>
    <row r="36" spans="1:8" x14ac:dyDescent="0.45">
      <c r="A36" t="str">
        <f>State_lookup!B35</f>
        <v>Oklahoma</v>
      </c>
      <c r="B36">
        <f>IFERROR(ROUND(State_lookup!I35/SUM(State_lookup!I2:I49)*National_totals!$C$10, 0), 0)</f>
        <v>0</v>
      </c>
      <c r="C36">
        <f>IFERROR(ROUND(State_lookup!I35/SUM(State_lookup!I2:I49)*National_totals!$D$10, 0), 0)</f>
        <v>0</v>
      </c>
      <c r="D36">
        <f>IFERROR(ROUND(State_lookup!I35/SUM(State_lookup!I2:I49)*National_totals!$E$10, 0), 0)</f>
        <v>0</v>
      </c>
      <c r="E36">
        <f>IFERROR(ROUND(State_lookup!I35/SUM(State_lookup!I2:I49)*National_totals!$F$10, 0), 0)</f>
        <v>4</v>
      </c>
      <c r="F36">
        <f>IFERROR(ROUND(State_lookup!I35/SUM(State_lookup!I2:I49)*National_totals!$G$10, 0), 0)</f>
        <v>0</v>
      </c>
      <c r="G36">
        <f>IFERROR(ROUND(State_lookup!I35/SUM(State_lookup!I2:I49)*National_totals!$H$10, 0), 0)</f>
        <v>0</v>
      </c>
      <c r="H36">
        <f>IFERROR(ROUND(State_lookup!I35/SUM(State_lookup!I2:I49)*National_totals!$I$10, 0), 0)</f>
        <v>0</v>
      </c>
    </row>
    <row r="37" spans="1:8" x14ac:dyDescent="0.45">
      <c r="A37" t="str">
        <f>State_lookup!B36</f>
        <v>Oregon</v>
      </c>
      <c r="B37">
        <f>IFERROR(ROUND(State_lookup!I36/SUM(State_lookup!I2:I49)*National_totals!$C$10, 0), 0)</f>
        <v>0</v>
      </c>
      <c r="C37">
        <f>IFERROR(ROUND(State_lookup!I36/SUM(State_lookup!I2:I49)*National_totals!$D$10, 0), 0)</f>
        <v>0</v>
      </c>
      <c r="D37">
        <f>IFERROR(ROUND(State_lookup!I36/SUM(State_lookup!I2:I49)*National_totals!$E$10, 0), 0)</f>
        <v>0</v>
      </c>
      <c r="E37">
        <f>IFERROR(ROUND(State_lookup!I36/SUM(State_lookup!I2:I49)*National_totals!$F$10, 0), 0)</f>
        <v>12</v>
      </c>
      <c r="F37">
        <f>IFERROR(ROUND(State_lookup!I36/SUM(State_lookup!I2:I49)*National_totals!$G$10, 0), 0)</f>
        <v>0</v>
      </c>
      <c r="G37">
        <f>IFERROR(ROUND(State_lookup!I36/SUM(State_lookup!I2:I49)*National_totals!$H$10, 0), 0)</f>
        <v>0</v>
      </c>
      <c r="H37">
        <f>IFERROR(ROUND(State_lookup!I36/SUM(State_lookup!I2:I49)*National_totals!$I$10, 0), 0)</f>
        <v>0</v>
      </c>
    </row>
    <row r="38" spans="1:8" x14ac:dyDescent="0.45">
      <c r="A38" t="str">
        <f>State_lookup!B37</f>
        <v>Pennsylvania</v>
      </c>
      <c r="B38">
        <f>IFERROR(ROUND(State_lookup!I37/SUM(State_lookup!I2:I49)*National_totals!$C$10, 0), 0)</f>
        <v>0</v>
      </c>
      <c r="C38">
        <f>IFERROR(ROUND(State_lookup!I37/SUM(State_lookup!I2:I49)*National_totals!$D$10, 0), 0)</f>
        <v>0</v>
      </c>
      <c r="D38">
        <f>IFERROR(ROUND(State_lookup!I37/SUM(State_lookup!I2:I49)*National_totals!$E$10, 0), 0)</f>
        <v>0</v>
      </c>
      <c r="E38">
        <f>IFERROR(ROUND(State_lookup!I37/SUM(State_lookup!I2:I49)*National_totals!$F$10, 0), 0)</f>
        <v>26</v>
      </c>
      <c r="F38">
        <f>IFERROR(ROUND(State_lookup!I37/SUM(State_lookup!I2:I49)*National_totals!$G$10, 0), 0)</f>
        <v>0</v>
      </c>
      <c r="G38">
        <f>IFERROR(ROUND(State_lookup!I37/SUM(State_lookup!I2:I49)*National_totals!$H$10, 0), 0)</f>
        <v>0</v>
      </c>
      <c r="H38">
        <f>IFERROR(ROUND(State_lookup!I37/SUM(State_lookup!I2:I49)*National_totals!$I$10, 0), 0)</f>
        <v>0</v>
      </c>
    </row>
    <row r="39" spans="1:8" x14ac:dyDescent="0.45">
      <c r="A39" t="str">
        <f>State_lookup!B38</f>
        <v>Rhode Island</v>
      </c>
      <c r="B39">
        <f>IFERROR(ROUND(State_lookup!I38/SUM(State_lookup!I2:I49)*National_totals!$C$10, 0), 0)</f>
        <v>0</v>
      </c>
      <c r="C39">
        <f>IFERROR(ROUND(State_lookup!I38/SUM(State_lookup!I2:I49)*National_totals!$D$10, 0), 0)</f>
        <v>0</v>
      </c>
      <c r="D39">
        <f>IFERROR(ROUND(State_lookup!I38/SUM(State_lookup!I2:I49)*National_totals!$E$10, 0), 0)</f>
        <v>0</v>
      </c>
      <c r="E39">
        <f>IFERROR(ROUND(State_lookup!I38/SUM(State_lookup!I2:I49)*National_totals!$F$10, 0), 0)</f>
        <v>1</v>
      </c>
      <c r="F39">
        <f>IFERROR(ROUND(State_lookup!I38/SUM(State_lookup!I2:I49)*National_totals!$G$10, 0), 0)</f>
        <v>0</v>
      </c>
      <c r="G39">
        <f>IFERROR(ROUND(State_lookup!I38/SUM(State_lookup!I2:I49)*National_totals!$H$10, 0), 0)</f>
        <v>0</v>
      </c>
      <c r="H39">
        <f>IFERROR(ROUND(State_lookup!I38/SUM(State_lookup!I2:I49)*National_totals!$I$10, 0), 0)</f>
        <v>0</v>
      </c>
    </row>
    <row r="40" spans="1:8" x14ac:dyDescent="0.45">
      <c r="A40" t="str">
        <f>State_lookup!B39</f>
        <v>South Carolina</v>
      </c>
      <c r="B40">
        <f>IFERROR(ROUND(State_lookup!I39/SUM(State_lookup!I2:I49)*National_totals!$C$10, 0), 0)</f>
        <v>0</v>
      </c>
      <c r="C40">
        <f>IFERROR(ROUND(State_lookup!I39/SUM(State_lookup!I2:I49)*National_totals!$D$10, 0), 0)</f>
        <v>0</v>
      </c>
      <c r="D40">
        <f>IFERROR(ROUND(State_lookup!I39/SUM(State_lookup!I2:I49)*National_totals!$E$10, 0), 0)</f>
        <v>0</v>
      </c>
      <c r="E40">
        <f>IFERROR(ROUND(State_lookup!I39/SUM(State_lookup!I2:I49)*National_totals!$F$10, 0), 0)</f>
        <v>8</v>
      </c>
      <c r="F40">
        <f>IFERROR(ROUND(State_lookup!I39/SUM(State_lookup!I2:I49)*National_totals!$G$10, 0), 0)</f>
        <v>0</v>
      </c>
      <c r="G40">
        <f>IFERROR(ROUND(State_lookup!I39/SUM(State_lookup!I2:I49)*National_totals!$H$10, 0), 0)</f>
        <v>0</v>
      </c>
      <c r="H40">
        <f>IFERROR(ROUND(State_lookup!I39/SUM(State_lookup!I2:I49)*National_totals!$I$10, 0), 0)</f>
        <v>0</v>
      </c>
    </row>
    <row r="41" spans="1:8" x14ac:dyDescent="0.45">
      <c r="A41" t="str">
        <f>State_lookup!B40</f>
        <v>South Dakota</v>
      </c>
      <c r="B41">
        <f>IFERROR(ROUND(State_lookup!I40/SUM(State_lookup!I2:I49)*National_totals!$C$10, 0), 0)</f>
        <v>0</v>
      </c>
      <c r="C41">
        <f>IFERROR(ROUND(State_lookup!I40/SUM(State_lookup!I2:I49)*National_totals!$D$10, 0), 0)</f>
        <v>0</v>
      </c>
      <c r="D41">
        <f>IFERROR(ROUND(State_lookup!I40/SUM(State_lookup!I2:I49)*National_totals!$E$10, 0), 0)</f>
        <v>0</v>
      </c>
      <c r="E41">
        <f>IFERROR(ROUND(State_lookup!I40/SUM(State_lookup!I2:I49)*National_totals!$F$10, 0), 0)</f>
        <v>2</v>
      </c>
      <c r="F41">
        <f>IFERROR(ROUND(State_lookup!I40/SUM(State_lookup!I2:I49)*National_totals!$G$10, 0), 0)</f>
        <v>0</v>
      </c>
      <c r="G41">
        <f>IFERROR(ROUND(State_lookup!I40/SUM(State_lookup!I2:I49)*National_totals!$H$10, 0), 0)</f>
        <v>0</v>
      </c>
      <c r="H41">
        <f>IFERROR(ROUND(State_lookup!I40/SUM(State_lookup!I2:I49)*National_totals!$I$10, 0), 0)</f>
        <v>0</v>
      </c>
    </row>
    <row r="42" spans="1:8" x14ac:dyDescent="0.45">
      <c r="A42" t="str">
        <f>State_lookup!B41</f>
        <v>Tennessee</v>
      </c>
      <c r="B42">
        <f>IFERROR(ROUND(State_lookup!I41/SUM(State_lookup!I2:I49)*National_totals!$C$10, 0), 0)</f>
        <v>0</v>
      </c>
      <c r="C42">
        <f>IFERROR(ROUND(State_lookup!I41/SUM(State_lookup!I2:I49)*National_totals!$D$10, 0), 0)</f>
        <v>0</v>
      </c>
      <c r="D42">
        <f>IFERROR(ROUND(State_lookup!I41/SUM(State_lookup!I2:I49)*National_totals!$E$10, 0), 0)</f>
        <v>0</v>
      </c>
      <c r="E42">
        <f>IFERROR(ROUND(State_lookup!I41/SUM(State_lookup!I2:I49)*National_totals!$F$10, 0), 0)</f>
        <v>147</v>
      </c>
      <c r="F42">
        <f>IFERROR(ROUND(State_lookup!I41/SUM(State_lookup!I2:I49)*National_totals!$G$10, 0), 0)</f>
        <v>0</v>
      </c>
      <c r="G42">
        <f>IFERROR(ROUND(State_lookup!I41/SUM(State_lookup!I2:I49)*National_totals!$H$10, 0), 0)</f>
        <v>0</v>
      </c>
      <c r="H42">
        <f>IFERROR(ROUND(State_lookup!I41/SUM(State_lookup!I2:I49)*National_totals!$I$10, 0), 0)</f>
        <v>0</v>
      </c>
    </row>
    <row r="43" spans="1:8" x14ac:dyDescent="0.45">
      <c r="A43" t="str">
        <f>State_lookup!B42</f>
        <v>Texas</v>
      </c>
      <c r="B43">
        <f>IFERROR(ROUND(State_lookup!I42/SUM(State_lookup!I2:I49)*National_totals!$C$10, 0), 0)</f>
        <v>0</v>
      </c>
      <c r="C43">
        <f>IFERROR(ROUND(State_lookup!I42/SUM(State_lookup!I2:I49)*National_totals!$D$10, 0), 0)</f>
        <v>0</v>
      </c>
      <c r="D43">
        <f>IFERROR(ROUND(State_lookup!I42/SUM(State_lookup!I2:I49)*National_totals!$E$10, 0), 0)</f>
        <v>0</v>
      </c>
      <c r="E43">
        <f>IFERROR(ROUND(State_lookup!I42/SUM(State_lookup!I2:I49)*National_totals!$F$10, 0), 0)</f>
        <v>69</v>
      </c>
      <c r="F43">
        <f>IFERROR(ROUND(State_lookup!I42/SUM(State_lookup!I2:I49)*National_totals!$G$10, 0), 0)</f>
        <v>0</v>
      </c>
      <c r="G43">
        <f>IFERROR(ROUND(State_lookup!I42/SUM(State_lookup!I2:I49)*National_totals!$H$10, 0), 0)</f>
        <v>0</v>
      </c>
      <c r="H43">
        <f>IFERROR(ROUND(State_lookup!I42/SUM(State_lookup!I2:I49)*National_totals!$I$10, 0), 0)</f>
        <v>0</v>
      </c>
    </row>
    <row r="44" spans="1:8" x14ac:dyDescent="0.45">
      <c r="A44" t="str">
        <f>State_lookup!B43</f>
        <v>Utah</v>
      </c>
      <c r="B44">
        <f>IFERROR(ROUND(State_lookup!I43/SUM(State_lookup!I2:I49)*National_totals!$C$10, 0), 0)</f>
        <v>0</v>
      </c>
      <c r="C44">
        <f>IFERROR(ROUND(State_lookup!I43/SUM(State_lookup!I2:I49)*National_totals!$D$10, 0), 0)</f>
        <v>0</v>
      </c>
      <c r="D44">
        <f>IFERROR(ROUND(State_lookup!I43/SUM(State_lookup!I2:I49)*National_totals!$E$10, 0), 0)</f>
        <v>0</v>
      </c>
      <c r="E44">
        <f>IFERROR(ROUND(State_lookup!I43/SUM(State_lookup!I2:I49)*National_totals!$F$10, 0), 0)</f>
        <v>7</v>
      </c>
      <c r="F44">
        <f>IFERROR(ROUND(State_lookup!I43/SUM(State_lookup!I2:I49)*National_totals!$G$10, 0), 0)</f>
        <v>0</v>
      </c>
      <c r="G44">
        <f>IFERROR(ROUND(State_lookup!I43/SUM(State_lookup!I2:I49)*National_totals!$H$10, 0), 0)</f>
        <v>0</v>
      </c>
      <c r="H44">
        <f>IFERROR(ROUND(State_lookup!I43/SUM(State_lookup!I2:I49)*National_totals!$I$10, 0), 0)</f>
        <v>0</v>
      </c>
    </row>
    <row r="45" spans="1:8" x14ac:dyDescent="0.45">
      <c r="A45" t="str">
        <f>State_lookup!B44</f>
        <v>Vermont</v>
      </c>
      <c r="B45">
        <f>IFERROR(ROUND(State_lookup!I44/SUM(State_lookup!I2:I49)*National_totals!$C$10, 0), 0)</f>
        <v>0</v>
      </c>
      <c r="C45">
        <f>IFERROR(ROUND(State_lookup!I44/SUM(State_lookup!I2:I49)*National_totals!$D$10, 0), 0)</f>
        <v>0</v>
      </c>
      <c r="D45">
        <f>IFERROR(ROUND(State_lookup!I44/SUM(State_lookup!I2:I49)*National_totals!$E$10, 0), 0)</f>
        <v>0</v>
      </c>
      <c r="E45">
        <f>IFERROR(ROUND(State_lookup!I44/SUM(State_lookup!I2:I49)*National_totals!$F$10, 0), 0)</f>
        <v>0</v>
      </c>
      <c r="F45">
        <f>IFERROR(ROUND(State_lookup!I44/SUM(State_lookup!I2:I49)*National_totals!$G$10, 0), 0)</f>
        <v>0</v>
      </c>
      <c r="G45">
        <f>IFERROR(ROUND(State_lookup!I44/SUM(State_lookup!I2:I49)*National_totals!$H$10, 0), 0)</f>
        <v>0</v>
      </c>
      <c r="H45">
        <f>IFERROR(ROUND(State_lookup!I44/SUM(State_lookup!I2:I49)*National_totals!$I$10, 0), 0)</f>
        <v>0</v>
      </c>
    </row>
    <row r="46" spans="1:8" x14ac:dyDescent="0.45">
      <c r="A46" t="str">
        <f>State_lookup!B45</f>
        <v>Virginia</v>
      </c>
      <c r="B46">
        <f>IFERROR(ROUND(State_lookup!I45/SUM(State_lookup!I2:I49)*National_totals!$C$10, 0), 0)</f>
        <v>0</v>
      </c>
      <c r="C46">
        <f>IFERROR(ROUND(State_lookup!I45/SUM(State_lookup!I2:I49)*National_totals!$D$10, 0), 0)</f>
        <v>0</v>
      </c>
      <c r="D46">
        <f>IFERROR(ROUND(State_lookup!I45/SUM(State_lookup!I2:I49)*National_totals!$E$10, 0), 0)</f>
        <v>0</v>
      </c>
      <c r="E46">
        <f>IFERROR(ROUND(State_lookup!I45/SUM(State_lookup!I2:I49)*National_totals!$F$10, 0), 0)</f>
        <v>8</v>
      </c>
      <c r="F46">
        <f>IFERROR(ROUND(State_lookup!I45/SUM(State_lookup!I2:I49)*National_totals!$G$10, 0), 0)</f>
        <v>0</v>
      </c>
      <c r="G46">
        <f>IFERROR(ROUND(State_lookup!I45/SUM(State_lookup!I2:I49)*National_totals!$H$10, 0), 0)</f>
        <v>0</v>
      </c>
      <c r="H46">
        <f>IFERROR(ROUND(State_lookup!I45/SUM(State_lookup!I2:I49)*National_totals!$I$10, 0), 0)</f>
        <v>0</v>
      </c>
    </row>
    <row r="47" spans="1:8" x14ac:dyDescent="0.45">
      <c r="A47" t="str">
        <f>State_lookup!B46</f>
        <v>Washington</v>
      </c>
      <c r="B47">
        <f>IFERROR(ROUND(State_lookup!I46/SUM(State_lookup!I2:I49)*National_totals!$C$10, 0), 0)</f>
        <v>0</v>
      </c>
      <c r="C47">
        <f>IFERROR(ROUND(State_lookup!I46/SUM(State_lookup!I2:I49)*National_totals!$D$10, 0), 0)</f>
        <v>0</v>
      </c>
      <c r="D47">
        <f>IFERROR(ROUND(State_lookup!I46/SUM(State_lookup!I2:I49)*National_totals!$E$10, 0), 0)</f>
        <v>0</v>
      </c>
      <c r="E47">
        <f>IFERROR(ROUND(State_lookup!I46/SUM(State_lookup!I2:I49)*National_totals!$F$10, 0), 0)</f>
        <v>23</v>
      </c>
      <c r="F47">
        <f>IFERROR(ROUND(State_lookup!I46/SUM(State_lookup!I2:I49)*National_totals!$G$10, 0), 0)</f>
        <v>0</v>
      </c>
      <c r="G47">
        <f>IFERROR(ROUND(State_lookup!I46/SUM(State_lookup!I2:I49)*National_totals!$H$10, 0), 0)</f>
        <v>0</v>
      </c>
      <c r="H47">
        <f>IFERROR(ROUND(State_lookup!I46/SUM(State_lookup!I2:I49)*National_totals!$I$10, 0), 0)</f>
        <v>0</v>
      </c>
    </row>
    <row r="48" spans="1:8" x14ac:dyDescent="0.45">
      <c r="A48" t="str">
        <f>State_lookup!B47</f>
        <v>West Virginia</v>
      </c>
      <c r="B48">
        <f>IFERROR(ROUND(State_lookup!I47/SUM(State_lookup!I2:I49)*National_totals!$C$10, 0), 0)</f>
        <v>0</v>
      </c>
      <c r="C48">
        <f>IFERROR(ROUND(State_lookup!I47/SUM(State_lookup!I2:I49)*National_totals!$D$10, 0), 0)</f>
        <v>0</v>
      </c>
      <c r="D48">
        <f>IFERROR(ROUND(State_lookup!I47/SUM(State_lookup!I2:I49)*National_totals!$E$10, 0), 0)</f>
        <v>0</v>
      </c>
      <c r="E48">
        <f>IFERROR(ROUND(State_lookup!I47/SUM(State_lookup!I2:I49)*National_totals!$F$10, 0), 0)</f>
        <v>0</v>
      </c>
      <c r="F48">
        <f>IFERROR(ROUND(State_lookup!I47/SUM(State_lookup!I2:I49)*National_totals!$G$10, 0), 0)</f>
        <v>0</v>
      </c>
      <c r="G48">
        <f>IFERROR(ROUND(State_lookup!I47/SUM(State_lookup!I2:I49)*National_totals!$H$10, 0), 0)</f>
        <v>0</v>
      </c>
      <c r="H48">
        <f>IFERROR(ROUND(State_lookup!I47/SUM(State_lookup!I2:I49)*National_totals!$I$10, 0), 0)</f>
        <v>0</v>
      </c>
    </row>
    <row r="49" spans="1:8" x14ac:dyDescent="0.45">
      <c r="A49" t="str">
        <f>State_lookup!B48</f>
        <v>Wisconsin</v>
      </c>
      <c r="B49">
        <f>IFERROR(ROUND(State_lookup!I48/SUM(State_lookup!I2:I49)*National_totals!$C$10, 0), 0)</f>
        <v>0</v>
      </c>
      <c r="C49">
        <f>IFERROR(ROUND(State_lookup!I48/SUM(State_lookup!I2:I49)*National_totals!$D$10, 0), 0)</f>
        <v>0</v>
      </c>
      <c r="D49">
        <f>IFERROR(ROUND(State_lookup!I48/SUM(State_lookup!I2:I49)*National_totals!$E$10, 0), 0)</f>
        <v>0</v>
      </c>
      <c r="E49">
        <f>IFERROR(ROUND(State_lookup!I48/SUM(State_lookup!I2:I49)*National_totals!$F$10, 0), 0)</f>
        <v>5</v>
      </c>
      <c r="F49">
        <f>IFERROR(ROUND(State_lookup!I48/SUM(State_lookup!I2:I49)*National_totals!$G$10, 0), 0)</f>
        <v>0</v>
      </c>
      <c r="G49">
        <f>IFERROR(ROUND(State_lookup!I48/SUM(State_lookup!I2:I49)*National_totals!$H$10, 0), 0)</f>
        <v>0</v>
      </c>
      <c r="H49">
        <f>IFERROR(ROUND(State_lookup!I48/SUM(State_lookup!I2:I49)*National_totals!$I$10, 0), 0)</f>
        <v>0</v>
      </c>
    </row>
    <row r="50" spans="1:8" x14ac:dyDescent="0.45">
      <c r="A50" t="str">
        <f>State_lookup!B49</f>
        <v>Wyoming</v>
      </c>
      <c r="B50">
        <f>IFERROR(ROUND(State_lookup!I49/SUM(State_lookup!I2:I49)*National_totals!$C$10, 0), 0)</f>
        <v>0</v>
      </c>
      <c r="C50">
        <f>IFERROR(ROUND(State_lookup!I49/SUM(State_lookup!I2:I49)*National_totals!$D$10, 0), 0)</f>
        <v>0</v>
      </c>
      <c r="D50">
        <f>IFERROR(ROUND(State_lookup!I49/SUM(State_lookup!I2:I49)*National_totals!$E$10, 0), 0)</f>
        <v>0</v>
      </c>
      <c r="E50">
        <f>IFERROR(ROUND(State_lookup!I49/SUM(State_lookup!I2:I49)*National_totals!$F$10, 0), 0)</f>
        <v>0</v>
      </c>
      <c r="F50">
        <f>IFERROR(ROUND(State_lookup!I49/SUM(State_lookup!I2:I49)*National_totals!$G$10, 0), 0)</f>
        <v>0</v>
      </c>
      <c r="G50">
        <f>IFERROR(ROUND(State_lookup!I49/SUM(State_lookup!I2:I49)*National_totals!$H$10, 0), 0)</f>
        <v>0</v>
      </c>
      <c r="H50">
        <f>IFERROR(ROUND(State_lookup!I49/SUM(State_lookup!I2:I49)*National_totals!$I$10, 0),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0</v>
      </c>
      <c r="E51" s="4">
        <f t="shared" si="0"/>
        <v>923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National_totals!$C$10</f>
        <v>0</v>
      </c>
      <c r="C52" s="4">
        <f>National_totals!$D$10</f>
        <v>0</v>
      </c>
      <c r="D52" s="4">
        <f>National_totals!$E$10</f>
        <v>0</v>
      </c>
      <c r="E52" s="4">
        <f>National_totals!$F$10</f>
        <v>925</v>
      </c>
      <c r="F52" s="4">
        <f>National_totals!$G$10</f>
        <v>0</v>
      </c>
      <c r="G52" s="4">
        <f>National_totals!$H$10</f>
        <v>0</v>
      </c>
      <c r="H52" s="4">
        <f>National_totals!$I$10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-2.1621621621621622E-3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346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IFERROR(ROUND(State_lookup!L2/SUM(State_lookup!L2:L49)*National_totals!$C$11, 0), 0)</f>
        <v>0</v>
      </c>
      <c r="C3">
        <f>IFERROR(ROUND(State_lookup!L2/SUM(State_lookup!L2:L49)*National_totals!$D$11, 0), 0)</f>
        <v>0</v>
      </c>
      <c r="D3">
        <f>IFERROR(ROUND(State_lookup!L2/SUM(State_lookup!L2:L49)*National_totals!$E$11, 0), 0)</f>
        <v>0</v>
      </c>
      <c r="E3">
        <f>IFERROR(ROUND(State_lookup!L2/SUM(State_lookup!L2:L49)*National_totals!$F$11, 0), 0)</f>
        <v>371</v>
      </c>
      <c r="F3">
        <f>IFERROR(ROUND(State_lookup!L2/SUM(State_lookup!L2:L49)*National_totals!$G$11, 0), 0)</f>
        <v>0</v>
      </c>
      <c r="G3">
        <f>IFERROR(ROUND(State_lookup!L2/SUM(State_lookup!L2:L49)*National_totals!$H$11, 0), 0)</f>
        <v>0</v>
      </c>
      <c r="H3">
        <f>IFERROR(ROUND(State_lookup!L2/SUM(State_lookup!L2:L49)*National_totals!$I$11, 0), 0)</f>
        <v>0</v>
      </c>
    </row>
    <row r="4" spans="1:8" x14ac:dyDescent="0.45">
      <c r="A4" t="str">
        <f>State_lookup!B3</f>
        <v>Arizona</v>
      </c>
      <c r="B4">
        <f>IFERROR(ROUND(State_lookup!L3/SUM(State_lookup!L2:L49)*National_totals!$C$11, 0), 0)</f>
        <v>0</v>
      </c>
      <c r="C4">
        <f>IFERROR(ROUND(State_lookup!L3/SUM(State_lookup!L2:L49)*National_totals!$D$11, 0), 0)</f>
        <v>0</v>
      </c>
      <c r="D4">
        <f>IFERROR(ROUND(State_lookup!L3/SUM(State_lookup!L2:L49)*National_totals!$E$11, 0), 0)</f>
        <v>0</v>
      </c>
      <c r="E4">
        <f>IFERROR(ROUND(State_lookup!L3/SUM(State_lookup!L2:L49)*National_totals!$F$11, 0), 0)</f>
        <v>190</v>
      </c>
      <c r="F4">
        <f>IFERROR(ROUND(State_lookup!L3/SUM(State_lookup!L2:L49)*National_totals!$G$11, 0), 0)</f>
        <v>0</v>
      </c>
      <c r="G4">
        <f>IFERROR(ROUND(State_lookup!L3/SUM(State_lookup!L2:L49)*National_totals!$H$11, 0), 0)</f>
        <v>0</v>
      </c>
      <c r="H4">
        <f>IFERROR(ROUND(State_lookup!L3/SUM(State_lookup!L2:L49)*National_totals!$I$11, 0), 0)</f>
        <v>0</v>
      </c>
    </row>
    <row r="5" spans="1:8" x14ac:dyDescent="0.45">
      <c r="A5" t="str">
        <f>State_lookup!B4</f>
        <v>Arkansas</v>
      </c>
      <c r="B5">
        <f>IFERROR(ROUND(State_lookup!L4/SUM(State_lookup!L2:L49)*National_totals!$C$11, 0), 0)</f>
        <v>0</v>
      </c>
      <c r="C5">
        <f>IFERROR(ROUND(State_lookup!L4/SUM(State_lookup!L2:L49)*National_totals!$D$11, 0), 0)</f>
        <v>0</v>
      </c>
      <c r="D5">
        <f>IFERROR(ROUND(State_lookup!L4/SUM(State_lookup!L2:L49)*National_totals!$E$11, 0), 0)</f>
        <v>0</v>
      </c>
      <c r="E5">
        <f>IFERROR(ROUND(State_lookup!L4/SUM(State_lookup!L2:L49)*National_totals!$F$11, 0), 0)</f>
        <v>270</v>
      </c>
      <c r="F5">
        <f>IFERROR(ROUND(State_lookup!L4/SUM(State_lookup!L2:L49)*National_totals!$G$11, 0), 0)</f>
        <v>0</v>
      </c>
      <c r="G5">
        <f>IFERROR(ROUND(State_lookup!L4/SUM(State_lookup!L2:L49)*National_totals!$H$11, 0), 0)</f>
        <v>0</v>
      </c>
      <c r="H5">
        <f>IFERROR(ROUND(State_lookup!L4/SUM(State_lookup!L2:L49)*National_totals!$I$11, 0), 0)</f>
        <v>0</v>
      </c>
    </row>
    <row r="6" spans="1:8" x14ac:dyDescent="0.45">
      <c r="A6" t="str">
        <f>State_lookup!B5</f>
        <v>California</v>
      </c>
      <c r="B6">
        <f>IFERROR(ROUND(State_lookup!L5/SUM(State_lookup!L2:L49)*National_totals!$C$11, 0), 0)</f>
        <v>0</v>
      </c>
      <c r="C6">
        <f>IFERROR(ROUND(State_lookup!L5/SUM(State_lookup!L2:L49)*National_totals!$D$11, 0), 0)</f>
        <v>0</v>
      </c>
      <c r="D6">
        <f>IFERROR(ROUND(State_lookup!L5/SUM(State_lookup!L2:L49)*National_totals!$E$11, 0), 0)</f>
        <v>0</v>
      </c>
      <c r="E6">
        <f>IFERROR(ROUND(State_lookup!L5/SUM(State_lookup!L2:L49)*National_totals!$F$11, 0), 0)</f>
        <v>3107</v>
      </c>
      <c r="F6">
        <f>IFERROR(ROUND(State_lookup!L5/SUM(State_lookup!L2:L49)*National_totals!$G$11, 0), 0)</f>
        <v>0</v>
      </c>
      <c r="G6">
        <f>IFERROR(ROUND(State_lookup!L5/SUM(State_lookup!L2:L49)*National_totals!$H$11, 0), 0)</f>
        <v>0</v>
      </c>
      <c r="H6">
        <f>IFERROR(ROUND(State_lookup!L5/SUM(State_lookup!L2:L49)*National_totals!$I$11, 0), 0)</f>
        <v>0</v>
      </c>
    </row>
    <row r="7" spans="1:8" x14ac:dyDescent="0.45">
      <c r="A7" t="str">
        <f>State_lookup!B6</f>
        <v>Colorado</v>
      </c>
      <c r="B7">
        <f>IFERROR(ROUND(State_lookup!L6/SUM(State_lookup!L2:L49)*National_totals!$C$11, 0), 0)</f>
        <v>0</v>
      </c>
      <c r="C7">
        <f>IFERROR(ROUND(State_lookup!L6/SUM(State_lookup!L2:L49)*National_totals!$D$11, 0), 0)</f>
        <v>0</v>
      </c>
      <c r="D7">
        <f>IFERROR(ROUND(State_lookup!L6/SUM(State_lookup!L2:L49)*National_totals!$E$11, 0), 0)</f>
        <v>0</v>
      </c>
      <c r="E7">
        <f>IFERROR(ROUND(State_lookup!L6/SUM(State_lookup!L2:L49)*National_totals!$F$11, 0), 0)</f>
        <v>290</v>
      </c>
      <c r="F7">
        <f>IFERROR(ROUND(State_lookup!L6/SUM(State_lookup!L2:L49)*National_totals!$G$11, 0), 0)</f>
        <v>0</v>
      </c>
      <c r="G7">
        <f>IFERROR(ROUND(State_lookup!L6/SUM(State_lookup!L2:L49)*National_totals!$H$11, 0), 0)</f>
        <v>0</v>
      </c>
      <c r="H7">
        <f>IFERROR(ROUND(State_lookup!L6/SUM(State_lookup!L2:L49)*National_totals!$I$11, 0), 0)</f>
        <v>0</v>
      </c>
    </row>
    <row r="8" spans="1:8" x14ac:dyDescent="0.45">
      <c r="A8" t="str">
        <f>State_lookup!B7</f>
        <v>Connecticut</v>
      </c>
      <c r="B8">
        <f>IFERROR(ROUND(State_lookup!L7/SUM(State_lookup!L2:L49)*National_totals!$C$11, 0), 0)</f>
        <v>0</v>
      </c>
      <c r="C8">
        <f>IFERROR(ROUND(State_lookup!L7/SUM(State_lookup!L2:L49)*National_totals!$D$11, 0), 0)</f>
        <v>0</v>
      </c>
      <c r="D8">
        <f>IFERROR(ROUND(State_lookup!L7/SUM(State_lookup!L2:L49)*National_totals!$E$11, 0), 0)</f>
        <v>0</v>
      </c>
      <c r="E8">
        <f>IFERROR(ROUND(State_lookup!L7/SUM(State_lookup!L2:L49)*National_totals!$F$11, 0), 0)</f>
        <v>13</v>
      </c>
      <c r="F8">
        <f>IFERROR(ROUND(State_lookup!L7/SUM(State_lookup!L2:L49)*National_totals!$G$11, 0), 0)</f>
        <v>0</v>
      </c>
      <c r="G8">
        <f>IFERROR(ROUND(State_lookup!L7/SUM(State_lookup!L2:L49)*National_totals!$H$11, 0), 0)</f>
        <v>0</v>
      </c>
      <c r="H8">
        <f>IFERROR(ROUND(State_lookup!L7/SUM(State_lookup!L2:L49)*National_totals!$I$11, 0), 0)</f>
        <v>0</v>
      </c>
    </row>
    <row r="9" spans="1:8" x14ac:dyDescent="0.45">
      <c r="A9" t="str">
        <f>State_lookup!B8</f>
        <v>Delaware</v>
      </c>
      <c r="B9">
        <f>IFERROR(ROUND(State_lookup!L8/SUM(State_lookup!L2:L49)*National_totals!$C$11, 0), 0)</f>
        <v>0</v>
      </c>
      <c r="C9">
        <f>IFERROR(ROUND(State_lookup!L8/SUM(State_lookup!L2:L49)*National_totals!$D$11, 0), 0)</f>
        <v>0</v>
      </c>
      <c r="D9">
        <f>IFERROR(ROUND(State_lookup!L8/SUM(State_lookup!L2:L49)*National_totals!$E$11, 0), 0)</f>
        <v>0</v>
      </c>
      <c r="E9">
        <f>IFERROR(ROUND(State_lookup!L8/SUM(State_lookup!L2:L49)*National_totals!$F$11, 0), 0)</f>
        <v>20</v>
      </c>
      <c r="F9">
        <f>IFERROR(ROUND(State_lookup!L8/SUM(State_lookup!L2:L49)*National_totals!$G$11, 0), 0)</f>
        <v>0</v>
      </c>
      <c r="G9">
        <f>IFERROR(ROUND(State_lookup!L8/SUM(State_lookup!L2:L49)*National_totals!$H$11, 0), 0)</f>
        <v>0</v>
      </c>
      <c r="H9">
        <f>IFERROR(ROUND(State_lookup!L8/SUM(State_lookup!L2:L49)*National_totals!$I$11, 0), 0)</f>
        <v>0</v>
      </c>
    </row>
    <row r="10" spans="1:8" x14ac:dyDescent="0.45">
      <c r="A10" t="str">
        <f>State_lookup!B9</f>
        <v>Florida</v>
      </c>
      <c r="B10">
        <f>IFERROR(ROUND(State_lookup!L9/SUM(State_lookup!L2:L49)*National_totals!$C$11, 0), 0)</f>
        <v>0</v>
      </c>
      <c r="C10">
        <f>IFERROR(ROUND(State_lookup!L9/SUM(State_lookup!L2:L49)*National_totals!$D$11, 0), 0)</f>
        <v>0</v>
      </c>
      <c r="D10">
        <f>IFERROR(ROUND(State_lookup!L9/SUM(State_lookup!L2:L49)*National_totals!$E$11, 0), 0)</f>
        <v>0</v>
      </c>
      <c r="E10">
        <f>IFERROR(ROUND(State_lookup!L9/SUM(State_lookup!L2:L49)*National_totals!$F$11, 0), 0)</f>
        <v>713</v>
      </c>
      <c r="F10">
        <f>IFERROR(ROUND(State_lookup!L9/SUM(State_lookup!L2:L49)*National_totals!$G$11, 0), 0)</f>
        <v>0</v>
      </c>
      <c r="G10">
        <f>IFERROR(ROUND(State_lookup!L9/SUM(State_lookup!L2:L49)*National_totals!$H$11, 0), 0)</f>
        <v>0</v>
      </c>
      <c r="H10">
        <f>IFERROR(ROUND(State_lookup!L9/SUM(State_lookup!L2:L49)*National_totals!$I$11, 0), 0)</f>
        <v>0</v>
      </c>
    </row>
    <row r="11" spans="1:8" x14ac:dyDescent="0.45">
      <c r="A11" t="str">
        <f>State_lookup!B10</f>
        <v>Georgia</v>
      </c>
      <c r="B11">
        <f>IFERROR(ROUND(State_lookup!L10/SUM(State_lookup!L2:L49)*National_totals!$C$11, 0), 0)</f>
        <v>0</v>
      </c>
      <c r="C11">
        <f>IFERROR(ROUND(State_lookup!L10/SUM(State_lookup!L2:L49)*National_totals!$D$11, 0), 0)</f>
        <v>0</v>
      </c>
      <c r="D11">
        <f>IFERROR(ROUND(State_lookup!L10/SUM(State_lookup!L2:L49)*National_totals!$E$11, 0), 0)</f>
        <v>0</v>
      </c>
      <c r="E11">
        <f>IFERROR(ROUND(State_lookup!L10/SUM(State_lookup!L2:L49)*National_totals!$F$11, 0), 0)</f>
        <v>1071</v>
      </c>
      <c r="F11">
        <f>IFERROR(ROUND(State_lookup!L10/SUM(State_lookup!L2:L49)*National_totals!$G$11, 0), 0)</f>
        <v>0</v>
      </c>
      <c r="G11">
        <f>IFERROR(ROUND(State_lookup!L10/SUM(State_lookup!L2:L49)*National_totals!$H$11, 0), 0)</f>
        <v>0</v>
      </c>
      <c r="H11">
        <f>IFERROR(ROUND(State_lookup!L10/SUM(State_lookup!L2:L49)*National_totals!$I$11, 0), 0)</f>
        <v>0</v>
      </c>
    </row>
    <row r="12" spans="1:8" x14ac:dyDescent="0.45">
      <c r="A12" t="str">
        <f>State_lookup!B11</f>
        <v>Idaho</v>
      </c>
      <c r="B12">
        <f>IFERROR(ROUND(State_lookup!L11/SUM(State_lookup!L2:L49)*National_totals!$C$11, 0), 0)</f>
        <v>0</v>
      </c>
      <c r="C12">
        <f>IFERROR(ROUND(State_lookup!L11/SUM(State_lookup!L2:L49)*National_totals!$D$11, 0), 0)</f>
        <v>0</v>
      </c>
      <c r="D12">
        <f>IFERROR(ROUND(State_lookup!L11/SUM(State_lookup!L2:L49)*National_totals!$E$11, 0), 0)</f>
        <v>0</v>
      </c>
      <c r="E12">
        <f>IFERROR(ROUND(State_lookup!L11/SUM(State_lookup!L2:L49)*National_totals!$F$11, 0), 0)</f>
        <v>86</v>
      </c>
      <c r="F12">
        <f>IFERROR(ROUND(State_lookup!L11/SUM(State_lookup!L2:L49)*National_totals!$G$11, 0), 0)</f>
        <v>0</v>
      </c>
      <c r="G12">
        <f>IFERROR(ROUND(State_lookup!L11/SUM(State_lookup!L2:L49)*National_totals!$H$11, 0), 0)</f>
        <v>0</v>
      </c>
      <c r="H12">
        <f>IFERROR(ROUND(State_lookup!L11/SUM(State_lookup!L2:L49)*National_totals!$I$11, 0), 0)</f>
        <v>0</v>
      </c>
    </row>
    <row r="13" spans="1:8" x14ac:dyDescent="0.45">
      <c r="A13" t="str">
        <f>State_lookup!B12</f>
        <v>Illinois</v>
      </c>
      <c r="B13">
        <f>IFERROR(ROUND(State_lookup!L12/SUM(State_lookup!L2:L49)*National_totals!$C$11, 0), 0)</f>
        <v>0</v>
      </c>
      <c r="C13">
        <f>IFERROR(ROUND(State_lookup!L12/SUM(State_lookup!L2:L49)*National_totals!$D$11, 0), 0)</f>
        <v>0</v>
      </c>
      <c r="D13">
        <f>IFERROR(ROUND(State_lookup!L12/SUM(State_lookup!L2:L49)*National_totals!$E$11, 0), 0)</f>
        <v>0</v>
      </c>
      <c r="E13">
        <f>IFERROR(ROUND(State_lookup!L12/SUM(State_lookup!L2:L49)*National_totals!$F$11, 0), 0)</f>
        <v>3433</v>
      </c>
      <c r="F13">
        <f>IFERROR(ROUND(State_lookup!L12/SUM(State_lookup!L2:L49)*National_totals!$G$11, 0), 0)</f>
        <v>0</v>
      </c>
      <c r="G13">
        <f>IFERROR(ROUND(State_lookup!L12/SUM(State_lookup!L2:L49)*National_totals!$H$11, 0), 0)</f>
        <v>0</v>
      </c>
      <c r="H13">
        <f>IFERROR(ROUND(State_lookup!L12/SUM(State_lookup!L2:L49)*National_totals!$I$11, 0), 0)</f>
        <v>0</v>
      </c>
    </row>
    <row r="14" spans="1:8" x14ac:dyDescent="0.45">
      <c r="A14" t="str">
        <f>State_lookup!B13</f>
        <v>Indiana</v>
      </c>
      <c r="B14">
        <f>IFERROR(ROUND(State_lookup!L13/SUM(State_lookup!L2:L49)*National_totals!$C$11, 0), 0)</f>
        <v>0</v>
      </c>
      <c r="C14">
        <f>IFERROR(ROUND(State_lookup!L13/SUM(State_lookup!L2:L49)*National_totals!$D$11, 0), 0)</f>
        <v>0</v>
      </c>
      <c r="D14">
        <f>IFERROR(ROUND(State_lookup!L13/SUM(State_lookup!L2:L49)*National_totals!$E$11, 0), 0)</f>
        <v>0</v>
      </c>
      <c r="E14">
        <f>IFERROR(ROUND(State_lookup!L13/SUM(State_lookup!L2:L49)*National_totals!$F$11, 0), 0)</f>
        <v>537</v>
      </c>
      <c r="F14">
        <f>IFERROR(ROUND(State_lookup!L13/SUM(State_lookup!L2:L49)*National_totals!$G$11, 0), 0)</f>
        <v>0</v>
      </c>
      <c r="G14">
        <f>IFERROR(ROUND(State_lookup!L13/SUM(State_lookup!L2:L49)*National_totals!$H$11, 0), 0)</f>
        <v>0</v>
      </c>
      <c r="H14">
        <f>IFERROR(ROUND(State_lookup!L13/SUM(State_lookup!L2:L49)*National_totals!$I$11, 0), 0)</f>
        <v>0</v>
      </c>
    </row>
    <row r="15" spans="1:8" x14ac:dyDescent="0.45">
      <c r="A15" t="str">
        <f>State_lookup!B14</f>
        <v>Iowa</v>
      </c>
      <c r="B15">
        <f>IFERROR(ROUND(State_lookup!L14/SUM(State_lookup!L2:L49)*National_totals!$C$11, 0), 0)</f>
        <v>0</v>
      </c>
      <c r="C15">
        <f>IFERROR(ROUND(State_lookup!L14/SUM(State_lookup!L2:L49)*National_totals!$D$11, 0), 0)</f>
        <v>0</v>
      </c>
      <c r="D15">
        <f>IFERROR(ROUND(State_lookup!L14/SUM(State_lookup!L2:L49)*National_totals!$E$11, 0), 0)</f>
        <v>0</v>
      </c>
      <c r="E15">
        <f>IFERROR(ROUND(State_lookup!L14/SUM(State_lookup!L2:L49)*National_totals!$F$11, 0), 0)</f>
        <v>339</v>
      </c>
      <c r="F15">
        <f>IFERROR(ROUND(State_lookup!L14/SUM(State_lookup!L2:L49)*National_totals!$G$11, 0), 0)</f>
        <v>0</v>
      </c>
      <c r="G15">
        <f>IFERROR(ROUND(State_lookup!L14/SUM(State_lookup!L2:L49)*National_totals!$H$11, 0), 0)</f>
        <v>0</v>
      </c>
      <c r="H15">
        <f>IFERROR(ROUND(State_lookup!L14/SUM(State_lookup!L2:L49)*National_totals!$I$11, 0), 0)</f>
        <v>0</v>
      </c>
    </row>
    <row r="16" spans="1:8" x14ac:dyDescent="0.45">
      <c r="A16" t="str">
        <f>State_lookup!B15</f>
        <v>Kansas</v>
      </c>
      <c r="B16">
        <f>IFERROR(ROUND(State_lookup!L15/SUM(State_lookup!L2:L49)*National_totals!$C$11, 0), 0)</f>
        <v>0</v>
      </c>
      <c r="C16">
        <f>IFERROR(ROUND(State_lookup!L15/SUM(State_lookup!L2:L49)*National_totals!$D$11, 0), 0)</f>
        <v>0</v>
      </c>
      <c r="D16">
        <f>IFERROR(ROUND(State_lookup!L15/SUM(State_lookup!L2:L49)*National_totals!$E$11, 0), 0)</f>
        <v>0</v>
      </c>
      <c r="E16">
        <f>IFERROR(ROUND(State_lookup!L15/SUM(State_lookup!L2:L49)*National_totals!$F$11, 0), 0)</f>
        <v>362</v>
      </c>
      <c r="F16">
        <f>IFERROR(ROUND(State_lookup!L15/SUM(State_lookup!L2:L49)*National_totals!$G$11, 0), 0)</f>
        <v>0</v>
      </c>
      <c r="G16">
        <f>IFERROR(ROUND(State_lookup!L15/SUM(State_lookup!L2:L49)*National_totals!$H$11, 0), 0)</f>
        <v>0</v>
      </c>
      <c r="H16">
        <f>IFERROR(ROUND(State_lookup!L15/SUM(State_lookup!L2:L49)*National_totals!$I$11, 0), 0)</f>
        <v>0</v>
      </c>
    </row>
    <row r="17" spans="1:8" x14ac:dyDescent="0.45">
      <c r="A17" t="str">
        <f>State_lookup!B16</f>
        <v>Kentucky</v>
      </c>
      <c r="B17">
        <f>IFERROR(ROUND(State_lookup!L16/SUM(State_lookup!L2:L49)*National_totals!$C$11, 0), 0)</f>
        <v>0</v>
      </c>
      <c r="C17">
        <f>IFERROR(ROUND(State_lookup!L16/SUM(State_lookup!L2:L49)*National_totals!$D$11, 0), 0)</f>
        <v>0</v>
      </c>
      <c r="D17">
        <f>IFERROR(ROUND(State_lookup!L16/SUM(State_lookup!L2:L49)*National_totals!$E$11, 0), 0)</f>
        <v>0</v>
      </c>
      <c r="E17">
        <f>IFERROR(ROUND(State_lookup!L16/SUM(State_lookup!L2:L49)*National_totals!$F$11, 0), 0)</f>
        <v>278</v>
      </c>
      <c r="F17">
        <f>IFERROR(ROUND(State_lookup!L16/SUM(State_lookup!L2:L49)*National_totals!$G$11, 0), 0)</f>
        <v>0</v>
      </c>
      <c r="G17">
        <f>IFERROR(ROUND(State_lookup!L16/SUM(State_lookup!L2:L49)*National_totals!$H$11, 0), 0)</f>
        <v>0</v>
      </c>
      <c r="H17">
        <f>IFERROR(ROUND(State_lookup!L16/SUM(State_lookup!L2:L49)*National_totals!$I$11, 0), 0)</f>
        <v>0</v>
      </c>
    </row>
    <row r="18" spans="1:8" x14ac:dyDescent="0.45">
      <c r="A18" t="str">
        <f>State_lookup!B17</f>
        <v>Louisiana</v>
      </c>
      <c r="B18">
        <f>IFERROR(ROUND(State_lookup!L17/SUM(State_lookup!L2:L49)*National_totals!$C$11, 0), 0)</f>
        <v>0</v>
      </c>
      <c r="C18">
        <f>IFERROR(ROUND(State_lookup!L17/SUM(State_lookup!L2:L49)*National_totals!$D$11, 0), 0)</f>
        <v>0</v>
      </c>
      <c r="D18">
        <f>IFERROR(ROUND(State_lookup!L17/SUM(State_lookup!L2:L49)*National_totals!$E$11, 0), 0)</f>
        <v>0</v>
      </c>
      <c r="E18">
        <f>IFERROR(ROUND(State_lookup!L17/SUM(State_lookup!L2:L49)*National_totals!$F$11, 0), 0)</f>
        <v>380</v>
      </c>
      <c r="F18">
        <f>IFERROR(ROUND(State_lookup!L17/SUM(State_lookup!L2:L49)*National_totals!$G$11, 0), 0)</f>
        <v>0</v>
      </c>
      <c r="G18">
        <f>IFERROR(ROUND(State_lookup!L17/SUM(State_lookup!L2:L49)*National_totals!$H$11, 0), 0)</f>
        <v>0</v>
      </c>
      <c r="H18">
        <f>IFERROR(ROUND(State_lookup!L17/SUM(State_lookup!L2:L49)*National_totals!$I$11, 0), 0)</f>
        <v>0</v>
      </c>
    </row>
    <row r="19" spans="1:8" x14ac:dyDescent="0.45">
      <c r="A19" t="str">
        <f>State_lookup!B18</f>
        <v>Maine</v>
      </c>
      <c r="B19">
        <f>IFERROR(ROUND(State_lookup!L18/SUM(State_lookup!L2:L49)*National_totals!$C$11, 0), 0)</f>
        <v>0</v>
      </c>
      <c r="C19">
        <f>IFERROR(ROUND(State_lookup!L18/SUM(State_lookup!L2:L49)*National_totals!$D$11, 0), 0)</f>
        <v>0</v>
      </c>
      <c r="D19">
        <f>IFERROR(ROUND(State_lookup!L18/SUM(State_lookup!L2:L49)*National_totals!$E$11, 0), 0)</f>
        <v>0</v>
      </c>
      <c r="E19">
        <f>IFERROR(ROUND(State_lookup!L18/SUM(State_lookup!L2:L49)*National_totals!$F$11, 0), 0)</f>
        <v>20</v>
      </c>
      <c r="F19">
        <f>IFERROR(ROUND(State_lookup!L18/SUM(State_lookup!L2:L49)*National_totals!$G$11, 0), 0)</f>
        <v>0</v>
      </c>
      <c r="G19">
        <f>IFERROR(ROUND(State_lookup!L18/SUM(State_lookup!L2:L49)*National_totals!$H$11, 0), 0)</f>
        <v>0</v>
      </c>
      <c r="H19">
        <f>IFERROR(ROUND(State_lookup!L18/SUM(State_lookup!L2:L49)*National_totals!$I$11, 0), 0)</f>
        <v>0</v>
      </c>
    </row>
    <row r="20" spans="1:8" x14ac:dyDescent="0.45">
      <c r="A20" t="str">
        <f>State_lookup!B19</f>
        <v>Maryland</v>
      </c>
      <c r="B20">
        <f>IFERROR(ROUND(State_lookup!L19/SUM(State_lookup!L2:L49)*National_totals!$C$11, 0), 0)</f>
        <v>0</v>
      </c>
      <c r="C20">
        <f>IFERROR(ROUND(State_lookup!L19/SUM(State_lookup!L2:L49)*National_totals!$D$11, 0), 0)</f>
        <v>0</v>
      </c>
      <c r="D20">
        <f>IFERROR(ROUND(State_lookup!L19/SUM(State_lookup!L2:L49)*National_totals!$E$11, 0), 0)</f>
        <v>0</v>
      </c>
      <c r="E20">
        <f>IFERROR(ROUND(State_lookup!L19/SUM(State_lookup!L2:L49)*National_totals!$F$11, 0), 0)</f>
        <v>184</v>
      </c>
      <c r="F20">
        <f>IFERROR(ROUND(State_lookup!L19/SUM(State_lookup!L2:L49)*National_totals!$G$11, 0), 0)</f>
        <v>0</v>
      </c>
      <c r="G20">
        <f>IFERROR(ROUND(State_lookup!L19/SUM(State_lookup!L2:L49)*National_totals!$H$11, 0), 0)</f>
        <v>0</v>
      </c>
      <c r="H20">
        <f>IFERROR(ROUND(State_lookup!L19/SUM(State_lookup!L2:L49)*National_totals!$I$11, 0), 0)</f>
        <v>0</v>
      </c>
    </row>
    <row r="21" spans="1:8" x14ac:dyDescent="0.45">
      <c r="A21" t="str">
        <f>State_lookup!B20</f>
        <v>Massachusetts</v>
      </c>
      <c r="B21">
        <f>IFERROR(ROUND(State_lookup!L20/SUM(State_lookup!L2:L49)*National_totals!$C$11, 0), 0)</f>
        <v>0</v>
      </c>
      <c r="C21">
        <f>IFERROR(ROUND(State_lookup!L20/SUM(State_lookup!L2:L49)*National_totals!$D$11, 0), 0)</f>
        <v>0</v>
      </c>
      <c r="D21">
        <f>IFERROR(ROUND(State_lookup!L20/SUM(State_lookup!L2:L49)*National_totals!$E$11, 0), 0)</f>
        <v>0</v>
      </c>
      <c r="E21">
        <f>IFERROR(ROUND(State_lookup!L20/SUM(State_lookup!L2:L49)*National_totals!$F$11, 0), 0)</f>
        <v>155</v>
      </c>
      <c r="F21">
        <f>IFERROR(ROUND(State_lookup!L20/SUM(State_lookup!L2:L49)*National_totals!$G$11, 0), 0)</f>
        <v>0</v>
      </c>
      <c r="G21">
        <f>IFERROR(ROUND(State_lookup!L20/SUM(State_lookup!L2:L49)*National_totals!$H$11, 0), 0)</f>
        <v>0</v>
      </c>
      <c r="H21">
        <f>IFERROR(ROUND(State_lookup!L20/SUM(State_lookup!L2:L49)*National_totals!$I$11, 0), 0)</f>
        <v>0</v>
      </c>
    </row>
    <row r="22" spans="1:8" x14ac:dyDescent="0.45">
      <c r="A22" t="str">
        <f>State_lookup!B21</f>
        <v>Michigan</v>
      </c>
      <c r="B22">
        <f>IFERROR(ROUND(State_lookup!L21/SUM(State_lookup!L2:L49)*National_totals!$C$11, 0), 0)</f>
        <v>0</v>
      </c>
      <c r="C22">
        <f>IFERROR(ROUND(State_lookup!L21/SUM(State_lookup!L2:L49)*National_totals!$D$11, 0), 0)</f>
        <v>0</v>
      </c>
      <c r="D22">
        <f>IFERROR(ROUND(State_lookup!L21/SUM(State_lookup!L2:L49)*National_totals!$E$11, 0), 0)</f>
        <v>0</v>
      </c>
      <c r="E22">
        <f>IFERROR(ROUND(State_lookup!L21/SUM(State_lookup!L2:L49)*National_totals!$F$11, 0), 0)</f>
        <v>450</v>
      </c>
      <c r="F22">
        <f>IFERROR(ROUND(State_lookup!L21/SUM(State_lookup!L2:L49)*National_totals!$G$11, 0), 0)</f>
        <v>0</v>
      </c>
      <c r="G22">
        <f>IFERROR(ROUND(State_lookup!L21/SUM(State_lookup!L2:L49)*National_totals!$H$11, 0), 0)</f>
        <v>0</v>
      </c>
      <c r="H22">
        <f>IFERROR(ROUND(State_lookup!L21/SUM(State_lookup!L2:L49)*National_totals!$I$11, 0), 0)</f>
        <v>0</v>
      </c>
    </row>
    <row r="23" spans="1:8" x14ac:dyDescent="0.45">
      <c r="A23" t="str">
        <f>State_lookup!B22</f>
        <v>Minnesota</v>
      </c>
      <c r="B23">
        <f>IFERROR(ROUND(State_lookup!L22/SUM(State_lookup!L2:L49)*National_totals!$C$11, 0), 0)</f>
        <v>0</v>
      </c>
      <c r="C23">
        <f>IFERROR(ROUND(State_lookup!L22/SUM(State_lookup!L2:L49)*National_totals!$D$11, 0), 0)</f>
        <v>0</v>
      </c>
      <c r="D23">
        <f>IFERROR(ROUND(State_lookup!L22/SUM(State_lookup!L2:L49)*National_totals!$E$11, 0), 0)</f>
        <v>0</v>
      </c>
      <c r="E23">
        <f>IFERROR(ROUND(State_lookup!L22/SUM(State_lookup!L2:L49)*National_totals!$F$11, 0), 0)</f>
        <v>937</v>
      </c>
      <c r="F23">
        <f>IFERROR(ROUND(State_lookup!L22/SUM(State_lookup!L2:L49)*National_totals!$G$11, 0), 0)</f>
        <v>0</v>
      </c>
      <c r="G23">
        <f>IFERROR(ROUND(State_lookup!L22/SUM(State_lookup!L2:L49)*National_totals!$H$11, 0), 0)</f>
        <v>0</v>
      </c>
      <c r="H23">
        <f>IFERROR(ROUND(State_lookup!L22/SUM(State_lookup!L2:L49)*National_totals!$I$11, 0), 0)</f>
        <v>0</v>
      </c>
    </row>
    <row r="24" spans="1:8" x14ac:dyDescent="0.45">
      <c r="A24" t="str">
        <f>State_lookup!B23</f>
        <v>Mississippi</v>
      </c>
      <c r="B24">
        <f>IFERROR(ROUND(State_lookup!L23/SUM(State_lookup!L2:L49)*National_totals!$C$11, 0), 0)</f>
        <v>0</v>
      </c>
      <c r="C24">
        <f>IFERROR(ROUND(State_lookup!L23/SUM(State_lookup!L2:L49)*National_totals!$D$11, 0), 0)</f>
        <v>0</v>
      </c>
      <c r="D24">
        <f>IFERROR(ROUND(State_lookup!L23/SUM(State_lookup!L2:L49)*National_totals!$E$11, 0), 0)</f>
        <v>0</v>
      </c>
      <c r="E24">
        <f>IFERROR(ROUND(State_lookup!L23/SUM(State_lookup!L2:L49)*National_totals!$F$11, 0), 0)</f>
        <v>116</v>
      </c>
      <c r="F24">
        <f>IFERROR(ROUND(State_lookup!L23/SUM(State_lookup!L2:L49)*National_totals!$G$11, 0), 0)</f>
        <v>0</v>
      </c>
      <c r="G24">
        <f>IFERROR(ROUND(State_lookup!L23/SUM(State_lookup!L2:L49)*National_totals!$H$11, 0), 0)</f>
        <v>0</v>
      </c>
      <c r="H24">
        <f>IFERROR(ROUND(State_lookup!L23/SUM(State_lookup!L2:L49)*National_totals!$I$11, 0), 0)</f>
        <v>0</v>
      </c>
    </row>
    <row r="25" spans="1:8" x14ac:dyDescent="0.45">
      <c r="A25" t="str">
        <f>State_lookup!B24</f>
        <v>Missouri</v>
      </c>
      <c r="B25">
        <f>IFERROR(ROUND(State_lookup!L24/SUM(State_lookup!L2:L49)*National_totals!$C$11, 0), 0)</f>
        <v>0</v>
      </c>
      <c r="C25">
        <f>IFERROR(ROUND(State_lookup!L24/SUM(State_lookup!L2:L49)*National_totals!$D$11, 0), 0)</f>
        <v>0</v>
      </c>
      <c r="D25">
        <f>IFERROR(ROUND(State_lookup!L24/SUM(State_lookup!L2:L49)*National_totals!$E$11, 0), 0)</f>
        <v>0</v>
      </c>
      <c r="E25">
        <f>IFERROR(ROUND(State_lookup!L24/SUM(State_lookup!L2:L49)*National_totals!$F$11, 0), 0)</f>
        <v>484</v>
      </c>
      <c r="F25">
        <f>IFERROR(ROUND(State_lookup!L24/SUM(State_lookup!L2:L49)*National_totals!$G$11, 0), 0)</f>
        <v>0</v>
      </c>
      <c r="G25">
        <f>IFERROR(ROUND(State_lookup!L24/SUM(State_lookup!L2:L49)*National_totals!$H$11, 0), 0)</f>
        <v>0</v>
      </c>
      <c r="H25">
        <f>IFERROR(ROUND(State_lookup!L24/SUM(State_lookup!L2:L49)*National_totals!$I$11, 0), 0)</f>
        <v>0</v>
      </c>
    </row>
    <row r="26" spans="1:8" x14ac:dyDescent="0.45">
      <c r="A26" t="str">
        <f>State_lookup!B25</f>
        <v>Montana</v>
      </c>
      <c r="B26">
        <f>IFERROR(ROUND(State_lookup!L25/SUM(State_lookup!L2:L49)*National_totals!$C$11, 0), 0)</f>
        <v>0</v>
      </c>
      <c r="C26">
        <f>IFERROR(ROUND(State_lookup!L25/SUM(State_lookup!L2:L49)*National_totals!$D$11, 0), 0)</f>
        <v>0</v>
      </c>
      <c r="D26">
        <f>IFERROR(ROUND(State_lookup!L25/SUM(State_lookup!L2:L49)*National_totals!$E$11, 0), 0)</f>
        <v>0</v>
      </c>
      <c r="E26">
        <f>IFERROR(ROUND(State_lookup!L25/SUM(State_lookup!L2:L49)*National_totals!$F$11, 0), 0)</f>
        <v>152</v>
      </c>
      <c r="F26">
        <f>IFERROR(ROUND(State_lookup!L25/SUM(State_lookup!L2:L49)*National_totals!$G$11, 0), 0)</f>
        <v>0</v>
      </c>
      <c r="G26">
        <f>IFERROR(ROUND(State_lookup!L25/SUM(State_lookup!L2:L49)*National_totals!$H$11, 0), 0)</f>
        <v>0</v>
      </c>
      <c r="H26">
        <f>IFERROR(ROUND(State_lookup!L25/SUM(State_lookup!L2:L49)*National_totals!$I$11, 0), 0)</f>
        <v>0</v>
      </c>
    </row>
    <row r="27" spans="1:8" x14ac:dyDescent="0.45">
      <c r="A27" t="str">
        <f>State_lookup!B26</f>
        <v>Nebraska</v>
      </c>
      <c r="B27">
        <f>IFERROR(ROUND(State_lookup!L26/SUM(State_lookup!L2:L49)*National_totals!$C$11, 0), 0)</f>
        <v>0</v>
      </c>
      <c r="C27">
        <f>IFERROR(ROUND(State_lookup!L26/SUM(State_lookup!L2:L49)*National_totals!$D$11, 0), 0)</f>
        <v>0</v>
      </c>
      <c r="D27">
        <f>IFERROR(ROUND(State_lookup!L26/SUM(State_lookup!L2:L49)*National_totals!$E$11, 0), 0)</f>
        <v>0</v>
      </c>
      <c r="E27">
        <f>IFERROR(ROUND(State_lookup!L26/SUM(State_lookup!L2:L49)*National_totals!$F$11, 0), 0)</f>
        <v>260</v>
      </c>
      <c r="F27">
        <f>IFERROR(ROUND(State_lookup!L26/SUM(State_lookup!L2:L49)*National_totals!$G$11, 0), 0)</f>
        <v>0</v>
      </c>
      <c r="G27">
        <f>IFERROR(ROUND(State_lookup!L26/SUM(State_lookup!L2:L49)*National_totals!$H$11, 0), 0)</f>
        <v>0</v>
      </c>
      <c r="H27">
        <f>IFERROR(ROUND(State_lookup!L26/SUM(State_lookup!L2:L49)*National_totals!$I$11, 0), 0)</f>
        <v>0</v>
      </c>
    </row>
    <row r="28" spans="1:8" x14ac:dyDescent="0.45">
      <c r="A28" t="str">
        <f>State_lookup!B27</f>
        <v>Nevada</v>
      </c>
      <c r="B28">
        <f>IFERROR(ROUND(State_lookup!L27/SUM(State_lookup!L2:L49)*National_totals!$C$11, 0), 0)</f>
        <v>0</v>
      </c>
      <c r="C28">
        <f>IFERROR(ROUND(State_lookup!L27/SUM(State_lookup!L2:L49)*National_totals!$D$11, 0), 0)</f>
        <v>0</v>
      </c>
      <c r="D28">
        <f>IFERROR(ROUND(State_lookup!L27/SUM(State_lookup!L2:L49)*National_totals!$E$11, 0), 0)</f>
        <v>0</v>
      </c>
      <c r="E28">
        <f>IFERROR(ROUND(State_lookup!L27/SUM(State_lookup!L2:L49)*National_totals!$F$11, 0), 0)</f>
        <v>52</v>
      </c>
      <c r="F28">
        <f>IFERROR(ROUND(State_lookup!L27/SUM(State_lookup!L2:L49)*National_totals!$G$11, 0), 0)</f>
        <v>0</v>
      </c>
      <c r="G28">
        <f>IFERROR(ROUND(State_lookup!L27/SUM(State_lookup!L2:L49)*National_totals!$H$11, 0), 0)</f>
        <v>0</v>
      </c>
      <c r="H28">
        <f>IFERROR(ROUND(State_lookup!L27/SUM(State_lookup!L2:L49)*National_totals!$I$11, 0), 0)</f>
        <v>0</v>
      </c>
    </row>
    <row r="29" spans="1:8" x14ac:dyDescent="0.45">
      <c r="A29" t="str">
        <f>State_lookup!B28</f>
        <v>New Hampshire</v>
      </c>
      <c r="B29">
        <f>IFERROR(ROUND(State_lookup!L28/SUM(State_lookup!L2:L49)*National_totals!$C$11, 0), 0)</f>
        <v>0</v>
      </c>
      <c r="C29">
        <f>IFERROR(ROUND(State_lookup!L28/SUM(State_lookup!L2:L49)*National_totals!$D$11, 0), 0)</f>
        <v>0</v>
      </c>
      <c r="D29">
        <f>IFERROR(ROUND(State_lookup!L28/SUM(State_lookup!L2:L49)*National_totals!$E$11, 0), 0)</f>
        <v>0</v>
      </c>
      <c r="E29">
        <f>IFERROR(ROUND(State_lookup!L28/SUM(State_lookup!L2:L49)*National_totals!$F$11, 0), 0)</f>
        <v>4</v>
      </c>
      <c r="F29">
        <f>IFERROR(ROUND(State_lookup!L28/SUM(State_lookup!L2:L49)*National_totals!$G$11, 0), 0)</f>
        <v>0</v>
      </c>
      <c r="G29">
        <f>IFERROR(ROUND(State_lookup!L28/SUM(State_lookup!L2:L49)*National_totals!$H$11, 0), 0)</f>
        <v>0</v>
      </c>
      <c r="H29">
        <f>IFERROR(ROUND(State_lookup!L28/SUM(State_lookup!L2:L49)*National_totals!$I$11, 0), 0)</f>
        <v>0</v>
      </c>
    </row>
    <row r="30" spans="1:8" x14ac:dyDescent="0.45">
      <c r="A30" t="str">
        <f>State_lookup!B29</f>
        <v>New Jersey</v>
      </c>
      <c r="B30">
        <f>IFERROR(ROUND(State_lookup!L29/SUM(State_lookup!L2:L49)*National_totals!$C$11, 0), 0)</f>
        <v>0</v>
      </c>
      <c r="C30">
        <f>IFERROR(ROUND(State_lookup!L29/SUM(State_lookup!L2:L49)*National_totals!$D$11, 0), 0)</f>
        <v>0</v>
      </c>
      <c r="D30">
        <f>IFERROR(ROUND(State_lookup!L29/SUM(State_lookup!L2:L49)*National_totals!$E$11, 0), 0)</f>
        <v>0</v>
      </c>
      <c r="E30">
        <f>IFERROR(ROUND(State_lookup!L29/SUM(State_lookup!L2:L49)*National_totals!$F$11, 0), 0)</f>
        <v>648</v>
      </c>
      <c r="F30">
        <f>IFERROR(ROUND(State_lookup!L29/SUM(State_lookup!L2:L49)*National_totals!$G$11, 0), 0)</f>
        <v>0</v>
      </c>
      <c r="G30">
        <f>IFERROR(ROUND(State_lookup!L29/SUM(State_lookup!L2:L49)*National_totals!$H$11, 0), 0)</f>
        <v>0</v>
      </c>
      <c r="H30">
        <f>IFERROR(ROUND(State_lookup!L29/SUM(State_lookup!L2:L49)*National_totals!$I$11, 0), 0)</f>
        <v>0</v>
      </c>
    </row>
    <row r="31" spans="1:8" x14ac:dyDescent="0.45">
      <c r="A31" t="str">
        <f>State_lookup!B30</f>
        <v>New Mexico</v>
      </c>
      <c r="B31">
        <f>IFERROR(ROUND(State_lookup!L30/SUM(State_lookup!L2:L49)*National_totals!$C$11, 0), 0)</f>
        <v>0</v>
      </c>
      <c r="C31">
        <f>IFERROR(ROUND(State_lookup!L30/SUM(State_lookup!L2:L49)*National_totals!$D$11, 0), 0)</f>
        <v>0</v>
      </c>
      <c r="D31">
        <f>IFERROR(ROUND(State_lookup!L30/SUM(State_lookup!L2:L49)*National_totals!$E$11, 0), 0)</f>
        <v>0</v>
      </c>
      <c r="E31">
        <f>IFERROR(ROUND(State_lookup!L30/SUM(State_lookup!L2:L49)*National_totals!$F$11, 0), 0)</f>
        <v>100</v>
      </c>
      <c r="F31">
        <f>IFERROR(ROUND(State_lookup!L30/SUM(State_lookup!L2:L49)*National_totals!$G$11, 0), 0)</f>
        <v>0</v>
      </c>
      <c r="G31">
        <f>IFERROR(ROUND(State_lookup!L30/SUM(State_lookup!L2:L49)*National_totals!$H$11, 0), 0)</f>
        <v>0</v>
      </c>
      <c r="H31">
        <f>IFERROR(ROUND(State_lookup!L30/SUM(State_lookup!L2:L49)*National_totals!$I$11, 0), 0)</f>
        <v>0</v>
      </c>
    </row>
    <row r="32" spans="1:8" x14ac:dyDescent="0.45">
      <c r="A32" t="str">
        <f>State_lookup!B31</f>
        <v>New York</v>
      </c>
      <c r="B32">
        <f>IFERROR(ROUND(State_lookup!L31/SUM(State_lookup!L2:L49)*National_totals!$C$11, 0), 0)</f>
        <v>0</v>
      </c>
      <c r="C32">
        <f>IFERROR(ROUND(State_lookup!L31/SUM(State_lookup!L2:L49)*National_totals!$D$11, 0), 0)</f>
        <v>0</v>
      </c>
      <c r="D32">
        <f>IFERROR(ROUND(State_lookup!L31/SUM(State_lookup!L2:L49)*National_totals!$E$11, 0), 0)</f>
        <v>0</v>
      </c>
      <c r="E32">
        <f>IFERROR(ROUND(State_lookup!L31/SUM(State_lookup!L2:L49)*National_totals!$F$11, 0), 0)</f>
        <v>213</v>
      </c>
      <c r="F32">
        <f>IFERROR(ROUND(State_lookup!L31/SUM(State_lookup!L2:L49)*National_totals!$G$11, 0), 0)</f>
        <v>0</v>
      </c>
      <c r="G32">
        <f>IFERROR(ROUND(State_lookup!L31/SUM(State_lookup!L2:L49)*National_totals!$H$11, 0), 0)</f>
        <v>0</v>
      </c>
      <c r="H32">
        <f>IFERROR(ROUND(State_lookup!L31/SUM(State_lookup!L2:L49)*National_totals!$I$11, 0), 0)</f>
        <v>0</v>
      </c>
    </row>
    <row r="33" spans="1:8" x14ac:dyDescent="0.45">
      <c r="A33" t="str">
        <f>State_lookup!B32</f>
        <v>North Carolina</v>
      </c>
      <c r="B33">
        <f>IFERROR(ROUND(State_lookup!L32/SUM(State_lookup!L2:L49)*National_totals!$C$11, 0), 0)</f>
        <v>0</v>
      </c>
      <c r="C33">
        <f>IFERROR(ROUND(State_lookup!L32/SUM(State_lookup!L2:L49)*National_totals!$D$11, 0), 0)</f>
        <v>0</v>
      </c>
      <c r="D33">
        <f>IFERROR(ROUND(State_lookup!L32/SUM(State_lookup!L2:L49)*National_totals!$E$11, 0), 0)</f>
        <v>0</v>
      </c>
      <c r="E33">
        <f>IFERROR(ROUND(State_lookup!L32/SUM(State_lookup!L2:L49)*National_totals!$F$11, 0), 0)</f>
        <v>369</v>
      </c>
      <c r="F33">
        <f>IFERROR(ROUND(State_lookup!L32/SUM(State_lookup!L2:L49)*National_totals!$G$11, 0), 0)</f>
        <v>0</v>
      </c>
      <c r="G33">
        <f>IFERROR(ROUND(State_lookup!L32/SUM(State_lookup!L2:L49)*National_totals!$H$11, 0), 0)</f>
        <v>0</v>
      </c>
      <c r="H33">
        <f>IFERROR(ROUND(State_lookup!L32/SUM(State_lookup!L2:L49)*National_totals!$I$11, 0), 0)</f>
        <v>0</v>
      </c>
    </row>
    <row r="34" spans="1:8" x14ac:dyDescent="0.45">
      <c r="A34" t="str">
        <f>State_lookup!B33</f>
        <v>North Dakota</v>
      </c>
      <c r="B34">
        <f>IFERROR(ROUND(State_lookup!L33/SUM(State_lookup!L2:L49)*National_totals!$C$11, 0), 0)</f>
        <v>0</v>
      </c>
      <c r="C34">
        <f>IFERROR(ROUND(State_lookup!L33/SUM(State_lookup!L2:L49)*National_totals!$D$11, 0), 0)</f>
        <v>0</v>
      </c>
      <c r="D34">
        <f>IFERROR(ROUND(State_lookup!L33/SUM(State_lookup!L2:L49)*National_totals!$E$11, 0), 0)</f>
        <v>0</v>
      </c>
      <c r="E34">
        <f>IFERROR(ROUND(State_lookup!L33/SUM(State_lookup!L2:L49)*National_totals!$F$11, 0), 0)</f>
        <v>220</v>
      </c>
      <c r="F34">
        <f>IFERROR(ROUND(State_lookup!L33/SUM(State_lookup!L2:L49)*National_totals!$G$11, 0), 0)</f>
        <v>0</v>
      </c>
      <c r="G34">
        <f>IFERROR(ROUND(State_lookup!L33/SUM(State_lookup!L2:L49)*National_totals!$H$11, 0), 0)</f>
        <v>0</v>
      </c>
      <c r="H34">
        <f>IFERROR(ROUND(State_lookup!L33/SUM(State_lookup!L2:L49)*National_totals!$I$11, 0), 0)</f>
        <v>0</v>
      </c>
    </row>
    <row r="35" spans="1:8" x14ac:dyDescent="0.45">
      <c r="A35" t="str">
        <f>State_lookup!B34</f>
        <v>Ohio</v>
      </c>
      <c r="B35">
        <f>IFERROR(ROUND(State_lookup!L34/SUM(State_lookup!L2:L49)*National_totals!$C$11, 0), 0)</f>
        <v>0</v>
      </c>
      <c r="C35">
        <f>IFERROR(ROUND(State_lookup!L34/SUM(State_lookup!L2:L49)*National_totals!$D$11, 0), 0)</f>
        <v>0</v>
      </c>
      <c r="D35">
        <f>IFERROR(ROUND(State_lookup!L34/SUM(State_lookup!L2:L49)*National_totals!$E$11, 0), 0)</f>
        <v>0</v>
      </c>
      <c r="E35">
        <f>IFERROR(ROUND(State_lookup!L34/SUM(State_lookup!L2:L49)*National_totals!$F$11, 0), 0)</f>
        <v>941</v>
      </c>
      <c r="F35">
        <f>IFERROR(ROUND(State_lookup!L34/SUM(State_lookup!L2:L49)*National_totals!$G$11, 0), 0)</f>
        <v>0</v>
      </c>
      <c r="G35">
        <f>IFERROR(ROUND(State_lookup!L34/SUM(State_lookup!L2:L49)*National_totals!$H$11, 0), 0)</f>
        <v>0</v>
      </c>
      <c r="H35">
        <f>IFERROR(ROUND(State_lookup!L34/SUM(State_lookup!L2:L49)*National_totals!$I$11, 0), 0)</f>
        <v>0</v>
      </c>
    </row>
    <row r="36" spans="1:8" x14ac:dyDescent="0.45">
      <c r="A36" t="str">
        <f>State_lookup!B35</f>
        <v>Oklahoma</v>
      </c>
      <c r="B36">
        <f>IFERROR(ROUND(State_lookup!L35/SUM(State_lookup!L2:L49)*National_totals!$C$11, 0), 0)</f>
        <v>0</v>
      </c>
      <c r="C36">
        <f>IFERROR(ROUND(State_lookup!L35/SUM(State_lookup!L2:L49)*National_totals!$D$11, 0), 0)</f>
        <v>0</v>
      </c>
      <c r="D36">
        <f>IFERROR(ROUND(State_lookup!L35/SUM(State_lookup!L2:L49)*National_totals!$E$11, 0), 0)</f>
        <v>0</v>
      </c>
      <c r="E36">
        <f>IFERROR(ROUND(State_lookup!L35/SUM(State_lookup!L2:L49)*National_totals!$F$11, 0), 0)</f>
        <v>174</v>
      </c>
      <c r="F36">
        <f>IFERROR(ROUND(State_lookup!L35/SUM(State_lookup!L2:L49)*National_totals!$G$11, 0), 0)</f>
        <v>0</v>
      </c>
      <c r="G36">
        <f>IFERROR(ROUND(State_lookup!L35/SUM(State_lookup!L2:L49)*National_totals!$H$11, 0), 0)</f>
        <v>0</v>
      </c>
      <c r="H36">
        <f>IFERROR(ROUND(State_lookup!L35/SUM(State_lookup!L2:L49)*National_totals!$I$11, 0), 0)</f>
        <v>0</v>
      </c>
    </row>
    <row r="37" spans="1:8" x14ac:dyDescent="0.45">
      <c r="A37" t="str">
        <f>State_lookup!B36</f>
        <v>Oregon</v>
      </c>
      <c r="B37">
        <f>IFERROR(ROUND(State_lookup!L36/SUM(State_lookup!L2:L49)*National_totals!$C$11, 0), 0)</f>
        <v>0</v>
      </c>
      <c r="C37">
        <f>IFERROR(ROUND(State_lookup!L36/SUM(State_lookup!L2:L49)*National_totals!$D$11, 0), 0)</f>
        <v>0</v>
      </c>
      <c r="D37">
        <f>IFERROR(ROUND(State_lookup!L36/SUM(State_lookup!L2:L49)*National_totals!$E$11, 0), 0)</f>
        <v>0</v>
      </c>
      <c r="E37">
        <f>IFERROR(ROUND(State_lookup!L36/SUM(State_lookup!L2:L49)*National_totals!$F$11, 0), 0)</f>
        <v>318</v>
      </c>
      <c r="F37">
        <f>IFERROR(ROUND(State_lookup!L36/SUM(State_lookup!L2:L49)*National_totals!$G$11, 0), 0)</f>
        <v>0</v>
      </c>
      <c r="G37">
        <f>IFERROR(ROUND(State_lookup!L36/SUM(State_lookup!L2:L49)*National_totals!$H$11, 0), 0)</f>
        <v>0</v>
      </c>
      <c r="H37">
        <f>IFERROR(ROUND(State_lookup!L36/SUM(State_lookup!L2:L49)*National_totals!$I$11, 0), 0)</f>
        <v>0</v>
      </c>
    </row>
    <row r="38" spans="1:8" x14ac:dyDescent="0.45">
      <c r="A38" t="str">
        <f>State_lookup!B37</f>
        <v>Pennsylvania</v>
      </c>
      <c r="B38">
        <f>IFERROR(ROUND(State_lookup!L37/SUM(State_lookup!L2:L49)*National_totals!$C$11, 0), 0)</f>
        <v>0</v>
      </c>
      <c r="C38">
        <f>IFERROR(ROUND(State_lookup!L37/SUM(State_lookup!L2:L49)*National_totals!$D$11, 0), 0)</f>
        <v>0</v>
      </c>
      <c r="D38">
        <f>IFERROR(ROUND(State_lookup!L37/SUM(State_lookup!L2:L49)*National_totals!$E$11, 0), 0)</f>
        <v>0</v>
      </c>
      <c r="E38">
        <f>IFERROR(ROUND(State_lookup!L37/SUM(State_lookup!L2:L49)*National_totals!$F$11, 0), 0)</f>
        <v>891</v>
      </c>
      <c r="F38">
        <f>IFERROR(ROUND(State_lookup!L37/SUM(State_lookup!L2:L49)*National_totals!$G$11, 0), 0)</f>
        <v>0</v>
      </c>
      <c r="G38">
        <f>IFERROR(ROUND(State_lookup!L37/SUM(State_lookup!L2:L49)*National_totals!$H$11, 0), 0)</f>
        <v>0</v>
      </c>
      <c r="H38">
        <f>IFERROR(ROUND(State_lookup!L37/SUM(State_lookup!L2:L49)*National_totals!$I$11, 0), 0)</f>
        <v>0</v>
      </c>
    </row>
    <row r="39" spans="1:8" x14ac:dyDescent="0.45">
      <c r="A39" t="str">
        <f>State_lookup!B38</f>
        <v>Rhode Island</v>
      </c>
      <c r="B39">
        <f>IFERROR(ROUND(State_lookup!L38/SUM(State_lookup!L2:L49)*National_totals!$C$11, 0), 0)</f>
        <v>0</v>
      </c>
      <c r="C39">
        <f>IFERROR(ROUND(State_lookup!L38/SUM(State_lookup!L2:L49)*National_totals!$D$11, 0), 0)</f>
        <v>0</v>
      </c>
      <c r="D39">
        <f>IFERROR(ROUND(State_lookup!L38/SUM(State_lookup!L2:L49)*National_totals!$E$11, 0), 0)</f>
        <v>0</v>
      </c>
      <c r="E39">
        <f>IFERROR(ROUND(State_lookup!L38/SUM(State_lookup!L2:L49)*National_totals!$F$11, 0), 0)</f>
        <v>3</v>
      </c>
      <c r="F39">
        <f>IFERROR(ROUND(State_lookup!L38/SUM(State_lookup!L2:L49)*National_totals!$G$11, 0), 0)</f>
        <v>0</v>
      </c>
      <c r="G39">
        <f>IFERROR(ROUND(State_lookup!L38/SUM(State_lookup!L2:L49)*National_totals!$H$11, 0), 0)</f>
        <v>0</v>
      </c>
      <c r="H39">
        <f>IFERROR(ROUND(State_lookup!L38/SUM(State_lookup!L2:L49)*National_totals!$I$11, 0), 0)</f>
        <v>0</v>
      </c>
    </row>
    <row r="40" spans="1:8" x14ac:dyDescent="0.45">
      <c r="A40" t="str">
        <f>State_lookup!B39</f>
        <v>South Carolina</v>
      </c>
      <c r="B40">
        <f>IFERROR(ROUND(State_lookup!L39/SUM(State_lookup!L2:L49)*National_totals!$C$11, 0), 0)</f>
        <v>0</v>
      </c>
      <c r="C40">
        <f>IFERROR(ROUND(State_lookup!L39/SUM(State_lookup!L2:L49)*National_totals!$D$11, 0), 0)</f>
        <v>0</v>
      </c>
      <c r="D40">
        <f>IFERROR(ROUND(State_lookup!L39/SUM(State_lookup!L2:L49)*National_totals!$E$11, 0), 0)</f>
        <v>0</v>
      </c>
      <c r="E40">
        <f>IFERROR(ROUND(State_lookup!L39/SUM(State_lookup!L2:L49)*National_totals!$F$11, 0), 0)</f>
        <v>386</v>
      </c>
      <c r="F40">
        <f>IFERROR(ROUND(State_lookup!L39/SUM(State_lookup!L2:L49)*National_totals!$G$11, 0), 0)</f>
        <v>0</v>
      </c>
      <c r="G40">
        <f>IFERROR(ROUND(State_lookup!L39/SUM(State_lookup!L2:L49)*National_totals!$H$11, 0), 0)</f>
        <v>0</v>
      </c>
      <c r="H40">
        <f>IFERROR(ROUND(State_lookup!L39/SUM(State_lookup!L2:L49)*National_totals!$I$11, 0), 0)</f>
        <v>0</v>
      </c>
    </row>
    <row r="41" spans="1:8" x14ac:dyDescent="0.45">
      <c r="A41" t="str">
        <f>State_lookup!B40</f>
        <v>South Dakota</v>
      </c>
      <c r="B41">
        <f>IFERROR(ROUND(State_lookup!L40/SUM(State_lookup!L2:L49)*National_totals!$C$11, 0), 0)</f>
        <v>0</v>
      </c>
      <c r="C41">
        <f>IFERROR(ROUND(State_lookup!L40/SUM(State_lookup!L2:L49)*National_totals!$D$11, 0), 0)</f>
        <v>0</v>
      </c>
      <c r="D41">
        <f>IFERROR(ROUND(State_lookup!L40/SUM(State_lookup!L2:L49)*National_totals!$E$11, 0), 0)</f>
        <v>0</v>
      </c>
      <c r="E41">
        <f>IFERROR(ROUND(State_lookup!L40/SUM(State_lookup!L2:L49)*National_totals!$F$11, 0), 0)</f>
        <v>89</v>
      </c>
      <c r="F41">
        <f>IFERROR(ROUND(State_lookup!L40/SUM(State_lookup!L2:L49)*National_totals!$G$11, 0), 0)</f>
        <v>0</v>
      </c>
      <c r="G41">
        <f>IFERROR(ROUND(State_lookup!L40/SUM(State_lookup!L2:L49)*National_totals!$H$11, 0), 0)</f>
        <v>0</v>
      </c>
      <c r="H41">
        <f>IFERROR(ROUND(State_lookup!L40/SUM(State_lookup!L2:L49)*National_totals!$I$11, 0), 0)</f>
        <v>0</v>
      </c>
    </row>
    <row r="42" spans="1:8" x14ac:dyDescent="0.45">
      <c r="A42" t="str">
        <f>State_lookup!B41</f>
        <v>Tennessee</v>
      </c>
      <c r="B42">
        <f>IFERROR(ROUND(State_lookup!L41/SUM(State_lookup!L2:L49)*National_totals!$C$11, 0), 0)</f>
        <v>0</v>
      </c>
      <c r="C42">
        <f>IFERROR(ROUND(State_lookup!L41/SUM(State_lookup!L2:L49)*National_totals!$D$11, 0), 0)</f>
        <v>0</v>
      </c>
      <c r="D42">
        <f>IFERROR(ROUND(State_lookup!L41/SUM(State_lookup!L2:L49)*National_totals!$E$11, 0), 0)</f>
        <v>0</v>
      </c>
      <c r="E42">
        <f>IFERROR(ROUND(State_lookup!L41/SUM(State_lookup!L2:L49)*National_totals!$F$11, 0), 0)</f>
        <v>511</v>
      </c>
      <c r="F42">
        <f>IFERROR(ROUND(State_lookup!L41/SUM(State_lookup!L2:L49)*National_totals!$G$11, 0), 0)</f>
        <v>0</v>
      </c>
      <c r="G42">
        <f>IFERROR(ROUND(State_lookup!L41/SUM(State_lookup!L2:L49)*National_totals!$H$11, 0), 0)</f>
        <v>0</v>
      </c>
      <c r="H42">
        <f>IFERROR(ROUND(State_lookup!L41/SUM(State_lookup!L2:L49)*National_totals!$I$11, 0), 0)</f>
        <v>0</v>
      </c>
    </row>
    <row r="43" spans="1:8" x14ac:dyDescent="0.45">
      <c r="A43" t="str">
        <f>State_lookup!B42</f>
        <v>Texas</v>
      </c>
      <c r="B43">
        <f>IFERROR(ROUND(State_lookup!L42/SUM(State_lookup!L2:L49)*National_totals!$C$11, 0), 0)</f>
        <v>0</v>
      </c>
      <c r="C43">
        <f>IFERROR(ROUND(State_lookup!L42/SUM(State_lookup!L2:L49)*National_totals!$D$11, 0), 0)</f>
        <v>0</v>
      </c>
      <c r="D43">
        <f>IFERROR(ROUND(State_lookup!L42/SUM(State_lookup!L2:L49)*National_totals!$E$11, 0), 0)</f>
        <v>0</v>
      </c>
      <c r="E43">
        <f>IFERROR(ROUND(State_lookup!L42/SUM(State_lookup!L2:L49)*National_totals!$F$11, 0), 0)</f>
        <v>2205</v>
      </c>
      <c r="F43">
        <f>IFERROR(ROUND(State_lookup!L42/SUM(State_lookup!L2:L49)*National_totals!$G$11, 0), 0)</f>
        <v>0</v>
      </c>
      <c r="G43">
        <f>IFERROR(ROUND(State_lookup!L42/SUM(State_lookup!L2:L49)*National_totals!$H$11, 0), 0)</f>
        <v>0</v>
      </c>
      <c r="H43">
        <f>IFERROR(ROUND(State_lookup!L42/SUM(State_lookup!L2:L49)*National_totals!$I$11, 0), 0)</f>
        <v>0</v>
      </c>
    </row>
    <row r="44" spans="1:8" x14ac:dyDescent="0.45">
      <c r="A44" t="str">
        <f>State_lookup!B43</f>
        <v>Utah</v>
      </c>
      <c r="B44">
        <f>IFERROR(ROUND(State_lookup!L43/SUM(State_lookup!L2:L49)*National_totals!$C$11, 0), 0)</f>
        <v>0</v>
      </c>
      <c r="C44">
        <f>IFERROR(ROUND(State_lookup!L43/SUM(State_lookup!L2:L49)*National_totals!$D$11, 0), 0)</f>
        <v>0</v>
      </c>
      <c r="D44">
        <f>IFERROR(ROUND(State_lookup!L43/SUM(State_lookup!L2:L49)*National_totals!$E$11, 0), 0)</f>
        <v>0</v>
      </c>
      <c r="E44">
        <f>IFERROR(ROUND(State_lookup!L43/SUM(State_lookup!L2:L49)*National_totals!$F$11, 0), 0)</f>
        <v>219</v>
      </c>
      <c r="F44">
        <f>IFERROR(ROUND(State_lookup!L43/SUM(State_lookup!L2:L49)*National_totals!$G$11, 0), 0)</f>
        <v>0</v>
      </c>
      <c r="G44">
        <f>IFERROR(ROUND(State_lookup!L43/SUM(State_lookup!L2:L49)*National_totals!$H$11, 0), 0)</f>
        <v>0</v>
      </c>
      <c r="H44">
        <f>IFERROR(ROUND(State_lookup!L43/SUM(State_lookup!L2:L49)*National_totals!$I$11, 0), 0)</f>
        <v>0</v>
      </c>
    </row>
    <row r="45" spans="1:8" x14ac:dyDescent="0.45">
      <c r="A45" t="str">
        <f>State_lookup!B44</f>
        <v>Vermont</v>
      </c>
      <c r="B45">
        <f>IFERROR(ROUND(State_lookup!L44/SUM(State_lookup!L2:L49)*National_totals!$C$11, 0), 0)</f>
        <v>0</v>
      </c>
      <c r="C45">
        <f>IFERROR(ROUND(State_lookup!L44/SUM(State_lookup!L2:L49)*National_totals!$D$11, 0), 0)</f>
        <v>0</v>
      </c>
      <c r="D45">
        <f>IFERROR(ROUND(State_lookup!L44/SUM(State_lookup!L2:L49)*National_totals!$E$11, 0), 0)</f>
        <v>0</v>
      </c>
      <c r="E45">
        <f>IFERROR(ROUND(State_lookup!L44/SUM(State_lookup!L2:L49)*National_totals!$F$11, 0), 0)</f>
        <v>8</v>
      </c>
      <c r="F45">
        <f>IFERROR(ROUND(State_lookup!L44/SUM(State_lookup!L2:L49)*National_totals!$G$11, 0), 0)</f>
        <v>0</v>
      </c>
      <c r="G45">
        <f>IFERROR(ROUND(State_lookup!L44/SUM(State_lookup!L2:L49)*National_totals!$H$11, 0), 0)</f>
        <v>0</v>
      </c>
      <c r="H45">
        <f>IFERROR(ROUND(State_lookup!L44/SUM(State_lookup!L2:L49)*National_totals!$I$11, 0), 0)</f>
        <v>0</v>
      </c>
    </row>
    <row r="46" spans="1:8" x14ac:dyDescent="0.45">
      <c r="A46" t="str">
        <f>State_lookup!B45</f>
        <v>Virginia</v>
      </c>
      <c r="B46">
        <f>IFERROR(ROUND(State_lookup!L45/SUM(State_lookup!L2:L49)*National_totals!$C$11, 0), 0)</f>
        <v>0</v>
      </c>
      <c r="C46">
        <f>IFERROR(ROUND(State_lookup!L45/SUM(State_lookup!L2:L49)*National_totals!$D$11, 0), 0)</f>
        <v>0</v>
      </c>
      <c r="D46">
        <f>IFERROR(ROUND(State_lookup!L45/SUM(State_lookup!L2:L49)*National_totals!$E$11, 0), 0)</f>
        <v>0</v>
      </c>
      <c r="E46">
        <f>IFERROR(ROUND(State_lookup!L45/SUM(State_lookup!L2:L49)*National_totals!$F$11, 0), 0)</f>
        <v>617</v>
      </c>
      <c r="F46">
        <f>IFERROR(ROUND(State_lookup!L45/SUM(State_lookup!L2:L49)*National_totals!$G$11, 0), 0)</f>
        <v>0</v>
      </c>
      <c r="G46">
        <f>IFERROR(ROUND(State_lookup!L45/SUM(State_lookup!L2:L49)*National_totals!$H$11, 0), 0)</f>
        <v>0</v>
      </c>
      <c r="H46">
        <f>IFERROR(ROUND(State_lookup!L45/SUM(State_lookup!L2:L49)*National_totals!$I$11, 0), 0)</f>
        <v>0</v>
      </c>
    </row>
    <row r="47" spans="1:8" x14ac:dyDescent="0.45">
      <c r="A47" t="str">
        <f>State_lookup!B46</f>
        <v>Washington</v>
      </c>
      <c r="B47">
        <f>IFERROR(ROUND(State_lookup!L46/SUM(State_lookup!L2:L49)*National_totals!$C$11, 0), 0)</f>
        <v>0</v>
      </c>
      <c r="C47">
        <f>IFERROR(ROUND(State_lookup!L46/SUM(State_lookup!L2:L49)*National_totals!$D$11, 0), 0)</f>
        <v>0</v>
      </c>
      <c r="D47">
        <f>IFERROR(ROUND(State_lookup!L46/SUM(State_lookup!L2:L49)*National_totals!$E$11, 0), 0)</f>
        <v>0</v>
      </c>
      <c r="E47">
        <f>IFERROR(ROUND(State_lookup!L46/SUM(State_lookup!L2:L49)*National_totals!$F$11, 0), 0)</f>
        <v>879</v>
      </c>
      <c r="F47">
        <f>IFERROR(ROUND(State_lookup!L46/SUM(State_lookup!L2:L49)*National_totals!$G$11, 0), 0)</f>
        <v>0</v>
      </c>
      <c r="G47">
        <f>IFERROR(ROUND(State_lookup!L46/SUM(State_lookup!L2:L49)*National_totals!$H$11, 0), 0)</f>
        <v>0</v>
      </c>
      <c r="H47">
        <f>IFERROR(ROUND(State_lookup!L46/SUM(State_lookup!L2:L49)*National_totals!$I$11, 0), 0)</f>
        <v>0</v>
      </c>
    </row>
    <row r="48" spans="1:8" x14ac:dyDescent="0.45">
      <c r="A48" t="str">
        <f>State_lookup!B47</f>
        <v>West Virginia</v>
      </c>
      <c r="B48">
        <f>IFERROR(ROUND(State_lookup!L47/SUM(State_lookup!L2:L49)*National_totals!$C$11, 0), 0)</f>
        <v>0</v>
      </c>
      <c r="C48">
        <f>IFERROR(ROUND(State_lookup!L47/SUM(State_lookup!L2:L49)*National_totals!$D$11, 0), 0)</f>
        <v>0</v>
      </c>
      <c r="D48">
        <f>IFERROR(ROUND(State_lookup!L47/SUM(State_lookup!L2:L49)*National_totals!$E$11, 0), 0)</f>
        <v>0</v>
      </c>
      <c r="E48">
        <f>IFERROR(ROUND(State_lookup!L47/SUM(State_lookup!L2:L49)*National_totals!$F$11, 0), 0)</f>
        <v>239</v>
      </c>
      <c r="F48">
        <f>IFERROR(ROUND(State_lookup!L47/SUM(State_lookup!L2:L49)*National_totals!$G$11, 0), 0)</f>
        <v>0</v>
      </c>
      <c r="G48">
        <f>IFERROR(ROUND(State_lookup!L47/SUM(State_lookup!L2:L49)*National_totals!$H$11, 0), 0)</f>
        <v>0</v>
      </c>
      <c r="H48">
        <f>IFERROR(ROUND(State_lookup!L47/SUM(State_lookup!L2:L49)*National_totals!$I$11, 0), 0)</f>
        <v>0</v>
      </c>
    </row>
    <row r="49" spans="1:8" x14ac:dyDescent="0.45">
      <c r="A49" t="str">
        <f>State_lookup!B48</f>
        <v>Wisconsin</v>
      </c>
      <c r="B49">
        <f>IFERROR(ROUND(State_lookup!L48/SUM(State_lookup!L2:L49)*National_totals!$C$11, 0), 0)</f>
        <v>0</v>
      </c>
      <c r="C49">
        <f>IFERROR(ROUND(State_lookup!L48/SUM(State_lookup!L2:L49)*National_totals!$D$11, 0), 0)</f>
        <v>0</v>
      </c>
      <c r="D49">
        <f>IFERROR(ROUND(State_lookup!L48/SUM(State_lookup!L2:L49)*National_totals!$E$11, 0), 0)</f>
        <v>0</v>
      </c>
      <c r="E49">
        <f>IFERROR(ROUND(State_lookup!L48/SUM(State_lookup!L2:L49)*National_totals!$F$11, 0), 0)</f>
        <v>293</v>
      </c>
      <c r="F49">
        <f>IFERROR(ROUND(State_lookup!L48/SUM(State_lookup!L2:L49)*National_totals!$G$11, 0), 0)</f>
        <v>0</v>
      </c>
      <c r="G49">
        <f>IFERROR(ROUND(State_lookup!L48/SUM(State_lookup!L2:L49)*National_totals!$H$11, 0), 0)</f>
        <v>0</v>
      </c>
      <c r="H49">
        <f>IFERROR(ROUND(State_lookup!L48/SUM(State_lookup!L2:L49)*National_totals!$I$11, 0), 0)</f>
        <v>0</v>
      </c>
    </row>
    <row r="50" spans="1:8" x14ac:dyDescent="0.45">
      <c r="A50" t="str">
        <f>State_lookup!B49</f>
        <v>Wyoming</v>
      </c>
      <c r="B50">
        <f>IFERROR(ROUND(State_lookup!L49/SUM(State_lookup!L2:L49)*National_totals!$C$11, 0), 0)</f>
        <v>0</v>
      </c>
      <c r="C50">
        <f>IFERROR(ROUND(State_lookup!L49/SUM(State_lookup!L2:L49)*National_totals!$D$11, 0), 0)</f>
        <v>0</v>
      </c>
      <c r="D50">
        <f>IFERROR(ROUND(State_lookup!L49/SUM(State_lookup!L2:L49)*National_totals!$E$11, 0), 0)</f>
        <v>0</v>
      </c>
      <c r="E50">
        <f>IFERROR(ROUND(State_lookup!L49/SUM(State_lookup!L2:L49)*National_totals!$F$11, 0), 0)</f>
        <v>928</v>
      </c>
      <c r="F50">
        <f>IFERROR(ROUND(State_lookup!L49/SUM(State_lookup!L2:L49)*National_totals!$G$11, 0), 0)</f>
        <v>0</v>
      </c>
      <c r="G50">
        <f>IFERROR(ROUND(State_lookup!L49/SUM(State_lookup!L2:L49)*National_totals!$H$11, 0), 0)</f>
        <v>0</v>
      </c>
      <c r="H50">
        <f>IFERROR(ROUND(State_lookup!L49/SUM(State_lookup!L2:L49)*National_totals!$I$11, 0),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0</v>
      </c>
      <c r="E51" s="4">
        <f t="shared" si="0"/>
        <v>24525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National_totals!$C$11</f>
        <v>0</v>
      </c>
      <c r="C52" s="4">
        <f>National_totals!$D$11</f>
        <v>0</v>
      </c>
      <c r="D52" s="4">
        <f>National_totals!$E$11</f>
        <v>0</v>
      </c>
      <c r="E52" s="4">
        <f>National_totals!$F$11</f>
        <v>24526</v>
      </c>
      <c r="F52" s="4">
        <f>National_totals!$G$11</f>
        <v>0</v>
      </c>
      <c r="G52" s="4">
        <f>National_totals!$H$11</f>
        <v>0</v>
      </c>
      <c r="H52" s="4">
        <f>National_totals!$I$11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-4.0773057163826147E-5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347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IFERROR(ROUND(State_lookup!N2/SUM(State_lookup!N2:N49)*National_totals!$C$12, 0), 0)</f>
        <v>0</v>
      </c>
      <c r="C3">
        <f>IFERROR(ROUND(State_lookup!N2/SUM(State_lookup!N2:N49)*National_totals!$D$12, 0), 0)</f>
        <v>0</v>
      </c>
      <c r="D3">
        <f>IFERROR(ROUND(State_lookup!N2/SUM(State_lookup!N2:N49)*National_totals!$E$12, 0), 0)</f>
        <v>0</v>
      </c>
      <c r="E3">
        <f>IFERROR(ROUND(IF(State_lookup!X2&gt;0,MAX(State_lookup!N2/SUM(State_lookup!N2:N49)*National_totals!$F$12, Keys!$C$60),State_lookup!N2/SUM(State_lookup!N2:N49)*National_totals!$F$12), 0), 0)</f>
        <v>4</v>
      </c>
      <c r="F3">
        <f>IFERROR(ROUND(State_lookup!N2/SUM(State_lookup!N2:N49)*National_totals!$G$12, 0), 0)</f>
        <v>0</v>
      </c>
      <c r="G3">
        <f>IFERROR(ROUND(State_lookup!N2/SUM(State_lookup!N2:N49)*National_totals!$H$12, 0), 0)</f>
        <v>0</v>
      </c>
      <c r="H3">
        <f>IFERROR(ROUND(State_lookup!N2/SUM(State_lookup!N2:N49)*National_totals!$I$12, 0), 0)</f>
        <v>0</v>
      </c>
    </row>
    <row r="4" spans="1:8" x14ac:dyDescent="0.45">
      <c r="A4" t="str">
        <f>State_lookup!B3</f>
        <v>Arizona</v>
      </c>
      <c r="B4">
        <f>IFERROR(ROUND(State_lookup!N3/SUM(State_lookup!N2:N49)*National_totals!$C$12, 0), 0)</f>
        <v>0</v>
      </c>
      <c r="C4">
        <f>IFERROR(ROUND(State_lookup!N3/SUM(State_lookup!N2:N49)*National_totals!$D$12, 0), 0)</f>
        <v>0</v>
      </c>
      <c r="D4">
        <f>IFERROR(ROUND(State_lookup!N3/SUM(State_lookup!N2:N49)*National_totals!$E$12, 0), 0)</f>
        <v>0</v>
      </c>
      <c r="E4">
        <f>IFERROR(ROUND(IF(State_lookup!X3&gt;0,MAX(State_lookup!N3/SUM(State_lookup!N2:N49)*National_totals!$F$12, Keys!$C$60),State_lookup!N3/SUM(State_lookup!N2:N49)*National_totals!$F$12), 0), 0)</f>
        <v>0</v>
      </c>
      <c r="F4">
        <f>IFERROR(ROUND(State_lookup!N3/SUM(State_lookup!N2:N49)*National_totals!$G$12, 0), 0)</f>
        <v>0</v>
      </c>
      <c r="G4">
        <f>IFERROR(ROUND(State_lookup!N3/SUM(State_lookup!N2:N49)*National_totals!$H$12, 0), 0)</f>
        <v>0</v>
      </c>
      <c r="H4">
        <f>IFERROR(ROUND(State_lookup!N3/SUM(State_lookup!N2:N49)*National_totals!$I$12, 0), 0)</f>
        <v>0</v>
      </c>
    </row>
    <row r="5" spans="1:8" x14ac:dyDescent="0.45">
      <c r="A5" t="str">
        <f>State_lookup!B4</f>
        <v>Arkansas</v>
      </c>
      <c r="B5">
        <f>IFERROR(ROUND(State_lookup!N4/SUM(State_lookup!N2:N49)*National_totals!$C$12, 0), 0)</f>
        <v>0</v>
      </c>
      <c r="C5">
        <f>IFERROR(ROUND(State_lookup!N4/SUM(State_lookup!N2:N49)*National_totals!$D$12, 0), 0)</f>
        <v>0</v>
      </c>
      <c r="D5">
        <f>IFERROR(ROUND(State_lookup!N4/SUM(State_lookup!N2:N49)*National_totals!$E$12, 0), 0)</f>
        <v>0</v>
      </c>
      <c r="E5">
        <f>IFERROR(ROUND(IF(State_lookup!X4&gt;0,MAX(State_lookup!N4/SUM(State_lookup!N2:N49)*National_totals!$F$12, Keys!$C$60),State_lookup!N4/SUM(State_lookup!N2:N49)*National_totals!$F$12), 0), 0)</f>
        <v>0</v>
      </c>
      <c r="F5">
        <f>IFERROR(ROUND(State_lookup!N4/SUM(State_lookup!N2:N49)*National_totals!$G$12, 0), 0)</f>
        <v>0</v>
      </c>
      <c r="G5">
        <f>IFERROR(ROUND(State_lookup!N4/SUM(State_lookup!N2:N49)*National_totals!$H$12, 0), 0)</f>
        <v>0</v>
      </c>
      <c r="H5">
        <f>IFERROR(ROUND(State_lookup!N4/SUM(State_lookup!N2:N49)*National_totals!$I$12, 0), 0)</f>
        <v>0</v>
      </c>
    </row>
    <row r="6" spans="1:8" x14ac:dyDescent="0.45">
      <c r="A6" t="str">
        <f>State_lookup!B5</f>
        <v>California</v>
      </c>
      <c r="B6">
        <f>IFERROR(ROUND(State_lookup!N5/SUM(State_lookup!N2:N49)*National_totals!$C$12, 0), 0)</f>
        <v>0</v>
      </c>
      <c r="C6">
        <f>IFERROR(ROUND(State_lookup!N5/SUM(State_lookup!N2:N49)*National_totals!$D$12, 0), 0)</f>
        <v>0</v>
      </c>
      <c r="D6">
        <f>IFERROR(ROUND(State_lookup!N5/SUM(State_lookup!N2:N49)*National_totals!$E$12, 0), 0)</f>
        <v>0</v>
      </c>
      <c r="E6">
        <f>IFERROR(ROUND(IF(State_lookup!X5&gt;0,MAX(State_lookup!N5/SUM(State_lookup!N2:N49)*National_totals!$F$12, Keys!$C$60),State_lookup!N5/SUM(State_lookup!N2:N49)*National_totals!$F$12), 0), 0)</f>
        <v>14</v>
      </c>
      <c r="F6">
        <f>IFERROR(ROUND(State_lookup!N5/SUM(State_lookup!N2:N49)*National_totals!$G$12, 0), 0)</f>
        <v>0</v>
      </c>
      <c r="G6">
        <f>IFERROR(ROUND(State_lookup!N5/SUM(State_lookup!N2:N49)*National_totals!$H$12, 0), 0)</f>
        <v>0</v>
      </c>
      <c r="H6">
        <f>IFERROR(ROUND(State_lookup!N5/SUM(State_lookup!N2:N49)*National_totals!$I$12, 0), 0)</f>
        <v>0</v>
      </c>
    </row>
    <row r="7" spans="1:8" x14ac:dyDescent="0.45">
      <c r="A7" t="str">
        <f>State_lookup!B6</f>
        <v>Colorado</v>
      </c>
      <c r="B7">
        <f>IFERROR(ROUND(State_lookup!N6/SUM(State_lookup!N2:N49)*National_totals!$C$12, 0), 0)</f>
        <v>0</v>
      </c>
      <c r="C7">
        <f>IFERROR(ROUND(State_lookup!N6/SUM(State_lookup!N2:N49)*National_totals!$D$12, 0), 0)</f>
        <v>0</v>
      </c>
      <c r="D7">
        <f>IFERROR(ROUND(State_lookup!N6/SUM(State_lookup!N2:N49)*National_totals!$E$12, 0), 0)</f>
        <v>0</v>
      </c>
      <c r="E7">
        <f>IFERROR(ROUND(IF(State_lookup!X6&gt;0,MAX(State_lookup!N6/SUM(State_lookup!N2:N49)*National_totals!$F$12, Keys!$C$60),State_lookup!N6/SUM(State_lookup!N2:N49)*National_totals!$F$12), 0), 0)</f>
        <v>0</v>
      </c>
      <c r="F7">
        <f>IFERROR(ROUND(State_lookup!N6/SUM(State_lookup!N2:N49)*National_totals!$G$12, 0), 0)</f>
        <v>0</v>
      </c>
      <c r="G7">
        <f>IFERROR(ROUND(State_lookup!N6/SUM(State_lookup!N2:N49)*National_totals!$H$12, 0), 0)</f>
        <v>0</v>
      </c>
      <c r="H7">
        <f>IFERROR(ROUND(State_lookup!N6/SUM(State_lookup!N2:N49)*National_totals!$I$12, 0), 0)</f>
        <v>0</v>
      </c>
    </row>
    <row r="8" spans="1:8" x14ac:dyDescent="0.45">
      <c r="A8" t="str">
        <f>State_lookup!B7</f>
        <v>Connecticut</v>
      </c>
      <c r="B8">
        <f>IFERROR(ROUND(State_lookup!N7/SUM(State_lookup!N2:N49)*National_totals!$C$12, 0), 0)</f>
        <v>0</v>
      </c>
      <c r="C8">
        <f>IFERROR(ROUND(State_lookup!N7/SUM(State_lookup!N2:N49)*National_totals!$D$12, 0), 0)</f>
        <v>0</v>
      </c>
      <c r="D8">
        <f>IFERROR(ROUND(State_lookup!N7/SUM(State_lookup!N2:N49)*National_totals!$E$12, 0), 0)</f>
        <v>0</v>
      </c>
      <c r="E8">
        <f>IFERROR(ROUND(IF(State_lookup!X7&gt;0,MAX(State_lookup!N7/SUM(State_lookup!N2:N49)*National_totals!$F$12, Keys!$C$60),State_lookup!N7/SUM(State_lookup!N2:N49)*National_totals!$F$12), 0), 0)</f>
        <v>0</v>
      </c>
      <c r="F8">
        <f>IFERROR(ROUND(State_lookup!N7/SUM(State_lookup!N2:N49)*National_totals!$G$12, 0), 0)</f>
        <v>0</v>
      </c>
      <c r="G8">
        <f>IFERROR(ROUND(State_lookup!N7/SUM(State_lookup!N2:N49)*National_totals!$H$12, 0), 0)</f>
        <v>0</v>
      </c>
      <c r="H8">
        <f>IFERROR(ROUND(State_lookup!N7/SUM(State_lookup!N2:N49)*National_totals!$I$12, 0), 0)</f>
        <v>0</v>
      </c>
    </row>
    <row r="9" spans="1:8" x14ac:dyDescent="0.45">
      <c r="A9" t="str">
        <f>State_lookup!B8</f>
        <v>Delaware</v>
      </c>
      <c r="B9">
        <f>IFERROR(ROUND(State_lookup!N8/SUM(State_lookup!N2:N49)*National_totals!$C$12, 0), 0)</f>
        <v>0</v>
      </c>
      <c r="C9">
        <f>IFERROR(ROUND(State_lookup!N8/SUM(State_lookup!N2:N49)*National_totals!$D$12, 0), 0)</f>
        <v>0</v>
      </c>
      <c r="D9">
        <f>IFERROR(ROUND(State_lookup!N8/SUM(State_lookup!N2:N49)*National_totals!$E$12, 0), 0)</f>
        <v>0</v>
      </c>
      <c r="E9">
        <f>IFERROR(ROUND(IF(State_lookup!X8&gt;0,MAX(State_lookup!N8/SUM(State_lookup!N2:N49)*National_totals!$F$12, Keys!$C$60),State_lookup!N8/SUM(State_lookup!N2:N49)*National_totals!$F$12), 0), 0)</f>
        <v>1</v>
      </c>
      <c r="F9">
        <f>IFERROR(ROUND(State_lookup!N8/SUM(State_lookup!N2:N49)*National_totals!$G$12, 0), 0)</f>
        <v>0</v>
      </c>
      <c r="G9">
        <f>IFERROR(ROUND(State_lookup!N8/SUM(State_lookup!N2:N49)*National_totals!$H$12, 0), 0)</f>
        <v>0</v>
      </c>
      <c r="H9">
        <f>IFERROR(ROUND(State_lookup!N8/SUM(State_lookup!N2:N49)*National_totals!$I$12, 0), 0)</f>
        <v>0</v>
      </c>
    </row>
    <row r="10" spans="1:8" x14ac:dyDescent="0.45">
      <c r="A10" t="str">
        <f>State_lookup!B9</f>
        <v>Florida</v>
      </c>
      <c r="B10">
        <f>IFERROR(ROUND(State_lookup!N9/SUM(State_lookup!N2:N49)*National_totals!$C$12, 0), 0)</f>
        <v>0</v>
      </c>
      <c r="C10">
        <f>IFERROR(ROUND(State_lookup!N9/SUM(State_lookup!N2:N49)*National_totals!$D$12, 0), 0)</f>
        <v>0</v>
      </c>
      <c r="D10">
        <f>IFERROR(ROUND(State_lookup!N9/SUM(State_lookup!N2:N49)*National_totals!$E$12, 0), 0)</f>
        <v>0</v>
      </c>
      <c r="E10">
        <f>IFERROR(ROUND(IF(State_lookup!X9&gt;0,MAX(State_lookup!N9/SUM(State_lookup!N2:N49)*National_totals!$F$12, Keys!$C$60),State_lookup!N9/SUM(State_lookup!N2:N49)*National_totals!$F$12), 0), 0)</f>
        <v>5</v>
      </c>
      <c r="F10">
        <f>IFERROR(ROUND(State_lookup!N9/SUM(State_lookup!N2:N49)*National_totals!$G$12, 0), 0)</f>
        <v>0</v>
      </c>
      <c r="G10">
        <f>IFERROR(ROUND(State_lookup!N9/SUM(State_lookup!N2:N49)*National_totals!$H$12, 0), 0)</f>
        <v>0</v>
      </c>
      <c r="H10">
        <f>IFERROR(ROUND(State_lookup!N9/SUM(State_lookup!N2:N49)*National_totals!$I$12, 0), 0)</f>
        <v>0</v>
      </c>
    </row>
    <row r="11" spans="1:8" x14ac:dyDescent="0.45">
      <c r="A11" t="str">
        <f>State_lookup!B10</f>
        <v>Georgia</v>
      </c>
      <c r="B11">
        <f>IFERROR(ROUND(State_lookup!N10/SUM(State_lookup!N2:N49)*National_totals!$C$12, 0), 0)</f>
        <v>0</v>
      </c>
      <c r="C11">
        <f>IFERROR(ROUND(State_lookup!N10/SUM(State_lookup!N2:N49)*National_totals!$D$12, 0), 0)</f>
        <v>0</v>
      </c>
      <c r="D11">
        <f>IFERROR(ROUND(State_lookup!N10/SUM(State_lookup!N2:N49)*National_totals!$E$12, 0), 0)</f>
        <v>0</v>
      </c>
      <c r="E11">
        <f>IFERROR(ROUND(IF(State_lookup!X10&gt;0,MAX(State_lookup!N10/SUM(State_lookup!N2:N49)*National_totals!$F$12, Keys!$C$60),State_lookup!N10/SUM(State_lookup!N2:N49)*National_totals!$F$12), 0), 0)</f>
        <v>3</v>
      </c>
      <c r="F11">
        <f>IFERROR(ROUND(State_lookup!N10/SUM(State_lookup!N2:N49)*National_totals!$G$12, 0), 0)</f>
        <v>0</v>
      </c>
      <c r="G11">
        <f>IFERROR(ROUND(State_lookup!N10/SUM(State_lookup!N2:N49)*National_totals!$H$12, 0), 0)</f>
        <v>0</v>
      </c>
      <c r="H11">
        <f>IFERROR(ROUND(State_lookup!N10/SUM(State_lookup!N2:N49)*National_totals!$I$12, 0), 0)</f>
        <v>0</v>
      </c>
    </row>
    <row r="12" spans="1:8" x14ac:dyDescent="0.45">
      <c r="A12" t="str">
        <f>State_lookup!B11</f>
        <v>Idaho</v>
      </c>
      <c r="B12">
        <f>IFERROR(ROUND(State_lookup!N11/SUM(State_lookup!N2:N49)*National_totals!$C$12, 0), 0)</f>
        <v>0</v>
      </c>
      <c r="C12">
        <f>IFERROR(ROUND(State_lookup!N11/SUM(State_lookup!N2:N49)*National_totals!$D$12, 0), 0)</f>
        <v>0</v>
      </c>
      <c r="D12">
        <f>IFERROR(ROUND(State_lookup!N11/SUM(State_lookup!N2:N49)*National_totals!$E$12, 0), 0)</f>
        <v>0</v>
      </c>
      <c r="E12">
        <f>IFERROR(ROUND(IF(State_lookup!X11&gt;0,MAX(State_lookup!N11/SUM(State_lookup!N2:N49)*National_totals!$F$12, Keys!$C$60),State_lookup!N11/SUM(State_lookup!N2:N49)*National_totals!$F$12), 0), 0)</f>
        <v>0</v>
      </c>
      <c r="F12">
        <f>IFERROR(ROUND(State_lookup!N11/SUM(State_lookup!N2:N49)*National_totals!$G$12, 0), 0)</f>
        <v>0</v>
      </c>
      <c r="G12">
        <f>IFERROR(ROUND(State_lookup!N11/SUM(State_lookup!N2:N49)*National_totals!$H$12, 0), 0)</f>
        <v>0</v>
      </c>
      <c r="H12">
        <f>IFERROR(ROUND(State_lookup!N11/SUM(State_lookup!N2:N49)*National_totals!$I$12, 0), 0)</f>
        <v>0</v>
      </c>
    </row>
    <row r="13" spans="1:8" x14ac:dyDescent="0.45">
      <c r="A13" t="str">
        <f>State_lookup!B12</f>
        <v>Illinois</v>
      </c>
      <c r="B13">
        <f>IFERROR(ROUND(State_lookup!N12/SUM(State_lookup!N2:N49)*National_totals!$C$12, 0), 0)</f>
        <v>0</v>
      </c>
      <c r="C13">
        <f>IFERROR(ROUND(State_lookup!N12/SUM(State_lookup!N2:N49)*National_totals!$D$12, 0), 0)</f>
        <v>0</v>
      </c>
      <c r="D13">
        <f>IFERROR(ROUND(State_lookup!N12/SUM(State_lookup!N2:N49)*National_totals!$E$12, 0), 0)</f>
        <v>0</v>
      </c>
      <c r="E13">
        <f>IFERROR(ROUND(IF(State_lookup!X12&gt;0,MAX(State_lookup!N12/SUM(State_lookup!N2:N49)*National_totals!$F$12, Keys!$C$60),State_lookup!N12/SUM(State_lookup!N2:N49)*National_totals!$F$12), 0), 0)</f>
        <v>3</v>
      </c>
      <c r="F13">
        <f>IFERROR(ROUND(State_lookup!N12/SUM(State_lookup!N2:N49)*National_totals!$G$12, 0), 0)</f>
        <v>0</v>
      </c>
      <c r="G13">
        <f>IFERROR(ROUND(State_lookup!N12/SUM(State_lookup!N2:N49)*National_totals!$H$12, 0), 0)</f>
        <v>0</v>
      </c>
      <c r="H13">
        <f>IFERROR(ROUND(State_lookup!N12/SUM(State_lookup!N2:N49)*National_totals!$I$12, 0), 0)</f>
        <v>0</v>
      </c>
    </row>
    <row r="14" spans="1:8" x14ac:dyDescent="0.45">
      <c r="A14" t="str">
        <f>State_lookup!B13</f>
        <v>Indiana</v>
      </c>
      <c r="B14">
        <f>IFERROR(ROUND(State_lookup!N13/SUM(State_lookup!N2:N49)*National_totals!$C$12, 0), 0)</f>
        <v>0</v>
      </c>
      <c r="C14">
        <f>IFERROR(ROUND(State_lookup!N13/SUM(State_lookup!N2:N49)*National_totals!$D$12, 0), 0)</f>
        <v>0</v>
      </c>
      <c r="D14">
        <f>IFERROR(ROUND(State_lookup!N13/SUM(State_lookup!N2:N49)*National_totals!$E$12, 0), 0)</f>
        <v>0</v>
      </c>
      <c r="E14">
        <f>IFERROR(ROUND(IF(State_lookup!X13&gt;0,MAX(State_lookup!N13/SUM(State_lookup!N2:N49)*National_totals!$F$12, Keys!$C$60),State_lookup!N13/SUM(State_lookup!N2:N49)*National_totals!$F$12), 0), 0)</f>
        <v>2</v>
      </c>
      <c r="F14">
        <f>IFERROR(ROUND(State_lookup!N13/SUM(State_lookup!N2:N49)*National_totals!$G$12, 0), 0)</f>
        <v>0</v>
      </c>
      <c r="G14">
        <f>IFERROR(ROUND(State_lookup!N13/SUM(State_lookup!N2:N49)*National_totals!$H$12, 0), 0)</f>
        <v>0</v>
      </c>
      <c r="H14">
        <f>IFERROR(ROUND(State_lookup!N13/SUM(State_lookup!N2:N49)*National_totals!$I$12, 0), 0)</f>
        <v>0</v>
      </c>
    </row>
    <row r="15" spans="1:8" x14ac:dyDescent="0.45">
      <c r="A15" t="str">
        <f>State_lookup!B14</f>
        <v>Iowa</v>
      </c>
      <c r="B15">
        <f>IFERROR(ROUND(State_lookup!N14/SUM(State_lookup!N2:N49)*National_totals!$C$12, 0), 0)</f>
        <v>0</v>
      </c>
      <c r="C15">
        <f>IFERROR(ROUND(State_lookup!N14/SUM(State_lookup!N2:N49)*National_totals!$D$12, 0), 0)</f>
        <v>0</v>
      </c>
      <c r="D15">
        <f>IFERROR(ROUND(State_lookup!N14/SUM(State_lookup!N2:N49)*National_totals!$E$12, 0), 0)</f>
        <v>0</v>
      </c>
      <c r="E15">
        <f>IFERROR(ROUND(IF(State_lookup!X14&gt;0,MAX(State_lookup!N14/SUM(State_lookup!N2:N49)*National_totals!$F$12, Keys!$C$60),State_lookup!N14/SUM(State_lookup!N2:N49)*National_totals!$F$12), 0), 0)</f>
        <v>0</v>
      </c>
      <c r="F15">
        <f>IFERROR(ROUND(State_lookup!N14/SUM(State_lookup!N2:N49)*National_totals!$G$12, 0), 0)</f>
        <v>0</v>
      </c>
      <c r="G15">
        <f>IFERROR(ROUND(State_lookup!N14/SUM(State_lookup!N2:N49)*National_totals!$H$12, 0), 0)</f>
        <v>0</v>
      </c>
      <c r="H15">
        <f>IFERROR(ROUND(State_lookup!N14/SUM(State_lookup!N2:N49)*National_totals!$I$12, 0), 0)</f>
        <v>0</v>
      </c>
    </row>
    <row r="16" spans="1:8" x14ac:dyDescent="0.45">
      <c r="A16" t="str">
        <f>State_lookup!B15</f>
        <v>Kansas</v>
      </c>
      <c r="B16">
        <f>IFERROR(ROUND(State_lookup!N15/SUM(State_lookup!N2:N49)*National_totals!$C$12, 0), 0)</f>
        <v>0</v>
      </c>
      <c r="C16">
        <f>IFERROR(ROUND(State_lookup!N15/SUM(State_lookup!N2:N49)*National_totals!$D$12, 0), 0)</f>
        <v>0</v>
      </c>
      <c r="D16">
        <f>IFERROR(ROUND(State_lookup!N15/SUM(State_lookup!N2:N49)*National_totals!$E$12, 0), 0)</f>
        <v>0</v>
      </c>
      <c r="E16">
        <f>IFERROR(ROUND(IF(State_lookup!X15&gt;0,MAX(State_lookup!N15/SUM(State_lookup!N2:N49)*National_totals!$F$12, Keys!$C$60),State_lookup!N15/SUM(State_lookup!N2:N49)*National_totals!$F$12), 0), 0)</f>
        <v>0</v>
      </c>
      <c r="F16">
        <f>IFERROR(ROUND(State_lookup!N15/SUM(State_lookup!N2:N49)*National_totals!$G$12, 0), 0)</f>
        <v>0</v>
      </c>
      <c r="G16">
        <f>IFERROR(ROUND(State_lookup!N15/SUM(State_lookup!N2:N49)*National_totals!$H$12, 0), 0)</f>
        <v>0</v>
      </c>
      <c r="H16">
        <f>IFERROR(ROUND(State_lookup!N15/SUM(State_lookup!N2:N49)*National_totals!$I$12, 0), 0)</f>
        <v>0</v>
      </c>
    </row>
    <row r="17" spans="1:8" x14ac:dyDescent="0.45">
      <c r="A17" t="str">
        <f>State_lookup!B16</f>
        <v>Kentucky</v>
      </c>
      <c r="B17">
        <f>IFERROR(ROUND(State_lookup!N16/SUM(State_lookup!N2:N49)*National_totals!$C$12, 0), 0)</f>
        <v>0</v>
      </c>
      <c r="C17">
        <f>IFERROR(ROUND(State_lookup!N16/SUM(State_lookup!N2:N49)*National_totals!$D$12, 0), 0)</f>
        <v>0</v>
      </c>
      <c r="D17">
        <f>IFERROR(ROUND(State_lookup!N16/SUM(State_lookup!N2:N49)*National_totals!$E$12, 0), 0)</f>
        <v>0</v>
      </c>
      <c r="E17">
        <f>IFERROR(ROUND(IF(State_lookup!X16&gt;0,MAX(State_lookup!N16/SUM(State_lookup!N2:N49)*National_totals!$F$12, Keys!$C$60),State_lookup!N16/SUM(State_lookup!N2:N49)*National_totals!$F$12), 0), 0)</f>
        <v>3</v>
      </c>
      <c r="F17">
        <f>IFERROR(ROUND(State_lookup!N16/SUM(State_lookup!N2:N49)*National_totals!$G$12, 0), 0)</f>
        <v>0</v>
      </c>
      <c r="G17">
        <f>IFERROR(ROUND(State_lookup!N16/SUM(State_lookup!N2:N49)*National_totals!$H$12, 0), 0)</f>
        <v>0</v>
      </c>
      <c r="H17">
        <f>IFERROR(ROUND(State_lookup!N16/SUM(State_lookup!N2:N49)*National_totals!$I$12, 0), 0)</f>
        <v>0</v>
      </c>
    </row>
    <row r="18" spans="1:8" x14ac:dyDescent="0.45">
      <c r="A18" t="str">
        <f>State_lookup!B17</f>
        <v>Louisiana</v>
      </c>
      <c r="B18">
        <f>IFERROR(ROUND(State_lookup!N17/SUM(State_lookup!N2:N49)*National_totals!$C$12, 0), 0)</f>
        <v>0</v>
      </c>
      <c r="C18">
        <f>IFERROR(ROUND(State_lookup!N17/SUM(State_lookup!N2:N49)*National_totals!$D$12, 0), 0)</f>
        <v>0</v>
      </c>
      <c r="D18">
        <f>IFERROR(ROUND(State_lookup!N17/SUM(State_lookup!N2:N49)*National_totals!$E$12, 0), 0)</f>
        <v>0</v>
      </c>
      <c r="E18">
        <f>IFERROR(ROUND(IF(State_lookup!X17&gt;0,MAX(State_lookup!N17/SUM(State_lookup!N2:N49)*National_totals!$F$12, Keys!$C$60),State_lookup!N17/SUM(State_lookup!N2:N49)*National_totals!$F$12), 0), 0)</f>
        <v>36</v>
      </c>
      <c r="F18">
        <f>IFERROR(ROUND(State_lookup!N17/SUM(State_lookup!N2:N49)*National_totals!$G$12, 0), 0)</f>
        <v>0</v>
      </c>
      <c r="G18">
        <f>IFERROR(ROUND(State_lookup!N17/SUM(State_lookup!N2:N49)*National_totals!$H$12, 0), 0)</f>
        <v>0</v>
      </c>
      <c r="H18">
        <f>IFERROR(ROUND(State_lookup!N17/SUM(State_lookup!N2:N49)*National_totals!$I$12, 0), 0)</f>
        <v>0</v>
      </c>
    </row>
    <row r="19" spans="1:8" x14ac:dyDescent="0.45">
      <c r="A19" t="str">
        <f>State_lookup!B18</f>
        <v>Maine</v>
      </c>
      <c r="B19">
        <f>IFERROR(ROUND(State_lookup!N18/SUM(State_lookup!N2:N49)*National_totals!$C$12, 0), 0)</f>
        <v>0</v>
      </c>
      <c r="C19">
        <f>IFERROR(ROUND(State_lookup!N18/SUM(State_lookup!N2:N49)*National_totals!$D$12, 0), 0)</f>
        <v>0</v>
      </c>
      <c r="D19">
        <f>IFERROR(ROUND(State_lookup!N18/SUM(State_lookup!N2:N49)*National_totals!$E$12, 0), 0)</f>
        <v>0</v>
      </c>
      <c r="E19">
        <f>IFERROR(ROUND(IF(State_lookup!X18&gt;0,MAX(State_lookup!N18/SUM(State_lookup!N2:N49)*National_totals!$F$12, Keys!$C$60),State_lookup!N18/SUM(State_lookup!N2:N49)*National_totals!$F$12), 0), 0)</f>
        <v>1</v>
      </c>
      <c r="F19">
        <f>IFERROR(ROUND(State_lookup!N18/SUM(State_lookup!N2:N49)*National_totals!$G$12, 0), 0)</f>
        <v>0</v>
      </c>
      <c r="G19">
        <f>IFERROR(ROUND(State_lookup!N18/SUM(State_lookup!N2:N49)*National_totals!$H$12, 0), 0)</f>
        <v>0</v>
      </c>
      <c r="H19">
        <f>IFERROR(ROUND(State_lookup!N18/SUM(State_lookup!N2:N49)*National_totals!$I$12, 0), 0)</f>
        <v>0</v>
      </c>
    </row>
    <row r="20" spans="1:8" x14ac:dyDescent="0.45">
      <c r="A20" t="str">
        <f>State_lookup!B19</f>
        <v>Maryland</v>
      </c>
      <c r="B20">
        <f>IFERROR(ROUND(State_lookup!N19/SUM(State_lookup!N2:N49)*National_totals!$C$12, 0), 0)</f>
        <v>0</v>
      </c>
      <c r="C20">
        <f>IFERROR(ROUND(State_lookup!N19/SUM(State_lookup!N2:N49)*National_totals!$D$12, 0), 0)</f>
        <v>0</v>
      </c>
      <c r="D20">
        <f>IFERROR(ROUND(State_lookup!N19/SUM(State_lookup!N2:N49)*National_totals!$E$12, 0), 0)</f>
        <v>0</v>
      </c>
      <c r="E20">
        <f>IFERROR(ROUND(IF(State_lookup!X19&gt;0,MAX(State_lookup!N19/SUM(State_lookup!N2:N49)*National_totals!$F$12, Keys!$C$60),State_lookup!N19/SUM(State_lookup!N2:N49)*National_totals!$F$12), 0), 0)</f>
        <v>3</v>
      </c>
      <c r="F20">
        <f>IFERROR(ROUND(State_lookup!N19/SUM(State_lookup!N2:N49)*National_totals!$G$12, 0), 0)</f>
        <v>0</v>
      </c>
      <c r="G20">
        <f>IFERROR(ROUND(State_lookup!N19/SUM(State_lookup!N2:N49)*National_totals!$H$12, 0), 0)</f>
        <v>0</v>
      </c>
      <c r="H20">
        <f>IFERROR(ROUND(State_lookup!N19/SUM(State_lookup!N2:N49)*National_totals!$I$12, 0), 0)</f>
        <v>0</v>
      </c>
    </row>
    <row r="21" spans="1:8" x14ac:dyDescent="0.45">
      <c r="A21" t="str">
        <f>State_lookup!B20</f>
        <v>Massachusetts</v>
      </c>
      <c r="B21">
        <f>IFERROR(ROUND(State_lookup!N20/SUM(State_lookup!N2:N49)*National_totals!$C$12, 0), 0)</f>
        <v>0</v>
      </c>
      <c r="C21">
        <f>IFERROR(ROUND(State_lookup!N20/SUM(State_lookup!N2:N49)*National_totals!$D$12, 0), 0)</f>
        <v>0</v>
      </c>
      <c r="D21">
        <f>IFERROR(ROUND(State_lookup!N20/SUM(State_lookup!N2:N49)*National_totals!$E$12, 0), 0)</f>
        <v>0</v>
      </c>
      <c r="E21">
        <f>IFERROR(ROUND(IF(State_lookup!X20&gt;0,MAX(State_lookup!N20/SUM(State_lookup!N2:N49)*National_totals!$F$12, Keys!$C$60),State_lookup!N20/SUM(State_lookup!N2:N49)*National_totals!$F$12), 0), 0)</f>
        <v>1</v>
      </c>
      <c r="F21">
        <f>IFERROR(ROUND(State_lookup!N20/SUM(State_lookup!N2:N49)*National_totals!$G$12, 0), 0)</f>
        <v>0</v>
      </c>
      <c r="G21">
        <f>IFERROR(ROUND(State_lookup!N20/SUM(State_lookup!N2:N49)*National_totals!$H$12, 0), 0)</f>
        <v>0</v>
      </c>
      <c r="H21">
        <f>IFERROR(ROUND(State_lookup!N20/SUM(State_lookup!N2:N49)*National_totals!$I$12, 0), 0)</f>
        <v>0</v>
      </c>
    </row>
    <row r="22" spans="1:8" x14ac:dyDescent="0.45">
      <c r="A22" t="str">
        <f>State_lookup!B21</f>
        <v>Michigan</v>
      </c>
      <c r="B22">
        <f>IFERROR(ROUND(State_lookup!N21/SUM(State_lookup!N2:N49)*National_totals!$C$12, 0), 0)</f>
        <v>0</v>
      </c>
      <c r="C22">
        <f>IFERROR(ROUND(State_lookup!N21/SUM(State_lookup!N2:N49)*National_totals!$D$12, 0), 0)</f>
        <v>0</v>
      </c>
      <c r="D22">
        <f>IFERROR(ROUND(State_lookup!N21/SUM(State_lookup!N2:N49)*National_totals!$E$12, 0), 0)</f>
        <v>0</v>
      </c>
      <c r="E22">
        <f>IFERROR(ROUND(IF(State_lookup!X21&gt;0,MAX(State_lookup!N21/SUM(State_lookup!N2:N49)*National_totals!$F$12, Keys!$C$60),State_lookup!N21/SUM(State_lookup!N2:N49)*National_totals!$F$12), 0), 0)</f>
        <v>1</v>
      </c>
      <c r="F22">
        <f>IFERROR(ROUND(State_lookup!N21/SUM(State_lookup!N2:N49)*National_totals!$G$12, 0), 0)</f>
        <v>0</v>
      </c>
      <c r="G22">
        <f>IFERROR(ROUND(State_lookup!N21/SUM(State_lookup!N2:N49)*National_totals!$H$12, 0), 0)</f>
        <v>0</v>
      </c>
      <c r="H22">
        <f>IFERROR(ROUND(State_lookup!N21/SUM(State_lookup!N2:N49)*National_totals!$I$12, 0), 0)</f>
        <v>0</v>
      </c>
    </row>
    <row r="23" spans="1:8" x14ac:dyDescent="0.45">
      <c r="A23" t="str">
        <f>State_lookup!B22</f>
        <v>Minnesota</v>
      </c>
      <c r="B23">
        <f>IFERROR(ROUND(State_lookup!N22/SUM(State_lookup!N2:N49)*National_totals!$C$12, 0), 0)</f>
        <v>0</v>
      </c>
      <c r="C23">
        <f>IFERROR(ROUND(State_lookup!N22/SUM(State_lookup!N2:N49)*National_totals!$D$12, 0), 0)</f>
        <v>0</v>
      </c>
      <c r="D23">
        <f>IFERROR(ROUND(State_lookup!N22/SUM(State_lookup!N2:N49)*National_totals!$E$12, 0), 0)</f>
        <v>0</v>
      </c>
      <c r="E23">
        <f>IFERROR(ROUND(IF(State_lookup!X22&gt;0,MAX(State_lookup!N22/SUM(State_lookup!N2:N49)*National_totals!$F$12, Keys!$C$60),State_lookup!N22/SUM(State_lookup!N2:N49)*National_totals!$F$12), 0), 0)</f>
        <v>2</v>
      </c>
      <c r="F23">
        <f>IFERROR(ROUND(State_lookup!N22/SUM(State_lookup!N2:N49)*National_totals!$G$12, 0), 0)</f>
        <v>0</v>
      </c>
      <c r="G23">
        <f>IFERROR(ROUND(State_lookup!N22/SUM(State_lookup!N2:N49)*National_totals!$H$12, 0), 0)</f>
        <v>0</v>
      </c>
      <c r="H23">
        <f>IFERROR(ROUND(State_lookup!N22/SUM(State_lookup!N2:N49)*National_totals!$I$12, 0), 0)</f>
        <v>0</v>
      </c>
    </row>
    <row r="24" spans="1:8" x14ac:dyDescent="0.45">
      <c r="A24" t="str">
        <f>State_lookup!B23</f>
        <v>Mississippi</v>
      </c>
      <c r="B24">
        <f>IFERROR(ROUND(State_lookup!N23/SUM(State_lookup!N2:N49)*National_totals!$C$12, 0), 0)</f>
        <v>0</v>
      </c>
      <c r="C24">
        <f>IFERROR(ROUND(State_lookup!N23/SUM(State_lookup!N2:N49)*National_totals!$D$12, 0), 0)</f>
        <v>0</v>
      </c>
      <c r="D24">
        <f>IFERROR(ROUND(State_lookup!N23/SUM(State_lookup!N2:N49)*National_totals!$E$12, 0), 0)</f>
        <v>0</v>
      </c>
      <c r="E24">
        <f>IFERROR(ROUND(IF(State_lookup!X23&gt;0,MAX(State_lookup!N23/SUM(State_lookup!N2:N49)*National_totals!$F$12, Keys!$C$60),State_lookup!N23/SUM(State_lookup!N2:N49)*National_totals!$F$12), 0), 0)</f>
        <v>2</v>
      </c>
      <c r="F24">
        <f>IFERROR(ROUND(State_lookup!N23/SUM(State_lookup!N2:N49)*National_totals!$G$12, 0), 0)</f>
        <v>0</v>
      </c>
      <c r="G24">
        <f>IFERROR(ROUND(State_lookup!N23/SUM(State_lookup!N2:N49)*National_totals!$H$12, 0), 0)</f>
        <v>0</v>
      </c>
      <c r="H24">
        <f>IFERROR(ROUND(State_lookup!N23/SUM(State_lookup!N2:N49)*National_totals!$I$12, 0), 0)</f>
        <v>0</v>
      </c>
    </row>
    <row r="25" spans="1:8" x14ac:dyDescent="0.45">
      <c r="A25" t="str">
        <f>State_lookup!B24</f>
        <v>Missouri</v>
      </c>
      <c r="B25">
        <f>IFERROR(ROUND(State_lookup!N24/SUM(State_lookup!N2:N49)*National_totals!$C$12, 0), 0)</f>
        <v>0</v>
      </c>
      <c r="C25">
        <f>IFERROR(ROUND(State_lookup!N24/SUM(State_lookup!N2:N49)*National_totals!$D$12, 0), 0)</f>
        <v>0</v>
      </c>
      <c r="D25">
        <f>IFERROR(ROUND(State_lookup!N24/SUM(State_lookup!N2:N49)*National_totals!$E$12, 0), 0)</f>
        <v>0</v>
      </c>
      <c r="E25">
        <f>IFERROR(ROUND(IF(State_lookup!X24&gt;0,MAX(State_lookup!N24/SUM(State_lookup!N2:N49)*National_totals!$F$12, Keys!$C$60),State_lookup!N24/SUM(State_lookup!N2:N49)*National_totals!$F$12), 0), 0)</f>
        <v>2</v>
      </c>
      <c r="F25">
        <f>IFERROR(ROUND(State_lookup!N24/SUM(State_lookup!N2:N49)*National_totals!$G$12, 0), 0)</f>
        <v>0</v>
      </c>
      <c r="G25">
        <f>IFERROR(ROUND(State_lookup!N24/SUM(State_lookup!N2:N49)*National_totals!$H$12, 0), 0)</f>
        <v>0</v>
      </c>
      <c r="H25">
        <f>IFERROR(ROUND(State_lookup!N24/SUM(State_lookup!N2:N49)*National_totals!$I$12, 0), 0)</f>
        <v>0</v>
      </c>
    </row>
    <row r="26" spans="1:8" x14ac:dyDescent="0.45">
      <c r="A26" t="str">
        <f>State_lookup!B25</f>
        <v>Montana</v>
      </c>
      <c r="B26">
        <f>IFERROR(ROUND(State_lookup!N25/SUM(State_lookup!N2:N49)*National_totals!$C$12, 0), 0)</f>
        <v>0</v>
      </c>
      <c r="C26">
        <f>IFERROR(ROUND(State_lookup!N25/SUM(State_lookup!N2:N49)*National_totals!$D$12, 0), 0)</f>
        <v>0</v>
      </c>
      <c r="D26">
        <f>IFERROR(ROUND(State_lookup!N25/SUM(State_lookup!N2:N49)*National_totals!$E$12, 0), 0)</f>
        <v>0</v>
      </c>
      <c r="E26">
        <f>IFERROR(ROUND(IF(State_lookup!X25&gt;0,MAX(State_lookup!N25/SUM(State_lookup!N2:N49)*National_totals!$F$12, Keys!$C$60),State_lookup!N25/SUM(State_lookup!N2:N49)*National_totals!$F$12), 0), 0)</f>
        <v>0</v>
      </c>
      <c r="F26">
        <f>IFERROR(ROUND(State_lookup!N25/SUM(State_lookup!N2:N49)*National_totals!$G$12, 0), 0)</f>
        <v>0</v>
      </c>
      <c r="G26">
        <f>IFERROR(ROUND(State_lookup!N25/SUM(State_lookup!N2:N49)*National_totals!$H$12, 0), 0)</f>
        <v>0</v>
      </c>
      <c r="H26">
        <f>IFERROR(ROUND(State_lookup!N25/SUM(State_lookup!N2:N49)*National_totals!$I$12, 0), 0)</f>
        <v>0</v>
      </c>
    </row>
    <row r="27" spans="1:8" x14ac:dyDescent="0.45">
      <c r="A27" t="str">
        <f>State_lookup!B26</f>
        <v>Nebraska</v>
      </c>
      <c r="B27">
        <f>IFERROR(ROUND(State_lookup!N26/SUM(State_lookup!N2:N49)*National_totals!$C$12, 0), 0)</f>
        <v>0</v>
      </c>
      <c r="C27">
        <f>IFERROR(ROUND(State_lookup!N26/SUM(State_lookup!N2:N49)*National_totals!$D$12, 0), 0)</f>
        <v>0</v>
      </c>
      <c r="D27">
        <f>IFERROR(ROUND(State_lookup!N26/SUM(State_lookup!N2:N49)*National_totals!$E$12, 0), 0)</f>
        <v>0</v>
      </c>
      <c r="E27">
        <f>IFERROR(ROUND(IF(State_lookup!X26&gt;0,MAX(State_lookup!N26/SUM(State_lookup!N2:N49)*National_totals!$F$12, Keys!$C$60),State_lookup!N26/SUM(State_lookup!N2:N49)*National_totals!$F$12), 0), 0)</f>
        <v>0</v>
      </c>
      <c r="F27">
        <f>IFERROR(ROUND(State_lookup!N26/SUM(State_lookup!N2:N49)*National_totals!$G$12, 0), 0)</f>
        <v>0</v>
      </c>
      <c r="G27">
        <f>IFERROR(ROUND(State_lookup!N26/SUM(State_lookup!N2:N49)*National_totals!$H$12, 0), 0)</f>
        <v>0</v>
      </c>
      <c r="H27">
        <f>IFERROR(ROUND(State_lookup!N26/SUM(State_lookup!N2:N49)*National_totals!$I$12, 0), 0)</f>
        <v>0</v>
      </c>
    </row>
    <row r="28" spans="1:8" x14ac:dyDescent="0.45">
      <c r="A28" t="str">
        <f>State_lookup!B27</f>
        <v>Nevada</v>
      </c>
      <c r="B28">
        <f>IFERROR(ROUND(State_lookup!N27/SUM(State_lookup!N2:N49)*National_totals!$C$12, 0), 0)</f>
        <v>0</v>
      </c>
      <c r="C28">
        <f>IFERROR(ROUND(State_lookup!N27/SUM(State_lookup!N2:N49)*National_totals!$D$12, 0), 0)</f>
        <v>0</v>
      </c>
      <c r="D28">
        <f>IFERROR(ROUND(State_lookup!N27/SUM(State_lookup!N2:N49)*National_totals!$E$12, 0), 0)</f>
        <v>0</v>
      </c>
      <c r="E28">
        <f>IFERROR(ROUND(IF(State_lookup!X27&gt;0,MAX(State_lookup!N27/SUM(State_lookup!N2:N49)*National_totals!$F$12, Keys!$C$60),State_lookup!N27/SUM(State_lookup!N2:N49)*National_totals!$F$12), 0), 0)</f>
        <v>0</v>
      </c>
      <c r="F28">
        <f>IFERROR(ROUND(State_lookup!N27/SUM(State_lookup!N2:N49)*National_totals!$G$12, 0), 0)</f>
        <v>0</v>
      </c>
      <c r="G28">
        <f>IFERROR(ROUND(State_lookup!N27/SUM(State_lookup!N2:N49)*National_totals!$H$12, 0), 0)</f>
        <v>0</v>
      </c>
      <c r="H28">
        <f>IFERROR(ROUND(State_lookup!N27/SUM(State_lookup!N2:N49)*National_totals!$I$12, 0), 0)</f>
        <v>0</v>
      </c>
    </row>
    <row r="29" spans="1:8" x14ac:dyDescent="0.45">
      <c r="A29" t="str">
        <f>State_lookup!B28</f>
        <v>New Hampshire</v>
      </c>
      <c r="B29">
        <f>IFERROR(ROUND(State_lookup!N28/SUM(State_lookup!N2:N49)*National_totals!$C$12, 0), 0)</f>
        <v>0</v>
      </c>
      <c r="C29">
        <f>IFERROR(ROUND(State_lookup!N28/SUM(State_lookup!N2:N49)*National_totals!$D$12, 0), 0)</f>
        <v>0</v>
      </c>
      <c r="D29">
        <f>IFERROR(ROUND(State_lookup!N28/SUM(State_lookup!N2:N49)*National_totals!$E$12, 0), 0)</f>
        <v>0</v>
      </c>
      <c r="E29">
        <f>IFERROR(ROUND(IF(State_lookup!X28&gt;0,MAX(State_lookup!N28/SUM(State_lookup!N2:N49)*National_totals!$F$12, Keys!$C$60),State_lookup!N28/SUM(State_lookup!N2:N49)*National_totals!$F$12), 0), 0)</f>
        <v>0</v>
      </c>
      <c r="F29">
        <f>IFERROR(ROUND(State_lookup!N28/SUM(State_lookup!N2:N49)*National_totals!$G$12, 0), 0)</f>
        <v>0</v>
      </c>
      <c r="G29">
        <f>IFERROR(ROUND(State_lookup!N28/SUM(State_lookup!N2:N49)*National_totals!$H$12, 0), 0)</f>
        <v>0</v>
      </c>
      <c r="H29">
        <f>IFERROR(ROUND(State_lookup!N28/SUM(State_lookup!N2:N49)*National_totals!$I$12, 0), 0)</f>
        <v>0</v>
      </c>
    </row>
    <row r="30" spans="1:8" x14ac:dyDescent="0.45">
      <c r="A30" t="str">
        <f>State_lookup!B29</f>
        <v>New Jersey</v>
      </c>
      <c r="B30">
        <f>IFERROR(ROUND(State_lookup!N29/SUM(State_lookup!N2:N49)*National_totals!$C$12, 0), 0)</f>
        <v>0</v>
      </c>
      <c r="C30">
        <f>IFERROR(ROUND(State_lookup!N29/SUM(State_lookup!N2:N49)*National_totals!$D$12, 0), 0)</f>
        <v>0</v>
      </c>
      <c r="D30">
        <f>IFERROR(ROUND(State_lookup!N29/SUM(State_lookup!N2:N49)*National_totals!$E$12, 0), 0)</f>
        <v>0</v>
      </c>
      <c r="E30">
        <f>IFERROR(ROUND(IF(State_lookup!X29&gt;0,MAX(State_lookup!N29/SUM(State_lookup!N2:N49)*National_totals!$F$12, Keys!$C$60),State_lookup!N29/SUM(State_lookup!N2:N49)*National_totals!$F$12), 0), 0)</f>
        <v>6</v>
      </c>
      <c r="F30">
        <f>IFERROR(ROUND(State_lookup!N29/SUM(State_lookup!N2:N49)*National_totals!$G$12, 0), 0)</f>
        <v>0</v>
      </c>
      <c r="G30">
        <f>IFERROR(ROUND(State_lookup!N29/SUM(State_lookup!N2:N49)*National_totals!$H$12, 0), 0)</f>
        <v>0</v>
      </c>
      <c r="H30">
        <f>IFERROR(ROUND(State_lookup!N29/SUM(State_lookup!N2:N49)*National_totals!$I$12, 0), 0)</f>
        <v>0</v>
      </c>
    </row>
    <row r="31" spans="1:8" x14ac:dyDescent="0.45">
      <c r="A31" t="str">
        <f>State_lookup!B30</f>
        <v>New Mexico</v>
      </c>
      <c r="B31">
        <f>IFERROR(ROUND(State_lookup!N30/SUM(State_lookup!N2:N49)*National_totals!$C$12, 0), 0)</f>
        <v>0</v>
      </c>
      <c r="C31">
        <f>IFERROR(ROUND(State_lookup!N30/SUM(State_lookup!N2:N49)*National_totals!$D$12, 0), 0)</f>
        <v>0</v>
      </c>
      <c r="D31">
        <f>IFERROR(ROUND(State_lookup!N30/SUM(State_lookup!N2:N49)*National_totals!$E$12, 0), 0)</f>
        <v>0</v>
      </c>
      <c r="E31">
        <f>IFERROR(ROUND(IF(State_lookup!X30&gt;0,MAX(State_lookup!N30/SUM(State_lookup!N2:N49)*National_totals!$F$12, Keys!$C$60),State_lookup!N30/SUM(State_lookup!N2:N49)*National_totals!$F$12), 0), 0)</f>
        <v>0</v>
      </c>
      <c r="F31">
        <f>IFERROR(ROUND(State_lookup!N30/SUM(State_lookup!N2:N49)*National_totals!$G$12, 0), 0)</f>
        <v>0</v>
      </c>
      <c r="G31">
        <f>IFERROR(ROUND(State_lookup!N30/SUM(State_lookup!N2:N49)*National_totals!$H$12, 0), 0)</f>
        <v>0</v>
      </c>
      <c r="H31">
        <f>IFERROR(ROUND(State_lookup!N30/SUM(State_lookup!N2:N49)*National_totals!$I$12, 0), 0)</f>
        <v>0</v>
      </c>
    </row>
    <row r="32" spans="1:8" x14ac:dyDescent="0.45">
      <c r="A32" t="str">
        <f>State_lookup!B31</f>
        <v>New York</v>
      </c>
      <c r="B32">
        <f>IFERROR(ROUND(State_lookup!N31/SUM(State_lookup!N2:N49)*National_totals!$C$12, 0), 0)</f>
        <v>0</v>
      </c>
      <c r="C32">
        <f>IFERROR(ROUND(State_lookup!N31/SUM(State_lookup!N2:N49)*National_totals!$D$12, 0), 0)</f>
        <v>0</v>
      </c>
      <c r="D32">
        <f>IFERROR(ROUND(State_lookup!N31/SUM(State_lookup!N2:N49)*National_totals!$E$12, 0), 0)</f>
        <v>0</v>
      </c>
      <c r="E32">
        <f>IFERROR(ROUND(IF(State_lookup!X31&gt;0,MAX(State_lookup!N31/SUM(State_lookup!N2:N49)*National_totals!$F$12, Keys!$C$60),State_lookup!N31/SUM(State_lookup!N2:N49)*National_totals!$F$12), 0), 0)</f>
        <v>5</v>
      </c>
      <c r="F32">
        <f>IFERROR(ROUND(State_lookup!N31/SUM(State_lookup!N2:N49)*National_totals!$G$12, 0), 0)</f>
        <v>0</v>
      </c>
      <c r="G32">
        <f>IFERROR(ROUND(State_lookup!N31/SUM(State_lookup!N2:N49)*National_totals!$H$12, 0), 0)</f>
        <v>0</v>
      </c>
      <c r="H32">
        <f>IFERROR(ROUND(State_lookup!N31/SUM(State_lookup!N2:N49)*National_totals!$I$12, 0), 0)</f>
        <v>0</v>
      </c>
    </row>
    <row r="33" spans="1:8" x14ac:dyDescent="0.45">
      <c r="A33" t="str">
        <f>State_lookup!B32</f>
        <v>North Carolina</v>
      </c>
      <c r="B33">
        <f>IFERROR(ROUND(State_lookup!N32/SUM(State_lookup!N2:N49)*National_totals!$C$12, 0), 0)</f>
        <v>0</v>
      </c>
      <c r="C33">
        <f>IFERROR(ROUND(State_lookup!N32/SUM(State_lookup!N2:N49)*National_totals!$D$12, 0), 0)</f>
        <v>0</v>
      </c>
      <c r="D33">
        <f>IFERROR(ROUND(State_lookup!N32/SUM(State_lookup!N2:N49)*National_totals!$E$12, 0), 0)</f>
        <v>0</v>
      </c>
      <c r="E33">
        <f>IFERROR(ROUND(IF(State_lookup!X32&gt;0,MAX(State_lookup!N32/SUM(State_lookup!N2:N49)*National_totals!$F$12, Keys!$C$60),State_lookup!N32/SUM(State_lookup!N2:N49)*National_totals!$F$12), 0), 0)</f>
        <v>1</v>
      </c>
      <c r="F33">
        <f>IFERROR(ROUND(State_lookup!N32/SUM(State_lookup!N2:N49)*National_totals!$G$12, 0), 0)</f>
        <v>0</v>
      </c>
      <c r="G33">
        <f>IFERROR(ROUND(State_lookup!N32/SUM(State_lookup!N2:N49)*National_totals!$H$12, 0), 0)</f>
        <v>0</v>
      </c>
      <c r="H33">
        <f>IFERROR(ROUND(State_lookup!N32/SUM(State_lookup!N2:N49)*National_totals!$I$12, 0), 0)</f>
        <v>0</v>
      </c>
    </row>
    <row r="34" spans="1:8" x14ac:dyDescent="0.45">
      <c r="A34" t="str">
        <f>State_lookup!B33</f>
        <v>North Dakota</v>
      </c>
      <c r="B34">
        <f>IFERROR(ROUND(State_lookup!N33/SUM(State_lookup!N2:N49)*National_totals!$C$12, 0), 0)</f>
        <v>0</v>
      </c>
      <c r="C34">
        <f>IFERROR(ROUND(State_lookup!N33/SUM(State_lookup!N2:N49)*National_totals!$D$12, 0), 0)</f>
        <v>0</v>
      </c>
      <c r="D34">
        <f>IFERROR(ROUND(State_lookup!N33/SUM(State_lookup!N2:N49)*National_totals!$E$12, 0), 0)</f>
        <v>0</v>
      </c>
      <c r="E34">
        <f>IFERROR(ROUND(IF(State_lookup!X33&gt;0,MAX(State_lookup!N33/SUM(State_lookup!N2:N49)*National_totals!$F$12, Keys!$C$60),State_lookup!N33/SUM(State_lookup!N2:N49)*National_totals!$F$12), 0), 0)</f>
        <v>0</v>
      </c>
      <c r="F34">
        <f>IFERROR(ROUND(State_lookup!N33/SUM(State_lookup!N2:N49)*National_totals!$G$12, 0), 0)</f>
        <v>0</v>
      </c>
      <c r="G34">
        <f>IFERROR(ROUND(State_lookup!N33/SUM(State_lookup!N2:N49)*National_totals!$H$12, 0), 0)</f>
        <v>0</v>
      </c>
      <c r="H34">
        <f>IFERROR(ROUND(State_lookup!N33/SUM(State_lookup!N2:N49)*National_totals!$I$12, 0), 0)</f>
        <v>0</v>
      </c>
    </row>
    <row r="35" spans="1:8" x14ac:dyDescent="0.45">
      <c r="A35" t="str">
        <f>State_lookup!B34</f>
        <v>Ohio</v>
      </c>
      <c r="B35">
        <f>IFERROR(ROUND(State_lookup!N34/SUM(State_lookup!N2:N49)*National_totals!$C$12, 0), 0)</f>
        <v>0</v>
      </c>
      <c r="C35">
        <f>IFERROR(ROUND(State_lookup!N34/SUM(State_lookup!N2:N49)*National_totals!$D$12, 0), 0)</f>
        <v>0</v>
      </c>
      <c r="D35">
        <f>IFERROR(ROUND(State_lookup!N34/SUM(State_lookup!N2:N49)*National_totals!$E$12, 0), 0)</f>
        <v>0</v>
      </c>
      <c r="E35">
        <f>IFERROR(ROUND(IF(State_lookup!X34&gt;0,MAX(State_lookup!N34/SUM(State_lookup!N2:N49)*National_totals!$F$12, Keys!$C$60),State_lookup!N34/SUM(State_lookup!N2:N49)*National_totals!$F$12), 0), 0)</f>
        <v>2</v>
      </c>
      <c r="F35">
        <f>IFERROR(ROUND(State_lookup!N34/SUM(State_lookup!N2:N49)*National_totals!$G$12, 0), 0)</f>
        <v>0</v>
      </c>
      <c r="G35">
        <f>IFERROR(ROUND(State_lookup!N34/SUM(State_lookup!N2:N49)*National_totals!$H$12, 0), 0)</f>
        <v>0</v>
      </c>
      <c r="H35">
        <f>IFERROR(ROUND(State_lookup!N34/SUM(State_lookup!N2:N49)*National_totals!$I$12, 0), 0)</f>
        <v>0</v>
      </c>
    </row>
    <row r="36" spans="1:8" x14ac:dyDescent="0.45">
      <c r="A36" t="str">
        <f>State_lookup!B35</f>
        <v>Oklahoma</v>
      </c>
      <c r="B36">
        <f>IFERROR(ROUND(State_lookup!N35/SUM(State_lookup!N2:N49)*National_totals!$C$12, 0), 0)</f>
        <v>0</v>
      </c>
      <c r="C36">
        <f>IFERROR(ROUND(State_lookup!N35/SUM(State_lookup!N2:N49)*National_totals!$D$12, 0), 0)</f>
        <v>0</v>
      </c>
      <c r="D36">
        <f>IFERROR(ROUND(State_lookup!N35/SUM(State_lookup!N2:N49)*National_totals!$E$12, 0), 0)</f>
        <v>0</v>
      </c>
      <c r="E36">
        <f>IFERROR(ROUND(IF(State_lookup!X35&gt;0,MAX(State_lookup!N35/SUM(State_lookup!N2:N49)*National_totals!$F$12, Keys!$C$60),State_lookup!N35/SUM(State_lookup!N2:N49)*National_totals!$F$12), 0), 0)</f>
        <v>0</v>
      </c>
      <c r="F36">
        <f>IFERROR(ROUND(State_lookup!N35/SUM(State_lookup!N2:N49)*National_totals!$G$12, 0), 0)</f>
        <v>0</v>
      </c>
      <c r="G36">
        <f>IFERROR(ROUND(State_lookup!N35/SUM(State_lookup!N2:N49)*National_totals!$H$12, 0), 0)</f>
        <v>0</v>
      </c>
      <c r="H36">
        <f>IFERROR(ROUND(State_lookup!N35/SUM(State_lookup!N2:N49)*National_totals!$I$12, 0), 0)</f>
        <v>0</v>
      </c>
    </row>
    <row r="37" spans="1:8" x14ac:dyDescent="0.45">
      <c r="A37" t="str">
        <f>State_lookup!B36</f>
        <v>Oregon</v>
      </c>
      <c r="B37">
        <f>IFERROR(ROUND(State_lookup!N36/SUM(State_lookup!N2:N49)*National_totals!$C$12, 0), 0)</f>
        <v>0</v>
      </c>
      <c r="C37">
        <f>IFERROR(ROUND(State_lookup!N36/SUM(State_lookup!N2:N49)*National_totals!$D$12, 0), 0)</f>
        <v>0</v>
      </c>
      <c r="D37">
        <f>IFERROR(ROUND(State_lookup!N36/SUM(State_lookup!N2:N49)*National_totals!$E$12, 0), 0)</f>
        <v>0</v>
      </c>
      <c r="E37">
        <f>IFERROR(ROUND(IF(State_lookup!X36&gt;0,MAX(State_lookup!N36/SUM(State_lookup!N2:N49)*National_totals!$F$12, Keys!$C$60),State_lookup!N36/SUM(State_lookup!N2:N49)*National_totals!$F$12), 0), 0)</f>
        <v>2</v>
      </c>
      <c r="F37">
        <f>IFERROR(ROUND(State_lookup!N36/SUM(State_lookup!N2:N49)*National_totals!$G$12, 0), 0)</f>
        <v>0</v>
      </c>
      <c r="G37">
        <f>IFERROR(ROUND(State_lookup!N36/SUM(State_lookup!N2:N49)*National_totals!$H$12, 0), 0)</f>
        <v>0</v>
      </c>
      <c r="H37">
        <f>IFERROR(ROUND(State_lookup!N36/SUM(State_lookup!N2:N49)*National_totals!$I$12, 0), 0)</f>
        <v>0</v>
      </c>
    </row>
    <row r="38" spans="1:8" x14ac:dyDescent="0.45">
      <c r="A38" t="str">
        <f>State_lookup!B37</f>
        <v>Pennsylvania</v>
      </c>
      <c r="B38">
        <f>IFERROR(ROUND(State_lookup!N37/SUM(State_lookup!N2:N49)*National_totals!$C$12, 0), 0)</f>
        <v>0</v>
      </c>
      <c r="C38">
        <f>IFERROR(ROUND(State_lookup!N37/SUM(State_lookup!N2:N49)*National_totals!$D$12, 0), 0)</f>
        <v>0</v>
      </c>
      <c r="D38">
        <f>IFERROR(ROUND(State_lookup!N37/SUM(State_lookup!N2:N49)*National_totals!$E$12, 0), 0)</f>
        <v>0</v>
      </c>
      <c r="E38">
        <f>IFERROR(ROUND(IF(State_lookup!X37&gt;0,MAX(State_lookup!N37/SUM(State_lookup!N2:N49)*National_totals!$F$12, Keys!$C$60),State_lookup!N37/SUM(State_lookup!N2:N49)*National_totals!$F$12), 0), 0)</f>
        <v>3</v>
      </c>
      <c r="F38">
        <f>IFERROR(ROUND(State_lookup!N37/SUM(State_lookup!N2:N49)*National_totals!$G$12, 0), 0)</f>
        <v>0</v>
      </c>
      <c r="G38">
        <f>IFERROR(ROUND(State_lookup!N37/SUM(State_lookup!N2:N49)*National_totals!$H$12, 0), 0)</f>
        <v>0</v>
      </c>
      <c r="H38">
        <f>IFERROR(ROUND(State_lookup!N37/SUM(State_lookup!N2:N49)*National_totals!$I$12, 0), 0)</f>
        <v>0</v>
      </c>
    </row>
    <row r="39" spans="1:8" x14ac:dyDescent="0.45">
      <c r="A39" t="str">
        <f>State_lookup!B38</f>
        <v>Rhode Island</v>
      </c>
      <c r="B39">
        <f>IFERROR(ROUND(State_lookup!N38/SUM(State_lookup!N2:N49)*National_totals!$C$12, 0), 0)</f>
        <v>0</v>
      </c>
      <c r="C39">
        <f>IFERROR(ROUND(State_lookup!N38/SUM(State_lookup!N2:N49)*National_totals!$D$12, 0), 0)</f>
        <v>0</v>
      </c>
      <c r="D39">
        <f>IFERROR(ROUND(State_lookup!N38/SUM(State_lookup!N2:N49)*National_totals!$E$12, 0), 0)</f>
        <v>0</v>
      </c>
      <c r="E39">
        <f>IFERROR(ROUND(IF(State_lookup!X38&gt;0,MAX(State_lookup!N38/SUM(State_lookup!N2:N49)*National_totals!$F$12, Keys!$C$60),State_lookup!N38/SUM(State_lookup!N2:N49)*National_totals!$F$12), 0), 0)</f>
        <v>1</v>
      </c>
      <c r="F39">
        <f>IFERROR(ROUND(State_lookup!N38/SUM(State_lookup!N2:N49)*National_totals!$G$12, 0), 0)</f>
        <v>0</v>
      </c>
      <c r="G39">
        <f>IFERROR(ROUND(State_lookup!N38/SUM(State_lookup!N2:N49)*National_totals!$H$12, 0), 0)</f>
        <v>0</v>
      </c>
      <c r="H39">
        <f>IFERROR(ROUND(State_lookup!N38/SUM(State_lookup!N2:N49)*National_totals!$I$12, 0), 0)</f>
        <v>0</v>
      </c>
    </row>
    <row r="40" spans="1:8" x14ac:dyDescent="0.45">
      <c r="A40" t="str">
        <f>State_lookup!B39</f>
        <v>South Carolina</v>
      </c>
      <c r="B40">
        <f>IFERROR(ROUND(State_lookup!N39/SUM(State_lookup!N2:N49)*National_totals!$C$12, 0), 0)</f>
        <v>0</v>
      </c>
      <c r="C40">
        <f>IFERROR(ROUND(State_lookup!N39/SUM(State_lookup!N2:N49)*National_totals!$D$12, 0), 0)</f>
        <v>0</v>
      </c>
      <c r="D40">
        <f>IFERROR(ROUND(State_lookup!N39/SUM(State_lookup!N2:N49)*National_totals!$E$12, 0), 0)</f>
        <v>0</v>
      </c>
      <c r="E40">
        <f>IFERROR(ROUND(IF(State_lookup!X39&gt;0,MAX(State_lookup!N39/SUM(State_lookup!N2:N49)*National_totals!$F$12, Keys!$C$60),State_lookup!N39/SUM(State_lookup!N2:N49)*National_totals!$F$12), 0), 0)</f>
        <v>2</v>
      </c>
      <c r="F40">
        <f>IFERROR(ROUND(State_lookup!N39/SUM(State_lookup!N2:N49)*National_totals!$G$12, 0), 0)</f>
        <v>0</v>
      </c>
      <c r="G40">
        <f>IFERROR(ROUND(State_lookup!N39/SUM(State_lookup!N2:N49)*National_totals!$H$12, 0), 0)</f>
        <v>0</v>
      </c>
      <c r="H40">
        <f>IFERROR(ROUND(State_lookup!N39/SUM(State_lookup!N2:N49)*National_totals!$I$12, 0), 0)</f>
        <v>0</v>
      </c>
    </row>
    <row r="41" spans="1:8" x14ac:dyDescent="0.45">
      <c r="A41" t="str">
        <f>State_lookup!B40</f>
        <v>South Dakota</v>
      </c>
      <c r="B41">
        <f>IFERROR(ROUND(State_lookup!N40/SUM(State_lookup!N2:N49)*National_totals!$C$12, 0), 0)</f>
        <v>0</v>
      </c>
      <c r="C41">
        <f>IFERROR(ROUND(State_lookup!N40/SUM(State_lookup!N2:N49)*National_totals!$D$12, 0), 0)</f>
        <v>0</v>
      </c>
      <c r="D41">
        <f>IFERROR(ROUND(State_lookup!N40/SUM(State_lookup!N2:N49)*National_totals!$E$12, 0), 0)</f>
        <v>0</v>
      </c>
      <c r="E41">
        <f>IFERROR(ROUND(IF(State_lookup!X40&gt;0,MAX(State_lookup!N40/SUM(State_lookup!N2:N49)*National_totals!$F$12, Keys!$C$60),State_lookup!N40/SUM(State_lookup!N2:N49)*National_totals!$F$12), 0), 0)</f>
        <v>0</v>
      </c>
      <c r="F41">
        <f>IFERROR(ROUND(State_lookup!N40/SUM(State_lookup!N2:N49)*National_totals!$G$12, 0), 0)</f>
        <v>0</v>
      </c>
      <c r="G41">
        <f>IFERROR(ROUND(State_lookup!N40/SUM(State_lookup!N2:N49)*National_totals!$H$12, 0), 0)</f>
        <v>0</v>
      </c>
      <c r="H41">
        <f>IFERROR(ROUND(State_lookup!N40/SUM(State_lookup!N2:N49)*National_totals!$I$12, 0), 0)</f>
        <v>0</v>
      </c>
    </row>
    <row r="42" spans="1:8" x14ac:dyDescent="0.45">
      <c r="A42" t="str">
        <f>State_lookup!B41</f>
        <v>Tennessee</v>
      </c>
      <c r="B42">
        <f>IFERROR(ROUND(State_lookup!N41/SUM(State_lookup!N2:N49)*National_totals!$C$12, 0), 0)</f>
        <v>0</v>
      </c>
      <c r="C42">
        <f>IFERROR(ROUND(State_lookup!N41/SUM(State_lookup!N2:N49)*National_totals!$D$12, 0), 0)</f>
        <v>0</v>
      </c>
      <c r="D42">
        <f>IFERROR(ROUND(State_lookup!N41/SUM(State_lookup!N2:N49)*National_totals!$E$12, 0), 0)</f>
        <v>0</v>
      </c>
      <c r="E42">
        <f>IFERROR(ROUND(IF(State_lookup!X41&gt;0,MAX(State_lookup!N41/SUM(State_lookup!N2:N49)*National_totals!$F$12, Keys!$C$60),State_lookup!N41/SUM(State_lookup!N2:N49)*National_totals!$F$12), 0), 0)</f>
        <v>1</v>
      </c>
      <c r="F42">
        <f>IFERROR(ROUND(State_lookup!N41/SUM(State_lookup!N2:N49)*National_totals!$G$12, 0), 0)</f>
        <v>0</v>
      </c>
      <c r="G42">
        <f>IFERROR(ROUND(State_lookup!N41/SUM(State_lookup!N2:N49)*National_totals!$H$12, 0), 0)</f>
        <v>0</v>
      </c>
      <c r="H42">
        <f>IFERROR(ROUND(State_lookup!N41/SUM(State_lookup!N2:N49)*National_totals!$I$12, 0), 0)</f>
        <v>0</v>
      </c>
    </row>
    <row r="43" spans="1:8" x14ac:dyDescent="0.45">
      <c r="A43" t="str">
        <f>State_lookup!B42</f>
        <v>Texas</v>
      </c>
      <c r="B43">
        <f>IFERROR(ROUND(State_lookup!N42/SUM(State_lookup!N2:N49)*National_totals!$C$12, 0), 0)</f>
        <v>0</v>
      </c>
      <c r="C43">
        <f>IFERROR(ROUND(State_lookup!N42/SUM(State_lookup!N2:N49)*National_totals!$D$12, 0), 0)</f>
        <v>0</v>
      </c>
      <c r="D43">
        <f>IFERROR(ROUND(State_lookup!N42/SUM(State_lookup!N2:N49)*National_totals!$E$12, 0), 0)</f>
        <v>0</v>
      </c>
      <c r="E43">
        <f>IFERROR(ROUND(IF(State_lookup!X42&gt;0,MAX(State_lookup!N42/SUM(State_lookup!N2:N49)*National_totals!$F$12, Keys!$C$60),State_lookup!N42/SUM(State_lookup!N2:N49)*National_totals!$F$12), 0), 0)</f>
        <v>48</v>
      </c>
      <c r="F43">
        <f>IFERROR(ROUND(State_lookup!N42/SUM(State_lookup!N2:N49)*National_totals!$G$12, 0), 0)</f>
        <v>0</v>
      </c>
      <c r="G43">
        <f>IFERROR(ROUND(State_lookup!N42/SUM(State_lookup!N2:N49)*National_totals!$H$12, 0), 0)</f>
        <v>0</v>
      </c>
      <c r="H43">
        <f>IFERROR(ROUND(State_lookup!N42/SUM(State_lookup!N2:N49)*National_totals!$I$12, 0), 0)</f>
        <v>0</v>
      </c>
    </row>
    <row r="44" spans="1:8" x14ac:dyDescent="0.45">
      <c r="A44" t="str">
        <f>State_lookup!B43</f>
        <v>Utah</v>
      </c>
      <c r="B44">
        <f>IFERROR(ROUND(State_lookup!N43/SUM(State_lookup!N2:N49)*National_totals!$C$12, 0), 0)</f>
        <v>0</v>
      </c>
      <c r="C44">
        <f>IFERROR(ROUND(State_lookup!N43/SUM(State_lookup!N2:N49)*National_totals!$D$12, 0), 0)</f>
        <v>0</v>
      </c>
      <c r="D44">
        <f>IFERROR(ROUND(State_lookup!N43/SUM(State_lookup!N2:N49)*National_totals!$E$12, 0), 0)</f>
        <v>0</v>
      </c>
      <c r="E44">
        <f>IFERROR(ROUND(IF(State_lookup!X43&gt;0,MAX(State_lookup!N43/SUM(State_lookup!N2:N49)*National_totals!$F$12, Keys!$C$60),State_lookup!N43/SUM(State_lookup!N2:N49)*National_totals!$F$12), 0), 0)</f>
        <v>0</v>
      </c>
      <c r="F44">
        <f>IFERROR(ROUND(State_lookup!N43/SUM(State_lookup!N2:N49)*National_totals!$G$12, 0), 0)</f>
        <v>0</v>
      </c>
      <c r="G44">
        <f>IFERROR(ROUND(State_lookup!N43/SUM(State_lookup!N2:N49)*National_totals!$H$12, 0), 0)</f>
        <v>0</v>
      </c>
      <c r="H44">
        <f>IFERROR(ROUND(State_lookup!N43/SUM(State_lookup!N2:N49)*National_totals!$I$12, 0), 0)</f>
        <v>0</v>
      </c>
    </row>
    <row r="45" spans="1:8" x14ac:dyDescent="0.45">
      <c r="A45" t="str">
        <f>State_lookup!B44</f>
        <v>Vermont</v>
      </c>
      <c r="B45">
        <f>IFERROR(ROUND(State_lookup!N44/SUM(State_lookup!N2:N49)*National_totals!$C$12, 0), 0)</f>
        <v>0</v>
      </c>
      <c r="C45">
        <f>IFERROR(ROUND(State_lookup!N44/SUM(State_lookup!N2:N49)*National_totals!$D$12, 0), 0)</f>
        <v>0</v>
      </c>
      <c r="D45">
        <f>IFERROR(ROUND(State_lookup!N44/SUM(State_lookup!N2:N49)*National_totals!$E$12, 0), 0)</f>
        <v>0</v>
      </c>
      <c r="E45">
        <f>IFERROR(ROUND(IF(State_lookup!X44&gt;0,MAX(State_lookup!N44/SUM(State_lookup!N2:N49)*National_totals!$F$12, Keys!$C$60),State_lookup!N44/SUM(State_lookup!N2:N49)*National_totals!$F$12), 0), 0)</f>
        <v>1</v>
      </c>
      <c r="F45">
        <f>IFERROR(ROUND(State_lookup!N44/SUM(State_lookup!N2:N49)*National_totals!$G$12, 0), 0)</f>
        <v>0</v>
      </c>
      <c r="G45">
        <f>IFERROR(ROUND(State_lookup!N44/SUM(State_lookup!N2:N49)*National_totals!$H$12, 0), 0)</f>
        <v>0</v>
      </c>
      <c r="H45">
        <f>IFERROR(ROUND(State_lookup!N44/SUM(State_lookup!N2:N49)*National_totals!$I$12, 0), 0)</f>
        <v>0</v>
      </c>
    </row>
    <row r="46" spans="1:8" x14ac:dyDescent="0.45">
      <c r="A46" t="str">
        <f>State_lookup!B45</f>
        <v>Virginia</v>
      </c>
      <c r="B46">
        <f>IFERROR(ROUND(State_lookup!N45/SUM(State_lookup!N2:N49)*National_totals!$C$12, 0), 0)</f>
        <v>0</v>
      </c>
      <c r="C46">
        <f>IFERROR(ROUND(State_lookup!N45/SUM(State_lookup!N2:N49)*National_totals!$D$12, 0), 0)</f>
        <v>0</v>
      </c>
      <c r="D46">
        <f>IFERROR(ROUND(State_lookup!N45/SUM(State_lookup!N2:N49)*National_totals!$E$12, 0), 0)</f>
        <v>0</v>
      </c>
      <c r="E46">
        <f>IFERROR(ROUND(IF(State_lookup!X45&gt;0,MAX(State_lookup!N45/SUM(State_lookup!N2:N49)*National_totals!$F$12, Keys!$C$60),State_lookup!N45/SUM(State_lookup!N2:N49)*National_totals!$F$12), 0), 0)</f>
        <v>4</v>
      </c>
      <c r="F46">
        <f>IFERROR(ROUND(State_lookup!N45/SUM(State_lookup!N2:N49)*National_totals!$G$12, 0), 0)</f>
        <v>0</v>
      </c>
      <c r="G46">
        <f>IFERROR(ROUND(State_lookup!N45/SUM(State_lookup!N2:N49)*National_totals!$H$12, 0), 0)</f>
        <v>0</v>
      </c>
      <c r="H46">
        <f>IFERROR(ROUND(State_lookup!N45/SUM(State_lookup!N2:N49)*National_totals!$I$12, 0), 0)</f>
        <v>0</v>
      </c>
    </row>
    <row r="47" spans="1:8" x14ac:dyDescent="0.45">
      <c r="A47" t="str">
        <f>State_lookup!B46</f>
        <v>Washington</v>
      </c>
      <c r="B47">
        <f>IFERROR(ROUND(State_lookup!N46/SUM(State_lookup!N2:N49)*National_totals!$C$12, 0), 0)</f>
        <v>0</v>
      </c>
      <c r="C47">
        <f>IFERROR(ROUND(State_lookup!N46/SUM(State_lookup!N2:N49)*National_totals!$D$12, 0), 0)</f>
        <v>0</v>
      </c>
      <c r="D47">
        <f>IFERROR(ROUND(State_lookup!N46/SUM(State_lookup!N2:N49)*National_totals!$E$12, 0), 0)</f>
        <v>0</v>
      </c>
      <c r="E47">
        <f>IFERROR(ROUND(IF(State_lookup!X46&gt;0,MAX(State_lookup!N46/SUM(State_lookup!N2:N49)*National_totals!$F$12, Keys!$C$60),State_lookup!N46/SUM(State_lookup!N2:N49)*National_totals!$F$12), 0), 0)</f>
        <v>6</v>
      </c>
      <c r="F47">
        <f>IFERROR(ROUND(State_lookup!N46/SUM(State_lookup!N2:N49)*National_totals!$G$12, 0), 0)</f>
        <v>0</v>
      </c>
      <c r="G47">
        <f>IFERROR(ROUND(State_lookup!N46/SUM(State_lookup!N2:N49)*National_totals!$H$12, 0), 0)</f>
        <v>0</v>
      </c>
      <c r="H47">
        <f>IFERROR(ROUND(State_lookup!N46/SUM(State_lookup!N2:N49)*National_totals!$I$12, 0), 0)</f>
        <v>0</v>
      </c>
    </row>
    <row r="48" spans="1:8" x14ac:dyDescent="0.45">
      <c r="A48" t="str">
        <f>State_lookup!B47</f>
        <v>West Virginia</v>
      </c>
      <c r="B48">
        <f>IFERROR(ROUND(State_lookup!N47/SUM(State_lookup!N2:N49)*National_totals!$C$12, 0), 0)</f>
        <v>0</v>
      </c>
      <c r="C48">
        <f>IFERROR(ROUND(State_lookup!N47/SUM(State_lookup!N2:N49)*National_totals!$D$12, 0), 0)</f>
        <v>0</v>
      </c>
      <c r="D48">
        <f>IFERROR(ROUND(State_lookup!N47/SUM(State_lookup!N2:N49)*National_totals!$E$12, 0), 0)</f>
        <v>0</v>
      </c>
      <c r="E48">
        <f>IFERROR(ROUND(IF(State_lookup!X47&gt;0,MAX(State_lookup!N47/SUM(State_lookup!N2:N49)*National_totals!$F$12, Keys!$C$60),State_lookup!N47/SUM(State_lookup!N2:N49)*National_totals!$F$12), 0), 0)</f>
        <v>4</v>
      </c>
      <c r="F48">
        <f>IFERROR(ROUND(State_lookup!N47/SUM(State_lookup!N2:N49)*National_totals!$G$12, 0), 0)</f>
        <v>0</v>
      </c>
      <c r="G48">
        <f>IFERROR(ROUND(State_lookup!N47/SUM(State_lookup!N2:N49)*National_totals!$H$12, 0), 0)</f>
        <v>0</v>
      </c>
      <c r="H48">
        <f>IFERROR(ROUND(State_lookup!N47/SUM(State_lookup!N2:N49)*National_totals!$I$12, 0), 0)</f>
        <v>0</v>
      </c>
    </row>
    <row r="49" spans="1:8" x14ac:dyDescent="0.45">
      <c r="A49" t="str">
        <f>State_lookup!B48</f>
        <v>Wisconsin</v>
      </c>
      <c r="B49">
        <f>IFERROR(ROUND(State_lookup!N48/SUM(State_lookup!N2:N49)*National_totals!$C$12, 0), 0)</f>
        <v>0</v>
      </c>
      <c r="C49">
        <f>IFERROR(ROUND(State_lookup!N48/SUM(State_lookup!N2:N49)*National_totals!$D$12, 0), 0)</f>
        <v>0</v>
      </c>
      <c r="D49">
        <f>IFERROR(ROUND(State_lookup!N48/SUM(State_lookup!N2:N49)*National_totals!$E$12, 0), 0)</f>
        <v>0</v>
      </c>
      <c r="E49">
        <f>IFERROR(ROUND(IF(State_lookup!X48&gt;0,MAX(State_lookup!N48/SUM(State_lookup!N2:N49)*National_totals!$F$12, Keys!$C$60),State_lookup!N48/SUM(State_lookup!N2:N49)*National_totals!$F$12), 0), 0)</f>
        <v>1</v>
      </c>
      <c r="F49">
        <f>IFERROR(ROUND(State_lookup!N48/SUM(State_lookup!N2:N49)*National_totals!$G$12, 0), 0)</f>
        <v>0</v>
      </c>
      <c r="G49">
        <f>IFERROR(ROUND(State_lookup!N48/SUM(State_lookup!N2:N49)*National_totals!$H$12, 0), 0)</f>
        <v>0</v>
      </c>
      <c r="H49">
        <f>IFERROR(ROUND(State_lookup!N48/SUM(State_lookup!N2:N49)*National_totals!$I$12, 0), 0)</f>
        <v>0</v>
      </c>
    </row>
    <row r="50" spans="1:8" x14ac:dyDescent="0.45">
      <c r="A50" t="str">
        <f>State_lookup!B49</f>
        <v>Wyoming</v>
      </c>
      <c r="B50">
        <f>IFERROR(ROUND(State_lookup!N49/SUM(State_lookup!N2:N49)*National_totals!$C$12, 0), 0)</f>
        <v>0</v>
      </c>
      <c r="C50">
        <f>IFERROR(ROUND(State_lookup!N49/SUM(State_lookup!N2:N49)*National_totals!$D$12, 0), 0)</f>
        <v>0</v>
      </c>
      <c r="D50">
        <f>IFERROR(ROUND(State_lookup!N49/SUM(State_lookup!N2:N49)*National_totals!$E$12, 0), 0)</f>
        <v>0</v>
      </c>
      <c r="E50">
        <f>IFERROR(ROUND(IF(State_lookup!X49&gt;0,MAX(State_lookup!N49/SUM(State_lookup!N2:N49)*National_totals!$F$12, Keys!$C$60),State_lookup!N49/SUM(State_lookup!N2:N49)*National_totals!$F$12), 0), 0)</f>
        <v>0</v>
      </c>
      <c r="F50">
        <f>IFERROR(ROUND(State_lookup!N49/SUM(State_lookup!N2:N49)*National_totals!$G$12, 0), 0)</f>
        <v>0</v>
      </c>
      <c r="G50">
        <f>IFERROR(ROUND(State_lookup!N49/SUM(State_lookup!N2:N49)*National_totals!$H$12, 0), 0)</f>
        <v>0</v>
      </c>
      <c r="H50">
        <f>IFERROR(ROUND(State_lookup!N49/SUM(State_lookup!N2:N49)*National_totals!$I$12, 0), 0)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0</v>
      </c>
      <c r="E51" s="4">
        <f t="shared" si="0"/>
        <v>170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National_totals!$C$12</f>
        <v>0</v>
      </c>
      <c r="C52" s="4">
        <f>National_totals!$D$12</f>
        <v>0</v>
      </c>
      <c r="D52" s="4">
        <f>National_totals!$E$12</f>
        <v>0</v>
      </c>
      <c r="E52" s="4">
        <f>National_totals!$F$12</f>
        <v>164</v>
      </c>
      <c r="F52" s="4">
        <f>National_totals!$G$12</f>
        <v>0</v>
      </c>
      <c r="G52" s="4">
        <f>National_totals!$H$12</f>
        <v>0</v>
      </c>
      <c r="H52" s="4">
        <f>National_totals!$I$12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3.6585365853658534E-2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53"/>
  <sheetViews>
    <sheetView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22" customWidth="1"/>
    <col min="2" max="8" width="16" customWidth="1"/>
  </cols>
  <sheetData>
    <row r="1" spans="1:8" ht="15.75" x14ac:dyDescent="0.5">
      <c r="A1" s="3" t="s">
        <v>348</v>
      </c>
    </row>
    <row r="2" spans="1:8" x14ac:dyDescent="0.45">
      <c r="A2" s="4" t="s">
        <v>36</v>
      </c>
      <c r="B2" s="4" t="s">
        <v>198</v>
      </c>
      <c r="C2" s="4" t="s">
        <v>201</v>
      </c>
      <c r="D2" s="4" t="s">
        <v>204</v>
      </c>
      <c r="E2" s="4" t="s">
        <v>207</v>
      </c>
      <c r="F2" s="4" t="s">
        <v>210</v>
      </c>
      <c r="G2" s="4" t="s">
        <v>213</v>
      </c>
      <c r="H2" s="4" t="s">
        <v>216</v>
      </c>
    </row>
    <row r="3" spans="1:8" x14ac:dyDescent="0.45">
      <c r="A3" t="str">
        <f>State_lookup!B2</f>
        <v>Alabama</v>
      </c>
      <c r="B3">
        <f>0</f>
        <v>0</v>
      </c>
      <c r="C3">
        <f>0</f>
        <v>0</v>
      </c>
      <c r="D3">
        <f>0</f>
        <v>0</v>
      </c>
      <c r="E3">
        <f>0</f>
        <v>0</v>
      </c>
      <c r="F3">
        <f>0</f>
        <v>0</v>
      </c>
      <c r="G3">
        <f>0</f>
        <v>0</v>
      </c>
      <c r="H3">
        <f>0</f>
        <v>0</v>
      </c>
    </row>
    <row r="4" spans="1:8" x14ac:dyDescent="0.45">
      <c r="A4" t="str">
        <f>State_lookup!B3</f>
        <v>Arizona</v>
      </c>
      <c r="B4">
        <f>0</f>
        <v>0</v>
      </c>
      <c r="C4">
        <f>0</f>
        <v>0</v>
      </c>
      <c r="D4">
        <f>0</f>
        <v>0</v>
      </c>
      <c r="E4">
        <f>0</f>
        <v>0</v>
      </c>
      <c r="F4">
        <f>0</f>
        <v>0</v>
      </c>
      <c r="G4">
        <f>0</f>
        <v>0</v>
      </c>
      <c r="H4">
        <f>0</f>
        <v>0</v>
      </c>
    </row>
    <row r="5" spans="1:8" x14ac:dyDescent="0.45">
      <c r="A5" t="str">
        <f>State_lookup!B4</f>
        <v>Arkansas</v>
      </c>
      <c r="B5">
        <f>0</f>
        <v>0</v>
      </c>
      <c r="C5">
        <f>0</f>
        <v>0</v>
      </c>
      <c r="D5">
        <f>0</f>
        <v>0</v>
      </c>
      <c r="E5">
        <f>0</f>
        <v>0</v>
      </c>
      <c r="F5">
        <f>0</f>
        <v>0</v>
      </c>
      <c r="G5">
        <f>0</f>
        <v>0</v>
      </c>
      <c r="H5">
        <f>0</f>
        <v>0</v>
      </c>
    </row>
    <row r="6" spans="1:8" x14ac:dyDescent="0.45">
      <c r="A6" t="str">
        <f>State_lookup!B5</f>
        <v>California</v>
      </c>
      <c r="B6">
        <f>0</f>
        <v>0</v>
      </c>
      <c r="C6">
        <f>0</f>
        <v>0</v>
      </c>
      <c r="D6">
        <f>0</f>
        <v>0</v>
      </c>
      <c r="E6">
        <f>0</f>
        <v>0</v>
      </c>
      <c r="F6">
        <f>0</f>
        <v>0</v>
      </c>
      <c r="G6">
        <f>0</f>
        <v>0</v>
      </c>
      <c r="H6">
        <f>0</f>
        <v>0</v>
      </c>
    </row>
    <row r="7" spans="1:8" x14ac:dyDescent="0.45">
      <c r="A7" t="str">
        <f>State_lookup!B6</f>
        <v>Colorado</v>
      </c>
      <c r="B7">
        <f>0</f>
        <v>0</v>
      </c>
      <c r="C7">
        <f>0</f>
        <v>0</v>
      </c>
      <c r="D7">
        <f>0</f>
        <v>0</v>
      </c>
      <c r="E7">
        <f>0</f>
        <v>0</v>
      </c>
      <c r="F7">
        <f>0</f>
        <v>0</v>
      </c>
      <c r="G7">
        <f>0</f>
        <v>0</v>
      </c>
      <c r="H7">
        <f>0</f>
        <v>0</v>
      </c>
    </row>
    <row r="8" spans="1:8" x14ac:dyDescent="0.45">
      <c r="A8" t="str">
        <f>State_lookup!B7</f>
        <v>Connecticut</v>
      </c>
      <c r="B8">
        <f>0</f>
        <v>0</v>
      </c>
      <c r="C8">
        <f>0</f>
        <v>0</v>
      </c>
      <c r="D8">
        <f>0</f>
        <v>0</v>
      </c>
      <c r="E8">
        <f>0</f>
        <v>0</v>
      </c>
      <c r="F8">
        <f>0</f>
        <v>0</v>
      </c>
      <c r="G8">
        <f>0</f>
        <v>0</v>
      </c>
      <c r="H8">
        <f>0</f>
        <v>0</v>
      </c>
    </row>
    <row r="9" spans="1:8" x14ac:dyDescent="0.45">
      <c r="A9" t="str">
        <f>State_lookup!B8</f>
        <v>Delaware</v>
      </c>
      <c r="B9">
        <f>0</f>
        <v>0</v>
      </c>
      <c r="C9">
        <f>0</f>
        <v>0</v>
      </c>
      <c r="D9">
        <f>0</f>
        <v>0</v>
      </c>
      <c r="E9">
        <f>0</f>
        <v>0</v>
      </c>
      <c r="F9">
        <f>0</f>
        <v>0</v>
      </c>
      <c r="G9">
        <f>0</f>
        <v>0</v>
      </c>
      <c r="H9">
        <f>0</f>
        <v>0</v>
      </c>
    </row>
    <row r="10" spans="1:8" x14ac:dyDescent="0.45">
      <c r="A10" t="str">
        <f>State_lookup!B9</f>
        <v>Florida</v>
      </c>
      <c r="B10">
        <f>0</f>
        <v>0</v>
      </c>
      <c r="C10">
        <f>0</f>
        <v>0</v>
      </c>
      <c r="D10">
        <f>0</f>
        <v>0</v>
      </c>
      <c r="E10">
        <f>0</f>
        <v>0</v>
      </c>
      <c r="F10">
        <f>0</f>
        <v>0</v>
      </c>
      <c r="G10">
        <f>0</f>
        <v>0</v>
      </c>
      <c r="H10">
        <f>0</f>
        <v>0</v>
      </c>
    </row>
    <row r="11" spans="1:8" x14ac:dyDescent="0.45">
      <c r="A11" t="str">
        <f>State_lookup!B10</f>
        <v>Georgia</v>
      </c>
      <c r="B11">
        <f>0</f>
        <v>0</v>
      </c>
      <c r="C11">
        <f>0</f>
        <v>0</v>
      </c>
      <c r="D11">
        <f>0</f>
        <v>0</v>
      </c>
      <c r="E11">
        <f>0</f>
        <v>0</v>
      </c>
      <c r="F11">
        <f>0</f>
        <v>0</v>
      </c>
      <c r="G11">
        <f>0</f>
        <v>0</v>
      </c>
      <c r="H11">
        <f>0</f>
        <v>0</v>
      </c>
    </row>
    <row r="12" spans="1:8" x14ac:dyDescent="0.45">
      <c r="A12" t="str">
        <f>State_lookup!B11</f>
        <v>Idaho</v>
      </c>
      <c r="B12">
        <f>0</f>
        <v>0</v>
      </c>
      <c r="C12">
        <f>0</f>
        <v>0</v>
      </c>
      <c r="D12">
        <f>0</f>
        <v>0</v>
      </c>
      <c r="E12">
        <f>0</f>
        <v>0</v>
      </c>
      <c r="F12">
        <f>0</f>
        <v>0</v>
      </c>
      <c r="G12">
        <f>0</f>
        <v>0</v>
      </c>
      <c r="H12">
        <f>0</f>
        <v>0</v>
      </c>
    </row>
    <row r="13" spans="1:8" x14ac:dyDescent="0.45">
      <c r="A13" t="str">
        <f>State_lookup!B12</f>
        <v>Illinois</v>
      </c>
      <c r="B13">
        <f>0</f>
        <v>0</v>
      </c>
      <c r="C13">
        <f>0</f>
        <v>0</v>
      </c>
      <c r="D13">
        <f>0</f>
        <v>0</v>
      </c>
      <c r="E13">
        <f>0</f>
        <v>0</v>
      </c>
      <c r="F13">
        <f>0</f>
        <v>0</v>
      </c>
      <c r="G13">
        <f>0</f>
        <v>0</v>
      </c>
      <c r="H13">
        <f>0</f>
        <v>0</v>
      </c>
    </row>
    <row r="14" spans="1:8" x14ac:dyDescent="0.45">
      <c r="A14" t="str">
        <f>State_lookup!B13</f>
        <v>Indiana</v>
      </c>
      <c r="B14">
        <f>0</f>
        <v>0</v>
      </c>
      <c r="C14">
        <f>0</f>
        <v>0</v>
      </c>
      <c r="D14">
        <f>0</f>
        <v>0</v>
      </c>
      <c r="E14">
        <f>0</f>
        <v>0</v>
      </c>
      <c r="F14">
        <f>0</f>
        <v>0</v>
      </c>
      <c r="G14">
        <f>0</f>
        <v>0</v>
      </c>
      <c r="H14">
        <f>0</f>
        <v>0</v>
      </c>
    </row>
    <row r="15" spans="1:8" x14ac:dyDescent="0.45">
      <c r="A15" t="str">
        <f>State_lookup!B14</f>
        <v>Iowa</v>
      </c>
      <c r="B15">
        <f>0</f>
        <v>0</v>
      </c>
      <c r="C15">
        <f>0</f>
        <v>0</v>
      </c>
      <c r="D15">
        <f>0</f>
        <v>0</v>
      </c>
      <c r="E15">
        <f>0</f>
        <v>0</v>
      </c>
      <c r="F15">
        <f>0</f>
        <v>0</v>
      </c>
      <c r="G15">
        <f>0</f>
        <v>0</v>
      </c>
      <c r="H15">
        <f>0</f>
        <v>0</v>
      </c>
    </row>
    <row r="16" spans="1:8" x14ac:dyDescent="0.45">
      <c r="A16" t="str">
        <f>State_lookup!B15</f>
        <v>Kansas</v>
      </c>
      <c r="B16">
        <f>0</f>
        <v>0</v>
      </c>
      <c r="C16">
        <f>0</f>
        <v>0</v>
      </c>
      <c r="D16">
        <f>0</f>
        <v>0</v>
      </c>
      <c r="E16">
        <f>0</f>
        <v>0</v>
      </c>
      <c r="F16">
        <f>0</f>
        <v>0</v>
      </c>
      <c r="G16">
        <f>0</f>
        <v>0</v>
      </c>
      <c r="H16">
        <f>0</f>
        <v>0</v>
      </c>
    </row>
    <row r="17" spans="1:8" x14ac:dyDescent="0.45">
      <c r="A17" t="str">
        <f>State_lookup!B16</f>
        <v>Kentucky</v>
      </c>
      <c r="B17">
        <f>0</f>
        <v>0</v>
      </c>
      <c r="C17">
        <f>0</f>
        <v>0</v>
      </c>
      <c r="D17">
        <f>0</f>
        <v>0</v>
      </c>
      <c r="E17">
        <f>0</f>
        <v>0</v>
      </c>
      <c r="F17">
        <f>0</f>
        <v>0</v>
      </c>
      <c r="G17">
        <f>0</f>
        <v>0</v>
      </c>
      <c r="H17">
        <f>0</f>
        <v>0</v>
      </c>
    </row>
    <row r="18" spans="1:8" x14ac:dyDescent="0.45">
      <c r="A18" t="str">
        <f>State_lookup!B17</f>
        <v>Louisiana</v>
      </c>
      <c r="B18">
        <f>0</f>
        <v>0</v>
      </c>
      <c r="C18">
        <f>0</f>
        <v>0</v>
      </c>
      <c r="D18">
        <f>0</f>
        <v>0</v>
      </c>
      <c r="E18">
        <f>0</f>
        <v>0</v>
      </c>
      <c r="F18">
        <f>0</f>
        <v>0</v>
      </c>
      <c r="G18">
        <f>0</f>
        <v>0</v>
      </c>
      <c r="H18">
        <f>0</f>
        <v>0</v>
      </c>
    </row>
    <row r="19" spans="1:8" x14ac:dyDescent="0.45">
      <c r="A19" t="str">
        <f>State_lookup!B18</f>
        <v>Maine</v>
      </c>
      <c r="B19">
        <f>0</f>
        <v>0</v>
      </c>
      <c r="C19">
        <f>0</f>
        <v>0</v>
      </c>
      <c r="D19">
        <f>0</f>
        <v>0</v>
      </c>
      <c r="E19">
        <f>0</f>
        <v>0</v>
      </c>
      <c r="F19">
        <f>0</f>
        <v>0</v>
      </c>
      <c r="G19">
        <f>0</f>
        <v>0</v>
      </c>
      <c r="H19">
        <f>0</f>
        <v>0</v>
      </c>
    </row>
    <row r="20" spans="1:8" x14ac:dyDescent="0.45">
      <c r="A20" t="str">
        <f>State_lookup!B19</f>
        <v>Maryland</v>
      </c>
      <c r="B20">
        <f>0</f>
        <v>0</v>
      </c>
      <c r="C20">
        <f>0</f>
        <v>0</v>
      </c>
      <c r="D20">
        <f>0</f>
        <v>0</v>
      </c>
      <c r="E20">
        <f>0</f>
        <v>0</v>
      </c>
      <c r="F20">
        <f>0</f>
        <v>0</v>
      </c>
      <c r="G20">
        <f>0</f>
        <v>0</v>
      </c>
      <c r="H20">
        <f>0</f>
        <v>0</v>
      </c>
    </row>
    <row r="21" spans="1:8" x14ac:dyDescent="0.45">
      <c r="A21" t="str">
        <f>State_lookup!B20</f>
        <v>Massachusetts</v>
      </c>
      <c r="B21">
        <f>0</f>
        <v>0</v>
      </c>
      <c r="C21">
        <f>0</f>
        <v>0</v>
      </c>
      <c r="D21">
        <f>0</f>
        <v>0</v>
      </c>
      <c r="E21">
        <f>0</f>
        <v>0</v>
      </c>
      <c r="F21">
        <f>0</f>
        <v>0</v>
      </c>
      <c r="G21">
        <f>0</f>
        <v>0</v>
      </c>
      <c r="H21">
        <f>0</f>
        <v>0</v>
      </c>
    </row>
    <row r="22" spans="1:8" x14ac:dyDescent="0.45">
      <c r="A22" t="str">
        <f>State_lookup!B21</f>
        <v>Michigan</v>
      </c>
      <c r="B22">
        <f>0</f>
        <v>0</v>
      </c>
      <c r="C22">
        <f>0</f>
        <v>0</v>
      </c>
      <c r="D22">
        <f>0</f>
        <v>0</v>
      </c>
      <c r="E22">
        <f>0</f>
        <v>0</v>
      </c>
      <c r="F22">
        <f>0</f>
        <v>0</v>
      </c>
      <c r="G22">
        <f>0</f>
        <v>0</v>
      </c>
      <c r="H22">
        <f>0</f>
        <v>0</v>
      </c>
    </row>
    <row r="23" spans="1:8" x14ac:dyDescent="0.45">
      <c r="A23" t="str">
        <f>State_lookup!B22</f>
        <v>Minnesota</v>
      </c>
      <c r="B23">
        <f>0</f>
        <v>0</v>
      </c>
      <c r="C23">
        <f>0</f>
        <v>0</v>
      </c>
      <c r="D23">
        <f>0</f>
        <v>0</v>
      </c>
      <c r="E23">
        <f>0</f>
        <v>0</v>
      </c>
      <c r="F23">
        <f>0</f>
        <v>0</v>
      </c>
      <c r="G23">
        <f>0</f>
        <v>0</v>
      </c>
      <c r="H23">
        <f>0</f>
        <v>0</v>
      </c>
    </row>
    <row r="24" spans="1:8" x14ac:dyDescent="0.45">
      <c r="A24" t="str">
        <f>State_lookup!B23</f>
        <v>Mississippi</v>
      </c>
      <c r="B24">
        <f>0</f>
        <v>0</v>
      </c>
      <c r="C24">
        <f>0</f>
        <v>0</v>
      </c>
      <c r="D24">
        <f>0</f>
        <v>0</v>
      </c>
      <c r="E24">
        <f>0</f>
        <v>0</v>
      </c>
      <c r="F24">
        <f>0</f>
        <v>0</v>
      </c>
      <c r="G24">
        <f>0</f>
        <v>0</v>
      </c>
      <c r="H24">
        <f>0</f>
        <v>0</v>
      </c>
    </row>
    <row r="25" spans="1:8" x14ac:dyDescent="0.45">
      <c r="A25" t="str">
        <f>State_lookup!B24</f>
        <v>Missouri</v>
      </c>
      <c r="B25">
        <f>0</f>
        <v>0</v>
      </c>
      <c r="C25">
        <f>0</f>
        <v>0</v>
      </c>
      <c r="D25">
        <f>0</f>
        <v>0</v>
      </c>
      <c r="E25">
        <f>0</f>
        <v>0</v>
      </c>
      <c r="F25">
        <f>0</f>
        <v>0</v>
      </c>
      <c r="G25">
        <f>0</f>
        <v>0</v>
      </c>
      <c r="H25">
        <f>0</f>
        <v>0</v>
      </c>
    </row>
    <row r="26" spans="1:8" x14ac:dyDescent="0.45">
      <c r="A26" t="str">
        <f>State_lookup!B25</f>
        <v>Montana</v>
      </c>
      <c r="B26">
        <f>0</f>
        <v>0</v>
      </c>
      <c r="C26">
        <f>0</f>
        <v>0</v>
      </c>
      <c r="D26">
        <f>0</f>
        <v>0</v>
      </c>
      <c r="E26">
        <f>0</f>
        <v>0</v>
      </c>
      <c r="F26">
        <f>0</f>
        <v>0</v>
      </c>
      <c r="G26">
        <f>0</f>
        <v>0</v>
      </c>
      <c r="H26">
        <f>0</f>
        <v>0</v>
      </c>
    </row>
    <row r="27" spans="1:8" x14ac:dyDescent="0.45">
      <c r="A27" t="str">
        <f>State_lookup!B26</f>
        <v>Nebraska</v>
      </c>
      <c r="B27">
        <f>0</f>
        <v>0</v>
      </c>
      <c r="C27">
        <f>0</f>
        <v>0</v>
      </c>
      <c r="D27">
        <f>0</f>
        <v>0</v>
      </c>
      <c r="E27">
        <f>0</f>
        <v>0</v>
      </c>
      <c r="F27">
        <f>0</f>
        <v>0</v>
      </c>
      <c r="G27">
        <f>0</f>
        <v>0</v>
      </c>
      <c r="H27">
        <f>0</f>
        <v>0</v>
      </c>
    </row>
    <row r="28" spans="1:8" x14ac:dyDescent="0.45">
      <c r="A28" t="str">
        <f>State_lookup!B27</f>
        <v>Nevada</v>
      </c>
      <c r="B28">
        <f>0</f>
        <v>0</v>
      </c>
      <c r="C28">
        <f>0</f>
        <v>0</v>
      </c>
      <c r="D28">
        <f>0</f>
        <v>0</v>
      </c>
      <c r="E28">
        <f>0</f>
        <v>0</v>
      </c>
      <c r="F28">
        <f>0</f>
        <v>0</v>
      </c>
      <c r="G28">
        <f>0</f>
        <v>0</v>
      </c>
      <c r="H28">
        <f>0</f>
        <v>0</v>
      </c>
    </row>
    <row r="29" spans="1:8" x14ac:dyDescent="0.45">
      <c r="A29" t="str">
        <f>State_lookup!B28</f>
        <v>New Hampshire</v>
      </c>
      <c r="B29">
        <f>0</f>
        <v>0</v>
      </c>
      <c r="C29">
        <f>0</f>
        <v>0</v>
      </c>
      <c r="D29">
        <f>0</f>
        <v>0</v>
      </c>
      <c r="E29">
        <f>0</f>
        <v>0</v>
      </c>
      <c r="F29">
        <f>0</f>
        <v>0</v>
      </c>
      <c r="G29">
        <f>0</f>
        <v>0</v>
      </c>
      <c r="H29">
        <f>0</f>
        <v>0</v>
      </c>
    </row>
    <row r="30" spans="1:8" x14ac:dyDescent="0.45">
      <c r="A30" t="str">
        <f>State_lookup!B29</f>
        <v>New Jersey</v>
      </c>
      <c r="B30">
        <f>0</f>
        <v>0</v>
      </c>
      <c r="C30">
        <f>0</f>
        <v>0</v>
      </c>
      <c r="D30">
        <f>0</f>
        <v>0</v>
      </c>
      <c r="E30">
        <f>0</f>
        <v>0</v>
      </c>
      <c r="F30">
        <f>0</f>
        <v>0</v>
      </c>
      <c r="G30">
        <f>0</f>
        <v>0</v>
      </c>
      <c r="H30">
        <f>0</f>
        <v>0</v>
      </c>
    </row>
    <row r="31" spans="1:8" x14ac:dyDescent="0.45">
      <c r="A31" t="str">
        <f>State_lookup!B30</f>
        <v>New Mexico</v>
      </c>
      <c r="B31">
        <f>0</f>
        <v>0</v>
      </c>
      <c r="C31">
        <f>0</f>
        <v>0</v>
      </c>
      <c r="D31">
        <f>0</f>
        <v>0</v>
      </c>
      <c r="E31">
        <f>0</f>
        <v>0</v>
      </c>
      <c r="F31">
        <f>0</f>
        <v>0</v>
      </c>
      <c r="G31">
        <f>0</f>
        <v>0</v>
      </c>
      <c r="H31">
        <f>0</f>
        <v>0</v>
      </c>
    </row>
    <row r="32" spans="1:8" x14ac:dyDescent="0.45">
      <c r="A32" t="str">
        <f>State_lookup!B31</f>
        <v>New York</v>
      </c>
      <c r="B32">
        <f>0</f>
        <v>0</v>
      </c>
      <c r="C32">
        <f>0</f>
        <v>0</v>
      </c>
      <c r="D32">
        <f>0</f>
        <v>0</v>
      </c>
      <c r="E32">
        <f>0</f>
        <v>0</v>
      </c>
      <c r="F32">
        <f>0</f>
        <v>0</v>
      </c>
      <c r="G32">
        <f>0</f>
        <v>0</v>
      </c>
      <c r="H32">
        <f>0</f>
        <v>0</v>
      </c>
    </row>
    <row r="33" spans="1:8" x14ac:dyDescent="0.45">
      <c r="A33" t="str">
        <f>State_lookup!B32</f>
        <v>North Carolina</v>
      </c>
      <c r="B33">
        <f>0</f>
        <v>0</v>
      </c>
      <c r="C33">
        <f>0</f>
        <v>0</v>
      </c>
      <c r="D33">
        <f>0</f>
        <v>0</v>
      </c>
      <c r="E33">
        <f>0</f>
        <v>0</v>
      </c>
      <c r="F33">
        <f>0</f>
        <v>0</v>
      </c>
      <c r="G33">
        <f>0</f>
        <v>0</v>
      </c>
      <c r="H33">
        <f>0</f>
        <v>0</v>
      </c>
    </row>
    <row r="34" spans="1:8" x14ac:dyDescent="0.45">
      <c r="A34" t="str">
        <f>State_lookup!B33</f>
        <v>North Dakota</v>
      </c>
      <c r="B34">
        <f>0</f>
        <v>0</v>
      </c>
      <c r="C34">
        <f>0</f>
        <v>0</v>
      </c>
      <c r="D34">
        <f>0</f>
        <v>0</v>
      </c>
      <c r="E34">
        <f>0</f>
        <v>0</v>
      </c>
      <c r="F34">
        <f>0</f>
        <v>0</v>
      </c>
      <c r="G34">
        <f>0</f>
        <v>0</v>
      </c>
      <c r="H34">
        <f>0</f>
        <v>0</v>
      </c>
    </row>
    <row r="35" spans="1:8" x14ac:dyDescent="0.45">
      <c r="A35" t="str">
        <f>State_lookup!B34</f>
        <v>Ohio</v>
      </c>
      <c r="B35">
        <f>0</f>
        <v>0</v>
      </c>
      <c r="C35">
        <f>0</f>
        <v>0</v>
      </c>
      <c r="D35">
        <f>0</f>
        <v>0</v>
      </c>
      <c r="E35">
        <f>0</f>
        <v>0</v>
      </c>
      <c r="F35">
        <f>0</f>
        <v>0</v>
      </c>
      <c r="G35">
        <f>0</f>
        <v>0</v>
      </c>
      <c r="H35">
        <f>0</f>
        <v>0</v>
      </c>
    </row>
    <row r="36" spans="1:8" x14ac:dyDescent="0.45">
      <c r="A36" t="str">
        <f>State_lookup!B35</f>
        <v>Oklahoma</v>
      </c>
      <c r="B36">
        <f>0</f>
        <v>0</v>
      </c>
      <c r="C36">
        <f>0</f>
        <v>0</v>
      </c>
      <c r="D36">
        <f>0</f>
        <v>0</v>
      </c>
      <c r="E36">
        <f>0</f>
        <v>0</v>
      </c>
      <c r="F36">
        <f>0</f>
        <v>0</v>
      </c>
      <c r="G36">
        <f>0</f>
        <v>0</v>
      </c>
      <c r="H36">
        <f>0</f>
        <v>0</v>
      </c>
    </row>
    <row r="37" spans="1:8" x14ac:dyDescent="0.45">
      <c r="A37" t="str">
        <f>State_lookup!B36</f>
        <v>Oregon</v>
      </c>
      <c r="B37">
        <f>0</f>
        <v>0</v>
      </c>
      <c r="C37">
        <f>0</f>
        <v>0</v>
      </c>
      <c r="D37">
        <f>0</f>
        <v>0</v>
      </c>
      <c r="E37">
        <f>0</f>
        <v>0</v>
      </c>
      <c r="F37">
        <f>0</f>
        <v>0</v>
      </c>
      <c r="G37">
        <f>0</f>
        <v>0</v>
      </c>
      <c r="H37">
        <f>0</f>
        <v>0</v>
      </c>
    </row>
    <row r="38" spans="1:8" x14ac:dyDescent="0.45">
      <c r="A38" t="str">
        <f>State_lookup!B37</f>
        <v>Pennsylvania</v>
      </c>
      <c r="B38">
        <f>0</f>
        <v>0</v>
      </c>
      <c r="C38">
        <f>0</f>
        <v>0</v>
      </c>
      <c r="D38">
        <f>0</f>
        <v>0</v>
      </c>
      <c r="E38">
        <f>0</f>
        <v>0</v>
      </c>
      <c r="F38">
        <f>0</f>
        <v>0</v>
      </c>
      <c r="G38">
        <f>0</f>
        <v>0</v>
      </c>
      <c r="H38">
        <f>0</f>
        <v>0</v>
      </c>
    </row>
    <row r="39" spans="1:8" x14ac:dyDescent="0.45">
      <c r="A39" t="str">
        <f>State_lookup!B38</f>
        <v>Rhode Island</v>
      </c>
      <c r="B39">
        <f>0</f>
        <v>0</v>
      </c>
      <c r="C39">
        <f>0</f>
        <v>0</v>
      </c>
      <c r="D39">
        <f>0</f>
        <v>0</v>
      </c>
      <c r="E39">
        <f>0</f>
        <v>0</v>
      </c>
      <c r="F39">
        <f>0</f>
        <v>0</v>
      </c>
      <c r="G39">
        <f>0</f>
        <v>0</v>
      </c>
      <c r="H39">
        <f>0</f>
        <v>0</v>
      </c>
    </row>
    <row r="40" spans="1:8" x14ac:dyDescent="0.45">
      <c r="A40" t="str">
        <f>State_lookup!B39</f>
        <v>South Carolina</v>
      </c>
      <c r="B40">
        <f>0</f>
        <v>0</v>
      </c>
      <c r="C40">
        <f>0</f>
        <v>0</v>
      </c>
      <c r="D40">
        <f>0</f>
        <v>0</v>
      </c>
      <c r="E40">
        <f>0</f>
        <v>0</v>
      </c>
      <c r="F40">
        <f>0</f>
        <v>0</v>
      </c>
      <c r="G40">
        <f>0</f>
        <v>0</v>
      </c>
      <c r="H40">
        <f>0</f>
        <v>0</v>
      </c>
    </row>
    <row r="41" spans="1:8" x14ac:dyDescent="0.45">
      <c r="A41" t="str">
        <f>State_lookup!B40</f>
        <v>South Dakota</v>
      </c>
      <c r="B41">
        <f>0</f>
        <v>0</v>
      </c>
      <c r="C41">
        <f>0</f>
        <v>0</v>
      </c>
      <c r="D41">
        <f>0</f>
        <v>0</v>
      </c>
      <c r="E41">
        <f>0</f>
        <v>0</v>
      </c>
      <c r="F41">
        <f>0</f>
        <v>0</v>
      </c>
      <c r="G41">
        <f>0</f>
        <v>0</v>
      </c>
      <c r="H41">
        <f>0</f>
        <v>0</v>
      </c>
    </row>
    <row r="42" spans="1:8" x14ac:dyDescent="0.45">
      <c r="A42" t="str">
        <f>State_lookup!B41</f>
        <v>Tennessee</v>
      </c>
      <c r="B42">
        <f>0</f>
        <v>0</v>
      </c>
      <c r="C42">
        <f>0</f>
        <v>0</v>
      </c>
      <c r="D42">
        <f>0</f>
        <v>0</v>
      </c>
      <c r="E42">
        <f>0</f>
        <v>0</v>
      </c>
      <c r="F42">
        <f>0</f>
        <v>0</v>
      </c>
      <c r="G42">
        <f>0</f>
        <v>0</v>
      </c>
      <c r="H42">
        <f>0</f>
        <v>0</v>
      </c>
    </row>
    <row r="43" spans="1:8" x14ac:dyDescent="0.45">
      <c r="A43" t="str">
        <f>State_lookup!B42</f>
        <v>Texas</v>
      </c>
      <c r="B43">
        <f>0</f>
        <v>0</v>
      </c>
      <c r="C43">
        <f>0</f>
        <v>0</v>
      </c>
      <c r="D43">
        <f>0</f>
        <v>0</v>
      </c>
      <c r="E43">
        <f>0</f>
        <v>0</v>
      </c>
      <c r="F43">
        <f>0</f>
        <v>0</v>
      </c>
      <c r="G43">
        <f>0</f>
        <v>0</v>
      </c>
      <c r="H43">
        <f>0</f>
        <v>0</v>
      </c>
    </row>
    <row r="44" spans="1:8" x14ac:dyDescent="0.45">
      <c r="A44" t="str">
        <f>State_lookup!B43</f>
        <v>Utah</v>
      </c>
      <c r="B44">
        <f>0</f>
        <v>0</v>
      </c>
      <c r="C44">
        <f>0</f>
        <v>0</v>
      </c>
      <c r="D44">
        <f>0</f>
        <v>0</v>
      </c>
      <c r="E44">
        <f>0</f>
        <v>0</v>
      </c>
      <c r="F44">
        <f>0</f>
        <v>0</v>
      </c>
      <c r="G44">
        <f>0</f>
        <v>0</v>
      </c>
      <c r="H44">
        <f>0</f>
        <v>0</v>
      </c>
    </row>
    <row r="45" spans="1:8" x14ac:dyDescent="0.45">
      <c r="A45" t="str">
        <f>State_lookup!B44</f>
        <v>Vermont</v>
      </c>
      <c r="B45">
        <f>0</f>
        <v>0</v>
      </c>
      <c r="C45">
        <f>0</f>
        <v>0</v>
      </c>
      <c r="D45">
        <f>0</f>
        <v>0</v>
      </c>
      <c r="E45">
        <f>0</f>
        <v>0</v>
      </c>
      <c r="F45">
        <f>0</f>
        <v>0</v>
      </c>
      <c r="G45">
        <f>0</f>
        <v>0</v>
      </c>
      <c r="H45">
        <f>0</f>
        <v>0</v>
      </c>
    </row>
    <row r="46" spans="1:8" x14ac:dyDescent="0.45">
      <c r="A46" t="str">
        <f>State_lookup!B45</f>
        <v>Virginia</v>
      </c>
      <c r="B46">
        <f>0</f>
        <v>0</v>
      </c>
      <c r="C46">
        <f>0</f>
        <v>0</v>
      </c>
      <c r="D46">
        <f>0</f>
        <v>0</v>
      </c>
      <c r="E46">
        <f>0</f>
        <v>0</v>
      </c>
      <c r="F46">
        <f>0</f>
        <v>0</v>
      </c>
      <c r="G46">
        <f>0</f>
        <v>0</v>
      </c>
      <c r="H46">
        <f>0</f>
        <v>0</v>
      </c>
    </row>
    <row r="47" spans="1:8" x14ac:dyDescent="0.45">
      <c r="A47" t="str">
        <f>State_lookup!B46</f>
        <v>Washington</v>
      </c>
      <c r="B47">
        <f>0</f>
        <v>0</v>
      </c>
      <c r="C47">
        <f>0</f>
        <v>0</v>
      </c>
      <c r="D47">
        <f>0</f>
        <v>0</v>
      </c>
      <c r="E47">
        <f>0</f>
        <v>0</v>
      </c>
      <c r="F47">
        <f>0</f>
        <v>0</v>
      </c>
      <c r="G47">
        <f>0</f>
        <v>0</v>
      </c>
      <c r="H47">
        <f>0</f>
        <v>0</v>
      </c>
    </row>
    <row r="48" spans="1:8" x14ac:dyDescent="0.45">
      <c r="A48" t="str">
        <f>State_lookup!B47</f>
        <v>West Virginia</v>
      </c>
      <c r="B48">
        <f>0</f>
        <v>0</v>
      </c>
      <c r="C48">
        <f>0</f>
        <v>0</v>
      </c>
      <c r="D48">
        <f>0</f>
        <v>0</v>
      </c>
      <c r="E48">
        <f>0</f>
        <v>0</v>
      </c>
      <c r="F48">
        <f>0</f>
        <v>0</v>
      </c>
      <c r="G48">
        <f>0</f>
        <v>0</v>
      </c>
      <c r="H48">
        <f>0</f>
        <v>0</v>
      </c>
    </row>
    <row r="49" spans="1:8" x14ac:dyDescent="0.45">
      <c r="A49" t="str">
        <f>State_lookup!B48</f>
        <v>Wisconsin</v>
      </c>
      <c r="B49">
        <f>0</f>
        <v>0</v>
      </c>
      <c r="C49">
        <f>0</f>
        <v>0</v>
      </c>
      <c r="D49">
        <f>0</f>
        <v>0</v>
      </c>
      <c r="E49">
        <f>0</f>
        <v>0</v>
      </c>
      <c r="F49">
        <f>0</f>
        <v>0</v>
      </c>
      <c r="G49">
        <f>0</f>
        <v>0</v>
      </c>
      <c r="H49">
        <f>0</f>
        <v>0</v>
      </c>
    </row>
    <row r="50" spans="1:8" x14ac:dyDescent="0.45">
      <c r="A50" t="str">
        <f>State_lookup!B49</f>
        <v>Wyoming</v>
      </c>
      <c r="B50">
        <f>0</f>
        <v>0</v>
      </c>
      <c r="C50">
        <f>0</f>
        <v>0</v>
      </c>
      <c r="D50">
        <f>0</f>
        <v>0</v>
      </c>
      <c r="E50">
        <f>0</f>
        <v>0</v>
      </c>
      <c r="F50">
        <f>0</f>
        <v>0</v>
      </c>
      <c r="G50">
        <f>0</f>
        <v>0</v>
      </c>
      <c r="H50">
        <f>0</f>
        <v>0</v>
      </c>
    </row>
    <row r="51" spans="1:8" x14ac:dyDescent="0.45">
      <c r="A51" s="4" t="s">
        <v>335</v>
      </c>
      <c r="B51" s="4">
        <f t="shared" ref="B51:H51" si="0">SUM(B3:B50)</f>
        <v>0</v>
      </c>
      <c r="C51" s="4">
        <f t="shared" si="0"/>
        <v>0</v>
      </c>
      <c r="D51" s="4">
        <f t="shared" si="0"/>
        <v>0</v>
      </c>
      <c r="E51" s="4">
        <f t="shared" si="0"/>
        <v>0</v>
      </c>
      <c r="F51" s="4">
        <f t="shared" si="0"/>
        <v>0</v>
      </c>
      <c r="G51" s="4">
        <f t="shared" si="0"/>
        <v>0</v>
      </c>
      <c r="H51" s="4">
        <f t="shared" si="0"/>
        <v>0</v>
      </c>
    </row>
    <row r="52" spans="1:8" x14ac:dyDescent="0.45">
      <c r="A52" s="4" t="s">
        <v>336</v>
      </c>
      <c r="B52" s="4">
        <f>National_totals!$C$13</f>
        <v>0</v>
      </c>
      <c r="C52" s="4">
        <f>National_totals!$D$13</f>
        <v>0</v>
      </c>
      <c r="D52" s="4">
        <f>National_totals!$E$13</f>
        <v>0</v>
      </c>
      <c r="E52" s="4">
        <f>National_totals!$F$13</f>
        <v>0</v>
      </c>
      <c r="F52" s="4">
        <f>National_totals!$G$13</f>
        <v>0</v>
      </c>
      <c r="G52" s="4">
        <f>National_totals!$H$13</f>
        <v>0</v>
      </c>
      <c r="H52" s="4">
        <f>National_totals!$I$13</f>
        <v>0</v>
      </c>
    </row>
    <row r="53" spans="1:8" x14ac:dyDescent="0.45">
      <c r="A53" s="4" t="s">
        <v>337</v>
      </c>
      <c r="B53" s="7">
        <f t="shared" ref="B53:H53" si="1">IFERROR((B51-B52)/B52, 0)</f>
        <v>0</v>
      </c>
      <c r="C53" s="7">
        <f t="shared" si="1"/>
        <v>0</v>
      </c>
      <c r="D53" s="7">
        <f t="shared" si="1"/>
        <v>0</v>
      </c>
      <c r="E53" s="7">
        <f t="shared" si="1"/>
        <v>0</v>
      </c>
      <c r="F53" s="7">
        <f t="shared" si="1"/>
        <v>0</v>
      </c>
      <c r="G53" s="7">
        <f t="shared" si="1"/>
        <v>0</v>
      </c>
      <c r="H53" s="7">
        <f t="shared" si="1"/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X50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6" customWidth="1"/>
    <col min="2" max="2" width="22" customWidth="1"/>
    <col min="3" max="24" width="18" customWidth="1"/>
  </cols>
  <sheetData>
    <row r="1" spans="1:24" x14ac:dyDescent="0.45">
      <c r="A1" s="4" t="s">
        <v>349</v>
      </c>
      <c r="B1" s="4" t="s">
        <v>350</v>
      </c>
      <c r="C1" s="4" t="s">
        <v>351</v>
      </c>
      <c r="D1" s="4" t="s">
        <v>352</v>
      </c>
      <c r="E1" s="4" t="s">
        <v>353</v>
      </c>
      <c r="F1" s="4" t="s">
        <v>354</v>
      </c>
      <c r="G1" s="4" t="s">
        <v>355</v>
      </c>
      <c r="H1" s="4" t="s">
        <v>356</v>
      </c>
      <c r="I1" s="4" t="s">
        <v>357</v>
      </c>
      <c r="J1" s="4" t="s">
        <v>358</v>
      </c>
      <c r="K1" s="4" t="s">
        <v>359</v>
      </c>
      <c r="L1" s="4" t="s">
        <v>360</v>
      </c>
      <c r="M1" s="4" t="s">
        <v>361</v>
      </c>
      <c r="N1" s="4" t="s">
        <v>362</v>
      </c>
      <c r="O1" s="4" t="s">
        <v>363</v>
      </c>
      <c r="P1" s="4" t="s">
        <v>364</v>
      </c>
      <c r="Q1" s="4" t="s">
        <v>365</v>
      </c>
      <c r="R1" s="4" t="s">
        <v>366</v>
      </c>
      <c r="S1" s="4" t="s">
        <v>367</v>
      </c>
      <c r="T1" s="4" t="s">
        <v>368</v>
      </c>
      <c r="U1" s="4" t="s">
        <v>369</v>
      </c>
      <c r="V1" s="4" t="s">
        <v>370</v>
      </c>
      <c r="W1" s="4" t="s">
        <v>371</v>
      </c>
      <c r="X1" s="4" t="s">
        <v>372</v>
      </c>
    </row>
    <row r="2" spans="1:24" x14ac:dyDescent="0.45">
      <c r="A2" t="s">
        <v>39</v>
      </c>
      <c r="B2" t="str">
        <f>INDEX(Geography!C:C, MATCH(A2, Geography!B:B, 0))</f>
        <v>Alabama</v>
      </c>
      <c r="C2">
        <f>IF(ISNUMBER(SEARCH(", "&amp;B2&amp;",", ", "&amp;Keys!$C$61&amp;",")), V2*T2/(T2+U2), T2)</f>
        <v>1937330</v>
      </c>
      <c r="D2">
        <f>INDEX(FHWA_MV1!G:G, MATCH(B2&amp;"*", FHWA_MV1!A:A, 0))</f>
        <v>3369</v>
      </c>
      <c r="E2">
        <f>IF(ISNUMBER(SEARCH(", "&amp;B2&amp;",", ", "&amp;Keys!$C$61&amp;",")), V2*U2/(T2+U2), U2)</f>
        <v>3585631</v>
      </c>
      <c r="F2">
        <f>INDEX(FHWA_MV1!M:M, MATCH(B2&amp;"*", FHWA_MV1!A:A, 0))</f>
        <v>129014</v>
      </c>
      <c r="G2">
        <f>IFERROR(INDEX(AFDC_EV_state!C:C, MATCH(B2, AFDC_EV_state!B:B, 0)), 0)</f>
        <v>13047</v>
      </c>
      <c r="H2">
        <f>IFERROR(INDEX(State_shares_nonroad!K:K, MATCH(A2, State_shares_nonroad!J:J, 0)), 0)</f>
        <v>3.0236421761916212E-3</v>
      </c>
      <c r="I2">
        <f>IFERROR(INDEX(State_shares_nonroad!L:L, MATCH(A2, State_shares_nonroad!J:J, 0)), 0)</f>
        <v>4.1757720260783794E-3</v>
      </c>
      <c r="J2">
        <f>IFERROR(INDEX(State_shares_nonroad!AN:AN, MATCH(A2, State_shares_nonroad!O:O, 0)), 0)</f>
        <v>0</v>
      </c>
      <c r="K2">
        <f>IFERROR(INDEX(State_shares_nonroad!AO:AO, MATCH(A2, State_shares_nonroad!O:O, 0)), 0)</f>
        <v>0</v>
      </c>
      <c r="L2">
        <f>IFERROR(INDEX(State_shares_nonroad!AS:AS, MATCH(A2, State_shares_nonroad!AR:AR, 0)), 0)</f>
        <v>1.510545711408314E-2</v>
      </c>
      <c r="M2">
        <f>IFERROR(INDEX(State_shares_nonroad!AW:AW, MATCH(A2, State_shares_nonroad!AV:AV, 0)), 0)</f>
        <v>2.1365724347645259E-2</v>
      </c>
      <c r="N2">
        <f>IFERROR(INDEX(State_shares_nonroad!BA:BA, MATCH(A2, State_shares_nonroad!AZ:AZ, 0)), 0)</f>
        <v>2.45719100219874E-2</v>
      </c>
      <c r="O2">
        <f>C2 + E2*Keys!$C$32*Keys!$C$30</f>
        <v>5234909.3336149994</v>
      </c>
      <c r="P2">
        <f t="shared" ref="P2:P49" si="0">D2</f>
        <v>3369</v>
      </c>
      <c r="Q2">
        <f>E2*Keys!$C$32*Keys!$C$29</f>
        <v>155383.31938499998</v>
      </c>
      <c r="R2">
        <f>E2*Keys!$C$31</f>
        <v>132668.34699999998</v>
      </c>
      <c r="S2">
        <f t="shared" ref="S2:S49" si="1">F2</f>
        <v>129014</v>
      </c>
      <c r="T2">
        <f>INDEX(FHWA_MV1!D:D, MATCH(B2&amp;"*", FHWA_MV1!A:A, 0))</f>
        <v>1937330</v>
      </c>
      <c r="U2">
        <f>INDEX(FHWA_MV1!J:J, MATCH(B2&amp;"*", FHWA_MV1!A:A, 0))</f>
        <v>3585631</v>
      </c>
      <c r="V2">
        <f>IFERROR(SUM(INDEX(AFDC_state_fuel_2024!B:M, MATCH(B2, AFDC_state_fuel_2024!A:A, 0), 0)), 0)</f>
        <v>4881700</v>
      </c>
      <c r="W2" t="str">
        <f>IF(ISNUMBER(SEARCH(", "&amp;B2&amp;",", ", "&amp;Keys!$C$61&amp;",")), "RE-ANCHORED to AFDC (see Keys / methodology 9.6)", "")</f>
        <v/>
      </c>
      <c r="X2">
        <v>4465</v>
      </c>
    </row>
    <row r="3" spans="1:24" x14ac:dyDescent="0.45">
      <c r="A3" t="s">
        <v>41</v>
      </c>
      <c r="B3" t="str">
        <f>INDEX(Geography!C:C, MATCH(A3, Geography!B:B, 0))</f>
        <v>Arizona</v>
      </c>
      <c r="C3">
        <f>IF(ISNUMBER(SEARCH(", "&amp;B3&amp;",", ", "&amp;Keys!$C$61&amp;",")), V3*T3/(T3+U3), T3)</f>
        <v>2287531</v>
      </c>
      <c r="D3">
        <f>INDEX(FHWA_MV1!G:G, MATCH(B3&amp;"*", FHWA_MV1!A:A, 0))</f>
        <v>22617</v>
      </c>
      <c r="E3">
        <f>IF(ISNUMBER(SEARCH(", "&amp;B3&amp;",", ", "&amp;Keys!$C$61&amp;",")), V3*U3/(T3+U3), U3)</f>
        <v>4090469</v>
      </c>
      <c r="F3">
        <f>INDEX(FHWA_MV1!M:M, MATCH(B3&amp;"*", FHWA_MV1!A:A, 0))</f>
        <v>292014</v>
      </c>
      <c r="G3">
        <f>IFERROR(INDEX(AFDC_EV_state!C:C, MATCH(B3, AFDC_EV_state!B:B, 0)), 0)</f>
        <v>89798</v>
      </c>
      <c r="H3">
        <f>IFERROR(INDEX(State_shares_nonroad!K:K, MATCH(A3, State_shares_nonroad!J:J, 0)), 0)</f>
        <v>2.7747641771999398E-2</v>
      </c>
      <c r="I3">
        <f>IFERROR(INDEX(State_shares_nonroad!L:L, MATCH(A3, State_shares_nonroad!J:J, 0)), 0)</f>
        <v>1.306331273367509E-2</v>
      </c>
      <c r="J3">
        <f>IFERROR(INDEX(State_shares_nonroad!AN:AN, MATCH(A3, State_shares_nonroad!O:O, 0)), 0)</f>
        <v>0</v>
      </c>
      <c r="K3">
        <f>IFERROR(INDEX(State_shares_nonroad!AO:AO, MATCH(A3, State_shares_nonroad!O:O, 0)), 0)</f>
        <v>9.3603744149765994E-3</v>
      </c>
      <c r="L3">
        <f>IFERROR(INDEX(State_shares_nonroad!AS:AS, MATCH(A3, State_shares_nonroad!AR:AR, 0)), 0)</f>
        <v>7.7615350885098756E-3</v>
      </c>
      <c r="M3">
        <f>IFERROR(INDEX(State_shares_nonroad!AW:AW, MATCH(A3, State_shares_nonroad!AV:AV, 0)), 0)</f>
        <v>1.134291679672873E-2</v>
      </c>
      <c r="N3">
        <f>IFERROR(INDEX(State_shares_nonroad!BA:BA, MATCH(A3, State_shares_nonroad!AZ:AZ, 0)), 0)</f>
        <v>0</v>
      </c>
      <c r="O3">
        <f>C3 + E3*Keys!$C$32*Keys!$C$30</f>
        <v>6049392.1728849998</v>
      </c>
      <c r="P3">
        <f t="shared" si="0"/>
        <v>22617</v>
      </c>
      <c r="Q3">
        <f>E3*Keys!$C$32*Keys!$C$29</f>
        <v>177260.47411499999</v>
      </c>
      <c r="R3">
        <f>E3*Keys!$C$31</f>
        <v>151347.353</v>
      </c>
      <c r="S3">
        <f t="shared" si="1"/>
        <v>292014</v>
      </c>
      <c r="T3">
        <f>INDEX(FHWA_MV1!D:D, MATCH(B3&amp;"*", FHWA_MV1!A:A, 0))</f>
        <v>2287531</v>
      </c>
      <c r="U3">
        <f>INDEX(FHWA_MV1!J:J, MATCH(B3&amp;"*", FHWA_MV1!A:A, 0))</f>
        <v>4090469</v>
      </c>
      <c r="V3">
        <f>IFERROR(SUM(INDEX(AFDC_state_fuel_2024!B:M, MATCH(B3, AFDC_state_fuel_2024!A:A, 0), 0)), 0)</f>
        <v>6586900</v>
      </c>
      <c r="W3" t="str">
        <f>IF(ISNUMBER(SEARCH(", "&amp;B3&amp;",", ", "&amp;Keys!$C$61&amp;",")), "RE-ANCHORED to AFDC (see Keys / methodology 9.6)", "")</f>
        <v/>
      </c>
      <c r="X3">
        <v>0</v>
      </c>
    </row>
    <row r="4" spans="1:24" x14ac:dyDescent="0.45">
      <c r="A4" t="s">
        <v>45</v>
      </c>
      <c r="B4" t="str">
        <f>INDEX(Geography!C:C, MATCH(A4, Geography!B:B, 0))</f>
        <v>Arkansas</v>
      </c>
      <c r="C4">
        <f>IF(ISNUMBER(SEARCH(", "&amp;B4&amp;",", ", "&amp;Keys!$C$61&amp;",")), V4*T4/(T4+U4), T4)</f>
        <v>911769</v>
      </c>
      <c r="D4">
        <f>INDEX(FHWA_MV1!G:G, MATCH(B4&amp;"*", FHWA_MV1!A:A, 0))</f>
        <v>10805</v>
      </c>
      <c r="E4">
        <f>IF(ISNUMBER(SEARCH(", "&amp;B4&amp;",", ", "&amp;Keys!$C$61&amp;",")), V4*U4/(T4+U4), U4)</f>
        <v>2343579</v>
      </c>
      <c r="F4">
        <f>INDEX(FHWA_MV1!M:M, MATCH(B4&amp;"*", FHWA_MV1!A:A, 0))</f>
        <v>100497</v>
      </c>
      <c r="G4">
        <f>IFERROR(INDEX(AFDC_EV_state!C:C, MATCH(B4, AFDC_EV_state!B:B, 0)), 0)</f>
        <v>7108</v>
      </c>
      <c r="H4">
        <f>IFERROR(INDEX(State_shares_nonroad!K:K, MATCH(A4, State_shares_nonroad!J:J, 0)), 0)</f>
        <v>2.2710347894970609E-3</v>
      </c>
      <c r="I4">
        <f>IFERROR(INDEX(State_shares_nonroad!L:L, MATCH(A4, State_shares_nonroad!J:J, 0)), 0)</f>
        <v>8.4646075306704703E-4</v>
      </c>
      <c r="J4">
        <f>IFERROR(INDEX(State_shares_nonroad!AN:AN, MATCH(A4, State_shares_nonroad!O:O, 0)), 0)</f>
        <v>0</v>
      </c>
      <c r="K4">
        <f>IFERROR(INDEX(State_shares_nonroad!AO:AO, MATCH(A4, State_shares_nonroad!O:O, 0)), 0)</f>
        <v>1.1700468018720749E-3</v>
      </c>
      <c r="L4">
        <f>IFERROR(INDEX(State_shares_nonroad!AS:AS, MATCH(A4, State_shares_nonroad!AR:AR, 0)), 0)</f>
        <v>1.0997143990664031E-2</v>
      </c>
      <c r="M4">
        <f>IFERROR(INDEX(State_shares_nonroad!AW:AW, MATCH(A4, State_shares_nonroad!AV:AV, 0)), 0)</f>
        <v>1.6922409992161509E-2</v>
      </c>
      <c r="N4">
        <f>IFERROR(INDEX(State_shares_nonroad!BA:BA, MATCH(A4, State_shares_nonroad!AZ:AZ, 0)), 0)</f>
        <v>0</v>
      </c>
      <c r="O4">
        <f>C4 + E4*Keys!$C$32*Keys!$C$30</f>
        <v>3067076.5810349998</v>
      </c>
      <c r="P4">
        <f t="shared" si="0"/>
        <v>10805</v>
      </c>
      <c r="Q4">
        <f>E4*Keys!$C$32*Keys!$C$29</f>
        <v>101558.99596499999</v>
      </c>
      <c r="R4">
        <f>E4*Keys!$C$31</f>
        <v>86712.422999999995</v>
      </c>
      <c r="S4">
        <f t="shared" si="1"/>
        <v>100497</v>
      </c>
      <c r="T4">
        <f>INDEX(FHWA_MV1!D:D, MATCH(B4&amp;"*", FHWA_MV1!A:A, 0))</f>
        <v>911769</v>
      </c>
      <c r="U4">
        <f>INDEX(FHWA_MV1!J:J, MATCH(B4&amp;"*", FHWA_MV1!A:A, 0))</f>
        <v>2343579</v>
      </c>
      <c r="V4">
        <f>IFERROR(SUM(INDEX(AFDC_state_fuel_2024!B:M, MATCH(B4, AFDC_state_fuel_2024!A:A, 0), 0)), 0)</f>
        <v>2737200</v>
      </c>
      <c r="W4" t="str">
        <f>IF(ISNUMBER(SEARCH(", "&amp;B4&amp;",", ", "&amp;Keys!$C$61&amp;",")), "RE-ANCHORED to AFDC (see Keys / methodology 9.6)", "")</f>
        <v/>
      </c>
      <c r="X4">
        <v>0</v>
      </c>
    </row>
    <row r="5" spans="1:24" x14ac:dyDescent="0.45">
      <c r="A5" t="s">
        <v>48</v>
      </c>
      <c r="B5" t="str">
        <f>INDEX(Geography!C:C, MATCH(A5, Geography!B:B, 0))</f>
        <v>California</v>
      </c>
      <c r="C5">
        <f>IF(ISNUMBER(SEARCH(", "&amp;B5&amp;",", ", "&amp;Keys!$C$61&amp;",")), V5*T5/(T5+U5), T5)</f>
        <v>12979522</v>
      </c>
      <c r="D5">
        <f>INDEX(FHWA_MV1!G:G, MATCH(B5&amp;"*", FHWA_MV1!A:A, 0))</f>
        <v>96229</v>
      </c>
      <c r="E5">
        <f>IF(ISNUMBER(SEARCH(", "&amp;B5&amp;",", ", "&amp;Keys!$C$61&amp;",")), V5*U5/(T5+U5), U5)</f>
        <v>17113763</v>
      </c>
      <c r="F5">
        <f>INDEX(FHWA_MV1!M:M, MATCH(B5&amp;"*", FHWA_MV1!A:A, 0))</f>
        <v>751138</v>
      </c>
      <c r="G5">
        <f>IFERROR(INDEX(AFDC_EV_state!C:C, MATCH(B5, AFDC_EV_state!B:B, 0)), 0)</f>
        <v>1256646</v>
      </c>
      <c r="H5">
        <f>IFERROR(INDEX(State_shares_nonroad!K:K, MATCH(A5, State_shares_nonroad!J:J, 0)), 0)</f>
        <v>0.1288742811339319</v>
      </c>
      <c r="I5">
        <f>IFERROR(INDEX(State_shares_nonroad!L:L, MATCH(A5, State_shares_nonroad!J:J, 0)), 0)</f>
        <v>0.1109819038590491</v>
      </c>
      <c r="J5">
        <f>IFERROR(INDEX(State_shares_nonroad!AN:AN, MATCH(A5, State_shares_nonroad!O:O, 0)), 0)</f>
        <v>0.15606936416184969</v>
      </c>
      <c r="K5">
        <f>IFERROR(INDEX(State_shares_nonroad!AO:AO, MATCH(A5, State_shares_nonroad!O:O, 0)), 0)</f>
        <v>0.17550702028081119</v>
      </c>
      <c r="L5">
        <f>IFERROR(INDEX(State_shares_nonroad!AS:AS, MATCH(A5, State_shares_nonroad!AR:AR, 0)), 0)</f>
        <v>0.1266848857801503</v>
      </c>
      <c r="M5">
        <f>IFERROR(INDEX(State_shares_nonroad!AW:AW, MATCH(A5, State_shares_nonroad!AV:AV, 0)), 0)</f>
        <v>6.8630511264224925E-2</v>
      </c>
      <c r="N5">
        <f>IFERROR(INDEX(State_shares_nonroad!BA:BA, MATCH(A5, State_shares_nonroad!AZ:AZ, 0)), 0)</f>
        <v>8.2721723662252625E-2</v>
      </c>
      <c r="O5">
        <f>C5 + E5*Keys!$C$32*Keys!$C$30</f>
        <v>28718450.849394999</v>
      </c>
      <c r="P5">
        <f t="shared" si="0"/>
        <v>96229</v>
      </c>
      <c r="Q5">
        <f>E5*Keys!$C$32*Keys!$C$29</f>
        <v>741624.91960499994</v>
      </c>
      <c r="R5">
        <f>E5*Keys!$C$31</f>
        <v>633209.23099999991</v>
      </c>
      <c r="S5">
        <f t="shared" si="1"/>
        <v>751138</v>
      </c>
      <c r="T5">
        <f>INDEX(FHWA_MV1!D:D, MATCH(B5&amp;"*", FHWA_MV1!A:A, 0))</f>
        <v>12979522</v>
      </c>
      <c r="U5">
        <f>INDEX(FHWA_MV1!J:J, MATCH(B5&amp;"*", FHWA_MV1!A:A, 0))</f>
        <v>17113763</v>
      </c>
      <c r="V5">
        <f>IFERROR(SUM(INDEX(AFDC_state_fuel_2024!B:M, MATCH(B5, AFDC_state_fuel_2024!A:A, 0), 0)), 0)</f>
        <v>37428700</v>
      </c>
      <c r="W5" t="str">
        <f>IF(ISNUMBER(SEARCH(", "&amp;B5&amp;",", ", "&amp;Keys!$C$61&amp;",")), "RE-ANCHORED to AFDC (see Keys / methodology 9.6)", "")</f>
        <v/>
      </c>
      <c r="X5">
        <v>163526</v>
      </c>
    </row>
    <row r="6" spans="1:24" x14ac:dyDescent="0.45">
      <c r="A6" t="s">
        <v>52</v>
      </c>
      <c r="B6" t="str">
        <f>INDEX(Geography!C:C, MATCH(A6, Geography!B:B, 0))</f>
        <v>Colorado</v>
      </c>
      <c r="C6">
        <f>IF(ISNUMBER(SEARCH(", "&amp;B6&amp;",", ", "&amp;Keys!$C$61&amp;",")), V6*T6/(T6+U6), T6)</f>
        <v>1356526</v>
      </c>
      <c r="D6">
        <f>INDEX(FHWA_MV1!G:G, MATCH(B6&amp;"*", FHWA_MV1!A:A, 0))</f>
        <v>12602</v>
      </c>
      <c r="E6">
        <f>IF(ISNUMBER(SEARCH(", "&amp;B6&amp;",", ", "&amp;Keys!$C$61&amp;",")), V6*U6/(T6+U6), U6)</f>
        <v>3731091</v>
      </c>
      <c r="F6">
        <f>INDEX(FHWA_MV1!M:M, MATCH(B6&amp;"*", FHWA_MV1!A:A, 0))</f>
        <v>176484</v>
      </c>
      <c r="G6">
        <f>IFERROR(INDEX(AFDC_EV_state!C:C, MATCH(B6, AFDC_EV_state!B:B, 0)), 0)</f>
        <v>90083</v>
      </c>
      <c r="H6">
        <f>IFERROR(INDEX(State_shares_nonroad!K:K, MATCH(A6, State_shares_nonroad!J:J, 0)), 0)</f>
        <v>3.812463805269601E-2</v>
      </c>
      <c r="I6">
        <f>IFERROR(INDEX(State_shares_nonroad!L:L, MATCH(A6, State_shares_nonroad!J:J, 0)), 0)</f>
        <v>9.6422166952896543E-3</v>
      </c>
      <c r="J6">
        <f>IFERROR(INDEX(State_shares_nonroad!AN:AN, MATCH(A6, State_shares_nonroad!O:O, 0)), 0)</f>
        <v>0</v>
      </c>
      <c r="K6">
        <f>IFERROR(INDEX(State_shares_nonroad!AO:AO, MATCH(A6, State_shares_nonroad!O:O, 0)), 0)</f>
        <v>2.8081123244929802E-2</v>
      </c>
      <c r="L6">
        <f>IFERROR(INDEX(State_shares_nonroad!AS:AS, MATCH(A6, State_shares_nonroad!AR:AR, 0)), 0)</f>
        <v>1.1809169390818551E-2</v>
      </c>
      <c r="M6">
        <f>IFERROR(INDEX(State_shares_nonroad!AW:AW, MATCH(A6, State_shares_nonroad!AV:AV, 0)), 0)</f>
        <v>7.1083639033734207E-3</v>
      </c>
      <c r="N6">
        <f>IFERROR(INDEX(State_shares_nonroad!BA:BA, MATCH(A6, State_shares_nonroad!AZ:AZ, 0)), 0)</f>
        <v>0</v>
      </c>
      <c r="O6">
        <f>C6 + E6*Keys!$C$32*Keys!$C$30</f>
        <v>4787879.8045150004</v>
      </c>
      <c r="P6">
        <f t="shared" si="0"/>
        <v>12602</v>
      </c>
      <c r="Q6">
        <f>E6*Keys!$C$32*Keys!$C$29</f>
        <v>161686.82848499998</v>
      </c>
      <c r="R6">
        <f>E6*Keys!$C$31</f>
        <v>138050.367</v>
      </c>
      <c r="S6">
        <f t="shared" si="1"/>
        <v>176484</v>
      </c>
      <c r="T6">
        <f>INDEX(FHWA_MV1!D:D, MATCH(B6&amp;"*", FHWA_MV1!A:A, 0))</f>
        <v>1356526</v>
      </c>
      <c r="U6">
        <f>INDEX(FHWA_MV1!J:J, MATCH(B6&amp;"*", FHWA_MV1!A:A, 0))</f>
        <v>3731091</v>
      </c>
      <c r="V6">
        <f>IFERROR(SUM(INDEX(AFDC_state_fuel_2024!B:M, MATCH(B6, AFDC_state_fuel_2024!A:A, 0), 0)), 0)</f>
        <v>5494000</v>
      </c>
      <c r="W6" t="str">
        <f>IF(ISNUMBER(SEARCH(", "&amp;B6&amp;",", ", "&amp;Keys!$C$61&amp;",")), "RE-ANCHORED to AFDC (see Keys / methodology 9.6)", "")</f>
        <v/>
      </c>
      <c r="X6">
        <v>0</v>
      </c>
    </row>
    <row r="7" spans="1:24" x14ac:dyDescent="0.45">
      <c r="A7" t="s">
        <v>55</v>
      </c>
      <c r="B7" t="str">
        <f>INDEX(Geography!C:C, MATCH(A7, Geography!B:B, 0))</f>
        <v>Connecticut</v>
      </c>
      <c r="C7">
        <f>IF(ISNUMBER(SEARCH(", "&amp;B7&amp;",", ", "&amp;Keys!$C$61&amp;",")), V7*T7/(T7+U7), T7)</f>
        <v>1028799</v>
      </c>
      <c r="D7">
        <f>INDEX(FHWA_MV1!G:G, MATCH(B7&amp;"*", FHWA_MV1!A:A, 0))</f>
        <v>9889</v>
      </c>
      <c r="E7">
        <f>IF(ISNUMBER(SEARCH(", "&amp;B7&amp;",", ", "&amp;Keys!$C$61&amp;",")), V7*U7/(T7+U7), U7)</f>
        <v>1688772</v>
      </c>
      <c r="F7">
        <f>INDEX(FHWA_MV1!M:M, MATCH(B7&amp;"*", FHWA_MV1!A:A, 0))</f>
        <v>81996</v>
      </c>
      <c r="G7">
        <f>IFERROR(INDEX(AFDC_EV_state!C:C, MATCH(B7, AFDC_EV_state!B:B, 0)), 0)</f>
        <v>31557</v>
      </c>
      <c r="H7">
        <f>IFERROR(INDEX(State_shares_nonroad!K:K, MATCH(A7, State_shares_nonroad!J:J, 0)), 0)</f>
        <v>3.6011830239243022E-3</v>
      </c>
      <c r="I7">
        <f>IFERROR(INDEX(State_shares_nonroad!L:L, MATCH(A7, State_shares_nonroad!J:J, 0)), 0)</f>
        <v>6.9469367309794063E-3</v>
      </c>
      <c r="J7">
        <f>IFERROR(INDEX(State_shares_nonroad!AN:AN, MATCH(A7, State_shares_nonroad!O:O, 0)), 0)</f>
        <v>2.8901734104046239E-2</v>
      </c>
      <c r="K7">
        <f>IFERROR(INDEX(State_shares_nonroad!AO:AO, MATCH(A7, State_shares_nonroad!O:O, 0)), 0)</f>
        <v>0</v>
      </c>
      <c r="L7">
        <f>IFERROR(INDEX(State_shares_nonroad!AS:AS, MATCH(A7, State_shares_nonroad!AR:AR, 0)), 0)</f>
        <v>5.2647800669358789E-4</v>
      </c>
      <c r="M7">
        <f>IFERROR(INDEX(State_shares_nonroad!AW:AW, MATCH(A7, State_shares_nonroad!AV:AV, 0)), 0)</f>
        <v>9.1612150458864373E-3</v>
      </c>
      <c r="N7">
        <f>IFERROR(INDEX(State_shares_nonroad!BA:BA, MATCH(A7, State_shares_nonroad!AZ:AZ, 0)), 0)</f>
        <v>0</v>
      </c>
      <c r="O7">
        <f>C7 + E7*Keys!$C$32*Keys!$C$30</f>
        <v>2581903.5013800003</v>
      </c>
      <c r="P7">
        <f t="shared" si="0"/>
        <v>9889</v>
      </c>
      <c r="Q7">
        <f>E7*Keys!$C$32*Keys!$C$29</f>
        <v>73182.93462</v>
      </c>
      <c r="R7">
        <f>E7*Keys!$C$31</f>
        <v>62484.563999999998</v>
      </c>
      <c r="S7">
        <f t="shared" si="1"/>
        <v>81996</v>
      </c>
      <c r="T7">
        <f>INDEX(FHWA_MV1!D:D, MATCH(B7&amp;"*", FHWA_MV1!A:A, 0))</f>
        <v>1028799</v>
      </c>
      <c r="U7">
        <f>INDEX(FHWA_MV1!J:J, MATCH(B7&amp;"*", FHWA_MV1!A:A, 0))</f>
        <v>1688772</v>
      </c>
      <c r="V7">
        <f>IFERROR(SUM(INDEX(AFDC_state_fuel_2024!B:M, MATCH(B7, AFDC_state_fuel_2024!A:A, 0), 0)), 0)</f>
        <v>2922700</v>
      </c>
      <c r="W7" t="str">
        <f>IF(ISNUMBER(SEARCH(", "&amp;B7&amp;",", ", "&amp;Keys!$C$61&amp;",")), "RE-ANCHORED to AFDC (see Keys / methodology 9.6)", "")</f>
        <v/>
      </c>
      <c r="X7">
        <v>0</v>
      </c>
    </row>
    <row r="8" spans="1:24" x14ac:dyDescent="0.45">
      <c r="A8" t="s">
        <v>57</v>
      </c>
      <c r="B8" t="str">
        <f>INDEX(Geography!C:C, MATCH(A8, Geography!B:B, 0))</f>
        <v>Delaware</v>
      </c>
      <c r="C8">
        <f>IF(ISNUMBER(SEARCH(", "&amp;B8&amp;",", ", "&amp;Keys!$C$61&amp;",")), V8*T8/(T8+U8), T8)</f>
        <v>326111.28218716354</v>
      </c>
      <c r="D8">
        <f>INDEX(FHWA_MV1!G:G, MATCH(B8&amp;"*", FHWA_MV1!A:A, 0))</f>
        <v>3483</v>
      </c>
      <c r="E8">
        <f>IF(ISNUMBER(SEARCH(", "&amp;B8&amp;",", ", "&amp;Keys!$C$61&amp;",")), V8*U8/(T8+U8), U8)</f>
        <v>593888.7178128364</v>
      </c>
      <c r="F8">
        <f>INDEX(FHWA_MV1!M:M, MATCH(B8&amp;"*", FHWA_MV1!A:A, 0))</f>
        <v>24694</v>
      </c>
      <c r="G8">
        <f>IFERROR(INDEX(AFDC_EV_state!C:C, MATCH(B8, AFDC_EV_state!B:B, 0)), 0)</f>
        <v>8435</v>
      </c>
      <c r="H8">
        <f>IFERROR(INDEX(State_shares_nonroad!K:K, MATCH(A8, State_shares_nonroad!J:J, 0)), 0)</f>
        <v>1.028182797986737E-6</v>
      </c>
      <c r="I8">
        <f>IFERROR(INDEX(State_shares_nonroad!L:L, MATCH(A8, State_shares_nonroad!J:J, 0)), 0)</f>
        <v>0</v>
      </c>
      <c r="J8">
        <f>IFERROR(INDEX(State_shares_nonroad!AN:AN, MATCH(A8, State_shares_nonroad!O:O, 0)), 0)</f>
        <v>0</v>
      </c>
      <c r="K8">
        <f>IFERROR(INDEX(State_shares_nonroad!AO:AO, MATCH(A8, State_shares_nonroad!O:O, 0)), 0)</f>
        <v>0</v>
      </c>
      <c r="L8">
        <f>IFERROR(INDEX(State_shares_nonroad!AS:AS, MATCH(A8, State_shares_nonroad!AR:AR, 0)), 0)</f>
        <v>7.9774803048147035E-4</v>
      </c>
      <c r="M8">
        <f>IFERROR(INDEX(State_shares_nonroad!AW:AW, MATCH(A8, State_shares_nonroad!AV:AV, 0)), 0)</f>
        <v>5.1468910479166236E-3</v>
      </c>
      <c r="N8">
        <f>IFERROR(INDEX(State_shares_nonroad!BA:BA, MATCH(A8, State_shares_nonroad!AZ:AZ, 0)), 0)</f>
        <v>0</v>
      </c>
      <c r="O8">
        <f>C8 + E8*Keys!$C$32*Keys!$C$30</f>
        <v>872289.94985450571</v>
      </c>
      <c r="P8">
        <f t="shared" si="0"/>
        <v>3483</v>
      </c>
      <c r="Q8">
        <f>E8*Keys!$C$32*Keys!$C$29</f>
        <v>25736.167586419262</v>
      </c>
      <c r="R8">
        <f>E8*Keys!$C$31</f>
        <v>21973.882559074947</v>
      </c>
      <c r="S8">
        <f t="shared" si="1"/>
        <v>24694</v>
      </c>
      <c r="T8">
        <f>INDEX(FHWA_MV1!D:D, MATCH(B8&amp;"*", FHWA_MV1!A:A, 0))</f>
        <v>148493</v>
      </c>
      <c r="U8">
        <f>INDEX(FHWA_MV1!J:J, MATCH(B8&amp;"*", FHWA_MV1!A:A, 0))</f>
        <v>270424</v>
      </c>
      <c r="V8">
        <f>IFERROR(SUM(INDEX(AFDC_state_fuel_2024!B:M, MATCH(B8, AFDC_state_fuel_2024!A:A, 0), 0)), 0)</f>
        <v>920000</v>
      </c>
      <c r="W8" t="str">
        <f>IF(ISNUMBER(SEARCH(", "&amp;B8&amp;",", ", "&amp;Keys!$C$61&amp;",")), "RE-ANCHORED to AFDC (see Keys / methodology 9.6)", "")</f>
        <v>RE-ANCHORED to AFDC (see Keys / methodology 9.6)</v>
      </c>
      <c r="X8">
        <v>264</v>
      </c>
    </row>
    <row r="9" spans="1:24" x14ac:dyDescent="0.45">
      <c r="A9" t="s">
        <v>60</v>
      </c>
      <c r="B9" t="str">
        <f>INDEX(Geography!C:C, MATCH(A9, Geography!B:B, 0))</f>
        <v>Florida</v>
      </c>
      <c r="C9">
        <f>IF(ISNUMBER(SEARCH(", "&amp;B9&amp;",", ", "&amp;Keys!$C$61&amp;",")), V9*T9/(T9+U9), T9)</f>
        <v>7210114</v>
      </c>
      <c r="D9">
        <f>INDEX(FHWA_MV1!G:G, MATCH(B9&amp;"*", FHWA_MV1!A:A, 0))</f>
        <v>57468</v>
      </c>
      <c r="E9">
        <f>IF(ISNUMBER(SEARCH(", "&amp;B9&amp;",", ", "&amp;Keys!$C$61&amp;",")), V9*U9/(T9+U9), U9)</f>
        <v>11794134</v>
      </c>
      <c r="F9">
        <f>INDEX(FHWA_MV1!M:M, MATCH(B9&amp;"*", FHWA_MV1!A:A, 0))</f>
        <v>634364</v>
      </c>
      <c r="G9">
        <f>IFERROR(INDEX(AFDC_EV_state!C:C, MATCH(B9, AFDC_EV_state!B:B, 0)), 0)</f>
        <v>254878</v>
      </c>
      <c r="H9">
        <f>IFERROR(INDEX(State_shares_nonroad!K:K, MATCH(A9, State_shares_nonroad!J:J, 0)), 0)</f>
        <v>0.10226599615994331</v>
      </c>
      <c r="I9">
        <f>IFERROR(INDEX(State_shares_nonroad!L:L, MATCH(A9, State_shares_nonroad!J:J, 0)), 0)</f>
        <v>7.2153218323429247E-2</v>
      </c>
      <c r="J9">
        <f>IFERROR(INDEX(State_shares_nonroad!AN:AN, MATCH(A9, State_shares_nonroad!O:O, 0)), 0)</f>
        <v>6.358381502890173E-2</v>
      </c>
      <c r="K9">
        <f>IFERROR(INDEX(State_shares_nonroad!AO:AO, MATCH(A9, State_shares_nonroad!O:O, 0)), 0)</f>
        <v>1.1310452418096721E-2</v>
      </c>
      <c r="L9">
        <f>IFERROR(INDEX(State_shares_nonroad!AS:AS, MATCH(A9, State_shares_nonroad!AR:AR, 0)), 0)</f>
        <v>2.908657136641388E-2</v>
      </c>
      <c r="M9">
        <f>IFERROR(INDEX(State_shares_nonroad!AW:AW, MATCH(A9, State_shares_nonroad!AV:AV, 0)), 0)</f>
        <v>7.4305084831466209E-2</v>
      </c>
      <c r="N9">
        <f>IFERROR(INDEX(State_shares_nonroad!BA:BA, MATCH(A9, State_shares_nonroad!AZ:AZ, 0)), 0)</f>
        <v>3.0320262245971581E-2</v>
      </c>
      <c r="O9">
        <f>C9 + E9*Keys!$C$32*Keys!$C$30</f>
        <v>18056766.245109998</v>
      </c>
      <c r="P9">
        <f t="shared" si="0"/>
        <v>57468</v>
      </c>
      <c r="Q9">
        <f>E9*Keys!$C$32*Keys!$C$29</f>
        <v>511098.79688999994</v>
      </c>
      <c r="R9">
        <f>E9*Keys!$C$31</f>
        <v>436382.95799999998</v>
      </c>
      <c r="S9">
        <f t="shared" si="1"/>
        <v>634364</v>
      </c>
      <c r="T9">
        <f>INDEX(FHWA_MV1!D:D, MATCH(B9&amp;"*", FHWA_MV1!A:A, 0))</f>
        <v>7210114</v>
      </c>
      <c r="U9">
        <f>INDEX(FHWA_MV1!J:J, MATCH(B9&amp;"*", FHWA_MV1!A:A, 0))</f>
        <v>11794134</v>
      </c>
      <c r="V9">
        <f>IFERROR(SUM(INDEX(AFDC_state_fuel_2024!B:M, MATCH(B9, AFDC_state_fuel_2024!A:A, 0), 0)), 0)</f>
        <v>18742500</v>
      </c>
      <c r="W9" t="str">
        <f>IF(ISNUMBER(SEARCH(", "&amp;B9&amp;",", ", "&amp;Keys!$C$61&amp;",")), "RE-ANCHORED to AFDC (see Keys / methodology 9.6)", "")</f>
        <v/>
      </c>
      <c r="X9">
        <v>62768</v>
      </c>
    </row>
    <row r="10" spans="1:24" x14ac:dyDescent="0.45">
      <c r="A10" t="s">
        <v>63</v>
      </c>
      <c r="B10" t="str">
        <f>INDEX(Geography!C:C, MATCH(A10, Geography!B:B, 0))</f>
        <v>Georgia</v>
      </c>
      <c r="C10">
        <f>IF(ISNUMBER(SEARCH(", "&amp;B10&amp;",", ", "&amp;Keys!$C$61&amp;",")), V10*T10/(T10+U10), T10)</f>
        <v>3206610</v>
      </c>
      <c r="D10">
        <f>INDEX(FHWA_MV1!G:G, MATCH(B10&amp;"*", FHWA_MV1!A:A, 0))</f>
        <v>39381</v>
      </c>
      <c r="E10">
        <f>IF(ISNUMBER(SEARCH(", "&amp;B10&amp;",", ", "&amp;Keys!$C$61&amp;",")), V10*U10/(T10+U10), U10)</f>
        <v>5842123</v>
      </c>
      <c r="F10">
        <f>INDEX(FHWA_MV1!M:M, MATCH(B10&amp;"*", FHWA_MV1!A:A, 0))</f>
        <v>221294</v>
      </c>
      <c r="G10">
        <f>IFERROR(INDEX(AFDC_EV_state!C:C, MATCH(B10, AFDC_EV_state!B:B, 0)), 0)</f>
        <v>92368</v>
      </c>
      <c r="H10">
        <f>IFERROR(INDEX(State_shares_nonroad!K:K, MATCH(A10, State_shares_nonroad!J:J, 0)), 0)</f>
        <v>5.9270969368030023E-2</v>
      </c>
      <c r="I10">
        <f>IFERROR(INDEX(State_shares_nonroad!L:L, MATCH(A10, State_shares_nonroad!J:J, 0)), 0)</f>
        <v>1.8247692323770388E-2</v>
      </c>
      <c r="J10">
        <f>IFERROR(INDEX(State_shares_nonroad!AN:AN, MATCH(A10, State_shares_nonroad!O:O, 0)), 0)</f>
        <v>0</v>
      </c>
      <c r="K10">
        <f>IFERROR(INDEX(State_shares_nonroad!AO:AO, MATCH(A10, State_shares_nonroad!O:O, 0)), 0)</f>
        <v>1.5990639625585019E-2</v>
      </c>
      <c r="L10">
        <f>IFERROR(INDEX(State_shares_nonroad!AS:AS, MATCH(A10, State_shares_nonroad!AR:AR, 0)), 0)</f>
        <v>4.3676258501058218E-2</v>
      </c>
      <c r="M10">
        <f>IFERROR(INDEX(State_shares_nonroad!AW:AW, MATCH(A10, State_shares_nonroad!AV:AV, 0)), 0)</f>
        <v>2.7618996967992589E-2</v>
      </c>
      <c r="N10">
        <f>IFERROR(INDEX(State_shares_nonroad!BA:BA, MATCH(A10, State_shares_nonroad!AZ:AZ, 0)), 0)</f>
        <v>2.0067530531609801E-2</v>
      </c>
      <c r="O10">
        <f>C10 + E10*Keys!$C$32*Keys!$C$30</f>
        <v>8579406.0487949997</v>
      </c>
      <c r="P10">
        <f t="shared" si="0"/>
        <v>39381</v>
      </c>
      <c r="Q10">
        <f>E10*Keys!$C$32*Keys!$C$29</f>
        <v>253168.40020499998</v>
      </c>
      <c r="R10">
        <f>E10*Keys!$C$31</f>
        <v>216158.55099999998</v>
      </c>
      <c r="S10">
        <f t="shared" si="1"/>
        <v>221294</v>
      </c>
      <c r="T10">
        <f>INDEX(FHWA_MV1!D:D, MATCH(B10&amp;"*", FHWA_MV1!A:A, 0))</f>
        <v>3206610</v>
      </c>
      <c r="U10">
        <f>INDEX(FHWA_MV1!J:J, MATCH(B10&amp;"*", FHWA_MV1!A:A, 0))</f>
        <v>5842123</v>
      </c>
      <c r="V10">
        <f>IFERROR(SUM(INDEX(AFDC_state_fuel_2024!B:M, MATCH(B10, AFDC_state_fuel_2024!A:A, 0), 0)), 0)</f>
        <v>9702400</v>
      </c>
      <c r="W10" t="str">
        <f>IF(ISNUMBER(SEARCH(", "&amp;B10&amp;",", ", "&amp;Keys!$C$61&amp;",")), "RE-ANCHORED to AFDC (see Keys / methodology 9.6)", "")</f>
        <v/>
      </c>
      <c r="X10">
        <v>6307</v>
      </c>
    </row>
    <row r="11" spans="1:24" x14ac:dyDescent="0.45">
      <c r="A11" t="s">
        <v>66</v>
      </c>
      <c r="B11" t="str">
        <f>INDEX(Geography!C:C, MATCH(A11, Geography!B:B, 0))</f>
        <v>Idaho</v>
      </c>
      <c r="C11">
        <f>IF(ISNUMBER(SEARCH(", "&amp;B11&amp;",", ", "&amp;Keys!$C$61&amp;",")), V11*T11/(T11+U11), T11)</f>
        <v>510516</v>
      </c>
      <c r="D11">
        <f>INDEX(FHWA_MV1!G:G, MATCH(B11&amp;"*", FHWA_MV1!A:A, 0))</f>
        <v>4082</v>
      </c>
      <c r="E11">
        <f>IF(ISNUMBER(SEARCH(", "&amp;B11&amp;",", ", "&amp;Keys!$C$61&amp;",")), V11*U11/(T11+U11), U11)</f>
        <v>1440556</v>
      </c>
      <c r="F11">
        <f>INDEX(FHWA_MV1!M:M, MATCH(B11&amp;"*", FHWA_MV1!A:A, 0))</f>
        <v>74915</v>
      </c>
      <c r="G11">
        <f>IFERROR(INDEX(AFDC_EV_state!C:C, MATCH(B11, AFDC_EV_state!B:B, 0)), 0)</f>
        <v>8501</v>
      </c>
      <c r="H11">
        <f>IFERROR(INDEX(State_shares_nonroad!K:K, MATCH(A11, State_shares_nonroad!J:J, 0)), 0)</f>
        <v>2.6256126493398408E-3</v>
      </c>
      <c r="I11">
        <f>IFERROR(INDEX(State_shares_nonroad!L:L, MATCH(A11, State_shares_nonroad!J:J, 0)), 0)</f>
        <v>2.0019336137222341E-3</v>
      </c>
      <c r="J11">
        <f>IFERROR(INDEX(State_shares_nonroad!AN:AN, MATCH(A11, State_shares_nonroad!O:O, 0)), 0)</f>
        <v>0</v>
      </c>
      <c r="K11">
        <f>IFERROR(INDEX(State_shares_nonroad!AO:AO, MATCH(A11, State_shares_nonroad!O:O, 0)), 0)</f>
        <v>0</v>
      </c>
      <c r="L11">
        <f>IFERROR(INDEX(State_shares_nonroad!AS:AS, MATCH(A11, State_shares_nonroad!AR:AR, 0)), 0)</f>
        <v>3.487247542641595E-3</v>
      </c>
      <c r="M11">
        <f>IFERROR(INDEX(State_shares_nonroad!AW:AW, MATCH(A11, State_shares_nonroad!AV:AV, 0)), 0)</f>
        <v>7.4801073893521362E-3</v>
      </c>
      <c r="N11">
        <f>IFERROR(INDEX(State_shares_nonroad!BA:BA, MATCH(A11, State_shares_nonroad!AZ:AZ, 0)), 0)</f>
        <v>0</v>
      </c>
      <c r="O11">
        <f>C11 + E11*Keys!$C$32*Keys!$C$30</f>
        <v>1835344.9337399998</v>
      </c>
      <c r="P11">
        <f t="shared" si="0"/>
        <v>4082</v>
      </c>
      <c r="Q11">
        <f>E11*Keys!$C$32*Keys!$C$29</f>
        <v>62426.494259999992</v>
      </c>
      <c r="R11">
        <f>E11*Keys!$C$31</f>
        <v>53300.572</v>
      </c>
      <c r="S11">
        <f t="shared" si="1"/>
        <v>74915</v>
      </c>
      <c r="T11">
        <f>INDEX(FHWA_MV1!D:D, MATCH(B11&amp;"*", FHWA_MV1!A:A, 0))</f>
        <v>510516</v>
      </c>
      <c r="U11">
        <f>INDEX(FHWA_MV1!J:J, MATCH(B11&amp;"*", FHWA_MV1!A:A, 0))</f>
        <v>1440556</v>
      </c>
      <c r="V11">
        <f>IFERROR(SUM(INDEX(AFDC_state_fuel_2024!B:M, MATCH(B11, AFDC_state_fuel_2024!A:A, 0), 0)), 0)</f>
        <v>2018900</v>
      </c>
      <c r="W11" t="str">
        <f>IF(ISNUMBER(SEARCH(", "&amp;B11&amp;",", ", "&amp;Keys!$C$61&amp;",")), "RE-ANCHORED to AFDC (see Keys / methodology 9.6)", "")</f>
        <v/>
      </c>
      <c r="X11">
        <v>0</v>
      </c>
    </row>
    <row r="12" spans="1:24" x14ac:dyDescent="0.45">
      <c r="A12" t="s">
        <v>68</v>
      </c>
      <c r="B12" t="str">
        <f>INDEX(Geography!C:C, MATCH(A12, Geography!B:B, 0))</f>
        <v>Illinois</v>
      </c>
      <c r="C12">
        <f>IF(ISNUMBER(SEARCH(", "&amp;B12&amp;",", ", "&amp;Keys!$C$61&amp;",")), V12*T12/(T12+U12), T12)</f>
        <v>3514238</v>
      </c>
      <c r="D12">
        <f>INDEX(FHWA_MV1!G:G, MATCH(B12&amp;"*", FHWA_MV1!A:A, 0))</f>
        <v>39183</v>
      </c>
      <c r="E12">
        <f>IF(ISNUMBER(SEARCH(", "&amp;B12&amp;",", ", "&amp;Keys!$C$61&amp;",")), V12*U12/(T12+U12), U12)</f>
        <v>6727333</v>
      </c>
      <c r="F12">
        <f>INDEX(FHWA_MV1!M:M, MATCH(B12&amp;"*", FHWA_MV1!A:A, 0))</f>
        <v>265273</v>
      </c>
      <c r="G12">
        <f>IFERROR(INDEX(AFDC_EV_state!C:C, MATCH(B12, AFDC_EV_state!B:B, 0)), 0)</f>
        <v>99573</v>
      </c>
      <c r="H12">
        <f>IFERROR(INDEX(State_shares_nonroad!K:K, MATCH(A12, State_shares_nonroad!J:J, 0)), 0)</f>
        <v>5.5888845867499828E-2</v>
      </c>
      <c r="I12">
        <f>IFERROR(INDEX(State_shares_nonroad!L:L, MATCH(A12, State_shares_nonroad!J:J, 0)), 0)</f>
        <v>4.9804339652727209E-2</v>
      </c>
      <c r="J12">
        <f>IFERROR(INDEX(State_shares_nonroad!AN:AN, MATCH(A12, State_shares_nonroad!O:O, 0)), 0)</f>
        <v>0.1213872832369942</v>
      </c>
      <c r="K12">
        <f>IFERROR(INDEX(State_shares_nonroad!AO:AO, MATCH(A12, State_shares_nonroad!O:O, 0)), 0)</f>
        <v>0.108814352574103</v>
      </c>
      <c r="L12">
        <f>IFERROR(INDEX(State_shares_nonroad!AS:AS, MATCH(A12, State_shares_nonroad!AR:AR, 0)), 0)</f>
        <v>0.13996462424729261</v>
      </c>
      <c r="M12">
        <f>IFERROR(INDEX(State_shares_nonroad!AW:AW, MATCH(A12, State_shares_nonroad!AV:AV, 0)), 0)</f>
        <v>2.238027615926946E-2</v>
      </c>
      <c r="N12">
        <f>IFERROR(INDEX(State_shares_nonroad!BA:BA, MATCH(A12, State_shares_nonroad!AZ:AZ, 0)), 0)</f>
        <v>2.0847652970614111E-2</v>
      </c>
      <c r="O12">
        <f>C12 + E12*Keys!$C$32*Keys!$C$30</f>
        <v>9701130.7034449987</v>
      </c>
      <c r="P12">
        <f t="shared" si="0"/>
        <v>39183</v>
      </c>
      <c r="Q12">
        <f>E12*Keys!$C$32*Keys!$C$29</f>
        <v>291528.97555499995</v>
      </c>
      <c r="R12">
        <f>E12*Keys!$C$31</f>
        <v>248911.321</v>
      </c>
      <c r="S12">
        <f t="shared" si="1"/>
        <v>265273</v>
      </c>
      <c r="T12">
        <f>INDEX(FHWA_MV1!D:D, MATCH(B12&amp;"*", FHWA_MV1!A:A, 0))</f>
        <v>3514238</v>
      </c>
      <c r="U12">
        <f>INDEX(FHWA_MV1!J:J, MATCH(B12&amp;"*", FHWA_MV1!A:A, 0))</f>
        <v>6727333</v>
      </c>
      <c r="V12">
        <f>IFERROR(SUM(INDEX(AFDC_state_fuel_2024!B:M, MATCH(B12, AFDC_state_fuel_2024!A:A, 0), 0)), 0)</f>
        <v>10125700</v>
      </c>
      <c r="W12" t="str">
        <f>IF(ISNUMBER(SEARCH(", "&amp;B12&amp;",", ", "&amp;Keys!$C$61&amp;",")), "RE-ANCHORED to AFDC (see Keys / methodology 9.6)", "")</f>
        <v/>
      </c>
      <c r="X12">
        <v>45</v>
      </c>
    </row>
    <row r="13" spans="1:24" x14ac:dyDescent="0.45">
      <c r="A13" t="s">
        <v>71</v>
      </c>
      <c r="B13" t="str">
        <f>INDEX(Geography!C:C, MATCH(A13, Geography!B:B, 0))</f>
        <v>Indiana</v>
      </c>
      <c r="C13">
        <f>IF(ISNUMBER(SEARCH(", "&amp;B13&amp;",", ", "&amp;Keys!$C$61&amp;",")), V13*T13/(T13+U13), T13)</f>
        <v>1791108</v>
      </c>
      <c r="D13">
        <f>INDEX(FHWA_MV1!G:G, MATCH(B13&amp;"*", FHWA_MV1!A:A, 0))</f>
        <v>32361</v>
      </c>
      <c r="E13">
        <f>IF(ISNUMBER(SEARCH(", "&amp;B13&amp;",", ", "&amp;Keys!$C$61&amp;",")), V13*U13/(T13+U13), U13)</f>
        <v>4073391</v>
      </c>
      <c r="F13">
        <f>INDEX(FHWA_MV1!M:M, MATCH(B13&amp;"*", FHWA_MV1!A:A, 0))</f>
        <v>203871</v>
      </c>
      <c r="G13">
        <f>IFERROR(INDEX(AFDC_EV_state!C:C, MATCH(B13, AFDC_EV_state!B:B, 0)), 0)</f>
        <v>26101</v>
      </c>
      <c r="H13">
        <f>IFERROR(INDEX(State_shares_nonroad!K:K, MATCH(A13, State_shares_nonroad!J:J, 0)), 0)</f>
        <v>6.1674461434700744E-3</v>
      </c>
      <c r="I13">
        <f>IFERROR(INDEX(State_shares_nonroad!L:L, MATCH(A13, State_shares_nonroad!J:J, 0)), 0)</f>
        <v>3.0825844729679221E-2</v>
      </c>
      <c r="J13">
        <f>IFERROR(INDEX(State_shares_nonroad!AN:AN, MATCH(A13, State_shares_nonroad!O:O, 0)), 0)</f>
        <v>0</v>
      </c>
      <c r="K13">
        <f>IFERROR(INDEX(State_shares_nonroad!AO:AO, MATCH(A13, State_shares_nonroad!O:O, 0)), 0)</f>
        <v>6.6302652106084246E-3</v>
      </c>
      <c r="L13">
        <f>IFERROR(INDEX(State_shares_nonroad!AS:AS, MATCH(A13, State_shares_nonroad!AR:AR, 0)), 0)</f>
        <v>2.1901485078453249E-2</v>
      </c>
      <c r="M13">
        <f>IFERROR(INDEX(State_shares_nonroad!AW:AW, MATCH(A13, State_shares_nonroad!AV:AV, 0)), 0)</f>
        <v>1.9279102968611472E-2</v>
      </c>
      <c r="N13">
        <f>IFERROR(INDEX(State_shares_nonroad!BA:BA, MATCH(A13, State_shares_nonroad!AZ:AZ, 0)), 0)</f>
        <v>1.1399618578944389E-2</v>
      </c>
      <c r="O13">
        <f>C13 + E13*Keys!$C$32*Keys!$C$30</f>
        <v>5537263.1340149995</v>
      </c>
      <c r="P13">
        <f t="shared" si="0"/>
        <v>32361</v>
      </c>
      <c r="Q13">
        <f>E13*Keys!$C$32*Keys!$C$29</f>
        <v>176520.39898499998</v>
      </c>
      <c r="R13">
        <f>E13*Keys!$C$31</f>
        <v>150715.467</v>
      </c>
      <c r="S13">
        <f t="shared" si="1"/>
        <v>203871</v>
      </c>
      <c r="T13">
        <f>INDEX(FHWA_MV1!D:D, MATCH(B13&amp;"*", FHWA_MV1!A:A, 0))</f>
        <v>1791108</v>
      </c>
      <c r="U13">
        <f>INDEX(FHWA_MV1!J:J, MATCH(B13&amp;"*", FHWA_MV1!A:A, 0))</f>
        <v>4073391</v>
      </c>
      <c r="V13">
        <f>IFERROR(SUM(INDEX(AFDC_state_fuel_2024!B:M, MATCH(B13, AFDC_state_fuel_2024!A:A, 0), 0)), 0)</f>
        <v>6214600</v>
      </c>
      <c r="W13" t="str">
        <f>IF(ISNUMBER(SEARCH(", "&amp;B13&amp;",", ", "&amp;Keys!$C$61&amp;",")), "RE-ANCHORED to AFDC (see Keys / methodology 9.6)", "")</f>
        <v/>
      </c>
      <c r="X13">
        <v>1531</v>
      </c>
    </row>
    <row r="14" spans="1:24" x14ac:dyDescent="0.45">
      <c r="A14" t="s">
        <v>74</v>
      </c>
      <c r="B14" t="str">
        <f>INDEX(Geography!C:C, MATCH(A14, Geography!B:B, 0))</f>
        <v>Iowa</v>
      </c>
      <c r="C14">
        <f>IF(ISNUMBER(SEARCH(", "&amp;B14&amp;",", ", "&amp;Keys!$C$61&amp;",")), V14*T14/(T14+U14), T14)</f>
        <v>1006994</v>
      </c>
      <c r="D14">
        <f>INDEX(FHWA_MV1!G:G, MATCH(B14&amp;"*", FHWA_MV1!A:A, 0))</f>
        <v>9167</v>
      </c>
      <c r="E14">
        <f>IF(ISNUMBER(SEARCH(", "&amp;B14&amp;",", ", "&amp;Keys!$C$61&amp;",")), V14*U14/(T14+U14), U14)</f>
        <v>2647322</v>
      </c>
      <c r="F14">
        <f>INDEX(FHWA_MV1!M:M, MATCH(B14&amp;"*", FHWA_MV1!A:A, 0))</f>
        <v>193164</v>
      </c>
      <c r="G14">
        <f>IFERROR(INDEX(AFDC_EV_state!C:C, MATCH(B14, AFDC_EV_state!B:B, 0)), 0)</f>
        <v>9031</v>
      </c>
      <c r="H14">
        <f>IFERROR(INDEX(State_shares_nonroad!K:K, MATCH(A14, State_shares_nonroad!J:J, 0)), 0)</f>
        <v>2.3843388255356391E-3</v>
      </c>
      <c r="I14">
        <f>IFERROR(INDEX(State_shares_nonroad!L:L, MATCH(A14, State_shares_nonroad!J:J, 0)), 0)</f>
        <v>3.5426238348524089E-3</v>
      </c>
      <c r="J14">
        <f>IFERROR(INDEX(State_shares_nonroad!AN:AN, MATCH(A14, State_shares_nonroad!O:O, 0)), 0)</f>
        <v>0</v>
      </c>
      <c r="K14">
        <f>IFERROR(INDEX(State_shares_nonroad!AO:AO, MATCH(A14, State_shares_nonroad!O:O, 0)), 0)</f>
        <v>0</v>
      </c>
      <c r="L14">
        <f>IFERROR(INDEX(State_shares_nonroad!AS:AS, MATCH(A14, State_shares_nonroad!AR:AR, 0)), 0)</f>
        <v>1.382049384350896E-2</v>
      </c>
      <c r="M14">
        <f>IFERROR(INDEX(State_shares_nonroad!AW:AW, MATCH(A14, State_shares_nonroad!AV:AV, 0)), 0)</f>
        <v>1.48289262121235E-2</v>
      </c>
      <c r="N14">
        <f>IFERROR(INDEX(State_shares_nonroad!BA:BA, MATCH(A14, State_shares_nonroad!AZ:AZ, 0)), 0)</f>
        <v>0</v>
      </c>
      <c r="O14">
        <f>C14 + E14*Keys!$C$32*Keys!$C$30</f>
        <v>3441643.3871300002</v>
      </c>
      <c r="P14">
        <f t="shared" si="0"/>
        <v>9167</v>
      </c>
      <c r="Q14">
        <f>E14*Keys!$C$32*Keys!$C$29</f>
        <v>114721.69887000001</v>
      </c>
      <c r="R14">
        <f>E14*Keys!$C$31</f>
        <v>97950.91399999999</v>
      </c>
      <c r="S14">
        <f t="shared" si="1"/>
        <v>193164</v>
      </c>
      <c r="T14">
        <f>INDEX(FHWA_MV1!D:D, MATCH(B14&amp;"*", FHWA_MV1!A:A, 0))</f>
        <v>1006994</v>
      </c>
      <c r="U14">
        <f>INDEX(FHWA_MV1!J:J, MATCH(B14&amp;"*", FHWA_MV1!A:A, 0))</f>
        <v>2647322</v>
      </c>
      <c r="V14">
        <f>IFERROR(SUM(INDEX(AFDC_state_fuel_2024!B:M, MATCH(B14, AFDC_state_fuel_2024!A:A, 0), 0)), 0)</f>
        <v>3174500</v>
      </c>
      <c r="W14" t="str">
        <f>IF(ISNUMBER(SEARCH(", "&amp;B14&amp;",", ", "&amp;Keys!$C$61&amp;",")), "RE-ANCHORED to AFDC (see Keys / methodology 9.6)", "")</f>
        <v/>
      </c>
      <c r="X14">
        <v>0</v>
      </c>
    </row>
    <row r="15" spans="1:24" x14ac:dyDescent="0.45">
      <c r="A15" t="s">
        <v>76</v>
      </c>
      <c r="B15" t="str">
        <f>INDEX(Geography!C:C, MATCH(A15, Geography!B:B, 0))</f>
        <v>Kansas</v>
      </c>
      <c r="C15">
        <f>IF(ISNUMBER(SEARCH(", "&amp;B15&amp;",", ", "&amp;Keys!$C$61&amp;",")), V15*T15/(T15+U15), T15)</f>
        <v>594786</v>
      </c>
      <c r="D15">
        <f>INDEX(FHWA_MV1!G:G, MATCH(B15&amp;"*", FHWA_MV1!A:A, 0))</f>
        <v>1434</v>
      </c>
      <c r="E15">
        <f>IF(ISNUMBER(SEARCH(", "&amp;B15&amp;",", ", "&amp;Keys!$C$61&amp;",")), V15*U15/(T15+U15), U15)</f>
        <v>1316870</v>
      </c>
      <c r="F15">
        <f>INDEX(FHWA_MV1!M:M, MATCH(B15&amp;"*", FHWA_MV1!A:A, 0))</f>
        <v>94496</v>
      </c>
      <c r="G15">
        <f>IFERROR(INDEX(AFDC_EV_state!C:C, MATCH(B15, AFDC_EV_state!B:B, 0)), 0)</f>
        <v>11271</v>
      </c>
      <c r="H15">
        <f>IFERROR(INDEX(State_shares_nonroad!K:K, MATCH(A15, State_shares_nonroad!J:J, 0)), 0)</f>
        <v>1.089714680469368E-3</v>
      </c>
      <c r="I15">
        <f>IFERROR(INDEX(State_shares_nonroad!L:L, MATCH(A15, State_shares_nonroad!J:J, 0)), 0)</f>
        <v>1.418865037805406E-3</v>
      </c>
      <c r="J15">
        <f>IFERROR(INDEX(State_shares_nonroad!AN:AN, MATCH(A15, State_shares_nonroad!O:O, 0)), 0)</f>
        <v>0</v>
      </c>
      <c r="K15">
        <f>IFERROR(INDEX(State_shares_nonroad!AO:AO, MATCH(A15, State_shares_nonroad!O:O, 0)), 0)</f>
        <v>0</v>
      </c>
      <c r="L15">
        <f>IFERROR(INDEX(State_shares_nonroad!AS:AS, MATCH(A15, State_shares_nonroad!AR:AR, 0)), 0)</f>
        <v>1.47610155707209E-2</v>
      </c>
      <c r="M15">
        <f>IFERROR(INDEX(State_shares_nonroad!AW:AW, MATCH(A15, State_shares_nonroad!AV:AV, 0)), 0)</f>
        <v>7.2084104864349749E-3</v>
      </c>
      <c r="N15">
        <f>IFERROR(INDEX(State_shares_nonroad!BA:BA, MATCH(A15, State_shares_nonroad!AZ:AZ, 0)), 0)</f>
        <v>0</v>
      </c>
      <c r="O15">
        <f>C15 + E15*Keys!$C$32*Keys!$C$30</f>
        <v>1805865.2485499999</v>
      </c>
      <c r="P15">
        <f t="shared" si="0"/>
        <v>1434</v>
      </c>
      <c r="Q15">
        <f>E15*Keys!$C$32*Keys!$C$29</f>
        <v>57066.561450000001</v>
      </c>
      <c r="R15">
        <f>E15*Keys!$C$31</f>
        <v>48724.189999999995</v>
      </c>
      <c r="S15">
        <f t="shared" si="1"/>
        <v>94496</v>
      </c>
      <c r="T15">
        <f>INDEX(FHWA_MV1!D:D, MATCH(B15&amp;"*", FHWA_MV1!A:A, 0))</f>
        <v>594786</v>
      </c>
      <c r="U15">
        <f>INDEX(FHWA_MV1!J:J, MATCH(B15&amp;"*", FHWA_MV1!A:A, 0))</f>
        <v>1316870</v>
      </c>
      <c r="V15">
        <f>IFERROR(SUM(INDEX(AFDC_state_fuel_2024!B:M, MATCH(B15, AFDC_state_fuel_2024!A:A, 0), 0)), 0)</f>
        <v>2649000</v>
      </c>
      <c r="W15" t="str">
        <f>IF(ISNUMBER(SEARCH(", "&amp;B15&amp;",", ", "&amp;Keys!$C$61&amp;",")), "RE-ANCHORED to AFDC (see Keys / methodology 9.6)", "")</f>
        <v/>
      </c>
      <c r="X15">
        <v>0</v>
      </c>
    </row>
    <row r="16" spans="1:24" x14ac:dyDescent="0.45">
      <c r="A16" t="s">
        <v>79</v>
      </c>
      <c r="B16" t="str">
        <f>INDEX(Geography!C:C, MATCH(A16, Geography!B:B, 0))</f>
        <v>Kentucky</v>
      </c>
      <c r="C16">
        <f>IF(ISNUMBER(SEARCH(", "&amp;B16&amp;",", ", "&amp;Keys!$C$61&amp;",")), V16*T16/(T16+U16), T16)</f>
        <v>1458659</v>
      </c>
      <c r="D16">
        <f>INDEX(FHWA_MV1!G:G, MATCH(B16&amp;"*", FHWA_MV1!A:A, 0))</f>
        <v>15428</v>
      </c>
      <c r="E16">
        <f>IF(ISNUMBER(SEARCH(", "&amp;B16&amp;",", ", "&amp;Keys!$C$61&amp;",")), V16*U16/(T16+U16), U16)</f>
        <v>2971565</v>
      </c>
      <c r="F16">
        <f>INDEX(FHWA_MV1!M:M, MATCH(B16&amp;"*", FHWA_MV1!A:A, 0))</f>
        <v>115887</v>
      </c>
      <c r="G16">
        <f>IFERROR(INDEX(AFDC_EV_state!C:C, MATCH(B16, AFDC_EV_state!B:B, 0)), 0)</f>
        <v>11617</v>
      </c>
      <c r="H16">
        <f>IFERROR(INDEX(State_shares_nonroad!K:K, MATCH(A16, State_shares_nonroad!J:J, 0)), 0)</f>
        <v>7.6947994114762814E-3</v>
      </c>
      <c r="I16">
        <f>IFERROR(INDEX(State_shares_nonroad!L:L, MATCH(A16, State_shares_nonroad!J:J, 0)), 0)</f>
        <v>0.1257765299227033</v>
      </c>
      <c r="J16">
        <f>IFERROR(INDEX(State_shares_nonroad!AN:AN, MATCH(A16, State_shares_nonroad!O:O, 0)), 0)</f>
        <v>0</v>
      </c>
      <c r="K16">
        <f>IFERROR(INDEX(State_shares_nonroad!AO:AO, MATCH(A16, State_shares_nonroad!O:O, 0)), 0)</f>
        <v>0</v>
      </c>
      <c r="L16">
        <f>IFERROR(INDEX(State_shares_nonroad!AS:AS, MATCH(A16, State_shares_nonroad!AR:AR, 0)), 0)</f>
        <v>1.1346939547653669E-2</v>
      </c>
      <c r="M16">
        <f>IFERROR(INDEX(State_shares_nonroad!AW:AW, MATCH(A16, State_shares_nonroad!AV:AV, 0)), 0)</f>
        <v>1.447569314990617E-2</v>
      </c>
      <c r="N16">
        <f>IFERROR(INDEX(State_shares_nonroad!BA:BA, MATCH(A16, State_shares_nonroad!AZ:AZ, 0)), 0)</f>
        <v>1.5921899638795391E-2</v>
      </c>
      <c r="O16">
        <f>C16 + E16*Keys!$C$32*Keys!$C$30</f>
        <v>4191503.3257249994</v>
      </c>
      <c r="P16">
        <f t="shared" si="0"/>
        <v>15428</v>
      </c>
      <c r="Q16">
        <f>E16*Keys!$C$32*Keys!$C$29</f>
        <v>128772.76927499998</v>
      </c>
      <c r="R16">
        <f>E16*Keys!$C$31</f>
        <v>109947.905</v>
      </c>
      <c r="S16">
        <f t="shared" si="1"/>
        <v>115887</v>
      </c>
      <c r="T16">
        <f>INDEX(FHWA_MV1!D:D, MATCH(B16&amp;"*", FHWA_MV1!A:A, 0))</f>
        <v>1458659</v>
      </c>
      <c r="U16">
        <f>INDEX(FHWA_MV1!J:J, MATCH(B16&amp;"*", FHWA_MV1!A:A, 0))</f>
        <v>2971565</v>
      </c>
      <c r="V16">
        <f>IFERROR(SUM(INDEX(AFDC_state_fuel_2024!B:M, MATCH(B16, AFDC_state_fuel_2024!A:A, 0), 0)), 0)</f>
        <v>3985300</v>
      </c>
      <c r="W16" t="str">
        <f>IF(ISNUMBER(SEARCH(", "&amp;B16&amp;",", ", "&amp;Keys!$C$61&amp;",")), "RE-ANCHORED to AFDC (see Keys / methodology 9.6)", "")</f>
        <v/>
      </c>
      <c r="X16">
        <v>0</v>
      </c>
    </row>
    <row r="17" spans="1:24" x14ac:dyDescent="0.45">
      <c r="A17" t="s">
        <v>82</v>
      </c>
      <c r="B17" t="str">
        <f>INDEX(Geography!C:C, MATCH(A17, Geography!B:B, 0))</f>
        <v>Louisiana</v>
      </c>
      <c r="C17">
        <f>IF(ISNUMBER(SEARCH(", "&amp;B17&amp;",", ", "&amp;Keys!$C$61&amp;",")), V17*T17/(T17+U17), T17)</f>
        <v>1370563</v>
      </c>
      <c r="D17">
        <f>INDEX(FHWA_MV1!G:G, MATCH(B17&amp;"*", FHWA_MV1!A:A, 0))</f>
        <v>33629</v>
      </c>
      <c r="E17">
        <f>IF(ISNUMBER(SEARCH(", "&amp;B17&amp;",", ", "&amp;Keys!$C$61&amp;",")), V17*U17/(T17+U17), U17)</f>
        <v>3046740</v>
      </c>
      <c r="F17">
        <f>INDEX(FHWA_MV1!M:M, MATCH(B17&amp;"*", FHWA_MV1!A:A, 0))</f>
        <v>105504</v>
      </c>
      <c r="G17">
        <f>IFERROR(INDEX(AFDC_EV_state!C:C, MATCH(B17, AFDC_EV_state!B:B, 0)), 0)</f>
        <v>8150</v>
      </c>
      <c r="H17">
        <f>IFERROR(INDEX(State_shares_nonroad!K:K, MATCH(A17, State_shares_nonroad!J:J, 0)), 0)</f>
        <v>8.7396893791648837E-3</v>
      </c>
      <c r="I17">
        <f>IFERROR(INDEX(State_shares_nonroad!L:L, MATCH(A17, State_shares_nonroad!J:J, 0)), 0)</f>
        <v>4.2885194697862153E-3</v>
      </c>
      <c r="J17">
        <f>IFERROR(INDEX(State_shares_nonroad!AN:AN, MATCH(A17, State_shares_nonroad!O:O, 0)), 0)</f>
        <v>0</v>
      </c>
      <c r="K17">
        <f>IFERROR(INDEX(State_shares_nonroad!AO:AO, MATCH(A17, State_shares_nonroad!O:O, 0)), 0)</f>
        <v>1.2090483619344771E-2</v>
      </c>
      <c r="L17">
        <f>IFERROR(INDEX(State_shares_nonroad!AS:AS, MATCH(A17, State_shares_nonroad!AR:AR, 0)), 0)</f>
        <v>1.548202273920974E-2</v>
      </c>
      <c r="M17">
        <f>IFERROR(INDEX(State_shares_nonroad!AW:AW, MATCH(A17, State_shares_nonroad!AV:AV, 0)), 0)</f>
        <v>2.7762385031080809E-2</v>
      </c>
      <c r="N17">
        <f>IFERROR(INDEX(State_shares_nonroad!BA:BA, MATCH(A17, State_shares_nonroad!AZ:AZ, 0)), 0)</f>
        <v>0.21596852518465989</v>
      </c>
      <c r="O17">
        <f>C17 + E17*Keys!$C$32*Keys!$C$30</f>
        <v>4172543.1420999998</v>
      </c>
      <c r="P17">
        <f t="shared" si="0"/>
        <v>33629</v>
      </c>
      <c r="Q17">
        <f>E17*Keys!$C$32*Keys!$C$29</f>
        <v>132030.4779</v>
      </c>
      <c r="R17">
        <f>E17*Keys!$C$31</f>
        <v>112729.37999999999</v>
      </c>
      <c r="S17">
        <f t="shared" si="1"/>
        <v>105504</v>
      </c>
      <c r="T17">
        <f>INDEX(FHWA_MV1!D:D, MATCH(B17&amp;"*", FHWA_MV1!A:A, 0))</f>
        <v>1370563</v>
      </c>
      <c r="U17">
        <f>INDEX(FHWA_MV1!J:J, MATCH(B17&amp;"*", FHWA_MV1!A:A, 0))</f>
        <v>3046740</v>
      </c>
      <c r="V17">
        <f>IFERROR(SUM(INDEX(AFDC_state_fuel_2024!B:M, MATCH(B17, AFDC_state_fuel_2024!A:A, 0), 0)), 0)</f>
        <v>3781900</v>
      </c>
      <c r="W17" t="str">
        <f>IF(ISNUMBER(SEARCH(", "&amp;B17&amp;",", ", "&amp;Keys!$C$61&amp;",")), "RE-ANCHORED to AFDC (see Keys / methodology 9.6)", "")</f>
        <v/>
      </c>
      <c r="X17">
        <v>35361</v>
      </c>
    </row>
    <row r="18" spans="1:24" x14ac:dyDescent="0.45">
      <c r="A18" t="s">
        <v>84</v>
      </c>
      <c r="B18" t="str">
        <f>INDEX(Geography!C:C, MATCH(A18, Geography!B:B, 0))</f>
        <v>Maine</v>
      </c>
      <c r="C18">
        <f>IF(ISNUMBER(SEARCH(", "&amp;B18&amp;",", ", "&amp;Keys!$C$61&amp;",")), V18*T18/(T18+U18), T18)</f>
        <v>312473</v>
      </c>
      <c r="D18">
        <f>INDEX(FHWA_MV1!G:G, MATCH(B18&amp;"*", FHWA_MV1!A:A, 0))</f>
        <v>1648</v>
      </c>
      <c r="E18">
        <f>IF(ISNUMBER(SEARCH(", "&amp;B18&amp;",", ", "&amp;Keys!$C$61&amp;",")), V18*U18/(T18+U18), U18)</f>
        <v>845161</v>
      </c>
      <c r="F18">
        <f>INDEX(FHWA_MV1!M:M, MATCH(B18&amp;"*", FHWA_MV1!A:A, 0))</f>
        <v>47685</v>
      </c>
      <c r="G18">
        <f>IFERROR(INDEX(AFDC_EV_state!C:C, MATCH(B18, AFDC_EV_state!B:B, 0)), 0)</f>
        <v>7377</v>
      </c>
      <c r="H18">
        <f>IFERROR(INDEX(State_shares_nonroad!K:K, MATCH(A18, State_shares_nonroad!J:J, 0)), 0)</f>
        <v>1.5590838646556029E-3</v>
      </c>
      <c r="I18">
        <f>IFERROR(INDEX(State_shares_nonroad!L:L, MATCH(A18, State_shares_nonroad!J:J, 0)), 0)</f>
        <v>1.8478618544473161E-4</v>
      </c>
      <c r="J18">
        <f>IFERROR(INDEX(State_shares_nonroad!AN:AN, MATCH(A18, State_shares_nonroad!O:O, 0)), 0)</f>
        <v>0</v>
      </c>
      <c r="K18">
        <f>IFERROR(INDEX(State_shares_nonroad!AO:AO, MATCH(A18, State_shares_nonroad!O:O, 0)), 0)</f>
        <v>0</v>
      </c>
      <c r="L18">
        <f>IFERROR(INDEX(State_shares_nonroad!AS:AS, MATCH(A18, State_shares_nonroad!AR:AR, 0)), 0)</f>
        <v>8.1916408499104008E-4</v>
      </c>
      <c r="M18">
        <f>IFERROR(INDEX(State_shares_nonroad!AW:AW, MATCH(A18, State_shares_nonroad!AV:AV, 0)), 0)</f>
        <v>9.6112440801633184E-3</v>
      </c>
      <c r="N18">
        <f>IFERROR(INDEX(State_shares_nonroad!BA:BA, MATCH(A18, State_shares_nonroad!AZ:AZ, 0)), 0)</f>
        <v>0</v>
      </c>
      <c r="O18">
        <f>C18 + E18*Keys!$C$32*Keys!$C$30</f>
        <v>1089737.991065</v>
      </c>
      <c r="P18">
        <f t="shared" si="0"/>
        <v>1648</v>
      </c>
      <c r="Q18">
        <f>E18*Keys!$C$32*Keys!$C$29</f>
        <v>36625.051934999996</v>
      </c>
      <c r="R18">
        <f>E18*Keys!$C$31</f>
        <v>31270.956999999999</v>
      </c>
      <c r="S18">
        <f t="shared" si="1"/>
        <v>47685</v>
      </c>
      <c r="T18">
        <f>INDEX(FHWA_MV1!D:D, MATCH(B18&amp;"*", FHWA_MV1!A:A, 0))</f>
        <v>312473</v>
      </c>
      <c r="U18">
        <f>INDEX(FHWA_MV1!J:J, MATCH(B18&amp;"*", FHWA_MV1!A:A, 0))</f>
        <v>845161</v>
      </c>
      <c r="V18">
        <f>IFERROR(SUM(INDEX(AFDC_state_fuel_2024!B:M, MATCH(B18, AFDC_state_fuel_2024!A:A, 0), 0)), 0)</f>
        <v>1256000</v>
      </c>
      <c r="W18" t="str">
        <f>IF(ISNUMBER(SEARCH(", "&amp;B18&amp;",", ", "&amp;Keys!$C$61&amp;",")), "RE-ANCHORED to AFDC (see Keys / methodology 9.6)", "")</f>
        <v/>
      </c>
      <c r="X18">
        <v>367</v>
      </c>
    </row>
    <row r="19" spans="1:24" x14ac:dyDescent="0.45">
      <c r="A19" t="s">
        <v>87</v>
      </c>
      <c r="B19" t="str">
        <f>INDEX(Geography!C:C, MATCH(A19, Geography!B:B, 0))</f>
        <v>Maryland</v>
      </c>
      <c r="C19">
        <f>IF(ISNUMBER(SEARCH(", "&amp;B19&amp;",", ", "&amp;Keys!$C$61&amp;",")), V19*T19/(T19+U19), T19)</f>
        <v>1908452</v>
      </c>
      <c r="D19">
        <f>INDEX(FHWA_MV1!G:G, MATCH(B19&amp;"*", FHWA_MV1!A:A, 0))</f>
        <v>15907</v>
      </c>
      <c r="E19">
        <f>IF(ISNUMBER(SEARCH(", "&amp;B19&amp;",", ", "&amp;Keys!$C$61&amp;",")), V19*U19/(T19+U19), U19)</f>
        <v>2942140</v>
      </c>
      <c r="F19">
        <f>INDEX(FHWA_MV1!M:M, MATCH(B19&amp;"*", FHWA_MV1!A:A, 0))</f>
        <v>99106</v>
      </c>
      <c r="G19">
        <f>IFERROR(INDEX(AFDC_EV_state!C:C, MATCH(B19, AFDC_EV_state!B:B, 0)), 0)</f>
        <v>72139</v>
      </c>
      <c r="H19">
        <f>IFERROR(INDEX(State_shares_nonroad!K:K, MATCH(A19, State_shares_nonroad!J:J, 0)), 0)</f>
        <v>1.4293871995717401E-2</v>
      </c>
      <c r="I19">
        <f>IFERROR(INDEX(State_shares_nonroad!L:L, MATCH(A19, State_shares_nonroad!J:J, 0)), 0)</f>
        <v>7.6018772745150556E-3</v>
      </c>
      <c r="J19">
        <f>IFERROR(INDEX(State_shares_nonroad!AN:AN, MATCH(A19, State_shares_nonroad!O:O, 0)), 0)</f>
        <v>2.8901734104046239E-2</v>
      </c>
      <c r="K19">
        <f>IFERROR(INDEX(State_shares_nonroad!AO:AO, MATCH(A19, State_shares_nonroad!O:O, 0)), 0)</f>
        <v>1.9500780031201249E-2</v>
      </c>
      <c r="L19">
        <f>IFERROR(INDEX(State_shares_nonroad!AS:AS, MATCH(A19, State_shares_nonroad!AR:AR, 0)), 0)</f>
        <v>7.5081117768133017E-3</v>
      </c>
      <c r="M19">
        <f>IFERROR(INDEX(State_shares_nonroad!AW:AW, MATCH(A19, State_shares_nonroad!AV:AV, 0)), 0)</f>
        <v>1.5780271698708812E-2</v>
      </c>
      <c r="N19">
        <f>IFERROR(INDEX(State_shares_nonroad!BA:BA, MATCH(A19, State_shares_nonroad!AZ:AZ, 0)), 0)</f>
        <v>1.6257037173208221E-2</v>
      </c>
      <c r="O19">
        <f>C19 + E19*Keys!$C$32*Keys!$C$30</f>
        <v>4614235.1831</v>
      </c>
      <c r="P19">
        <f t="shared" si="0"/>
        <v>15907</v>
      </c>
      <c r="Q19">
        <f>E19*Keys!$C$32*Keys!$C$29</f>
        <v>127497.63689999998</v>
      </c>
      <c r="R19">
        <f>E19*Keys!$C$31</f>
        <v>108859.18</v>
      </c>
      <c r="S19">
        <f t="shared" si="1"/>
        <v>99106</v>
      </c>
      <c r="T19">
        <f>INDEX(FHWA_MV1!D:D, MATCH(B19&amp;"*", FHWA_MV1!A:A, 0))</f>
        <v>1908452</v>
      </c>
      <c r="U19">
        <f>INDEX(FHWA_MV1!J:J, MATCH(B19&amp;"*", FHWA_MV1!A:A, 0))</f>
        <v>2942140</v>
      </c>
      <c r="V19">
        <f>IFERROR(SUM(INDEX(AFDC_state_fuel_2024!B:M, MATCH(B19, AFDC_state_fuel_2024!A:A, 0), 0)), 0)</f>
        <v>5031900</v>
      </c>
      <c r="W19" t="str">
        <f>IF(ISNUMBER(SEARCH(", "&amp;B19&amp;",", ", "&amp;Keys!$C$61&amp;",")), "RE-ANCHORED to AFDC (see Keys / methodology 9.6)", "")</f>
        <v/>
      </c>
      <c r="X19">
        <v>524</v>
      </c>
    </row>
    <row r="20" spans="1:24" x14ac:dyDescent="0.45">
      <c r="A20" t="s">
        <v>90</v>
      </c>
      <c r="B20" t="str">
        <f>INDEX(Geography!C:C, MATCH(A20, Geography!B:B, 0))</f>
        <v>Massachusetts</v>
      </c>
      <c r="C20">
        <f>IF(ISNUMBER(SEARCH(", "&amp;B20&amp;",", ", "&amp;Keys!$C$61&amp;",")), V20*T20/(T20+U20), T20)</f>
        <v>1706714</v>
      </c>
      <c r="D20">
        <f>INDEX(FHWA_MV1!G:G, MATCH(B20&amp;"*", FHWA_MV1!A:A, 0))</f>
        <v>13903</v>
      </c>
      <c r="E20">
        <f>IF(ISNUMBER(SEARCH(", "&amp;B20&amp;",", ", "&amp;Keys!$C$61&amp;",")), V20*U20/(T20+U20), U20)</f>
        <v>3232362</v>
      </c>
      <c r="F20">
        <f>INDEX(FHWA_MV1!M:M, MATCH(B20&amp;"*", FHWA_MV1!A:A, 0))</f>
        <v>141710</v>
      </c>
      <c r="G20">
        <f>IFERROR(INDEX(AFDC_EV_state!C:C, MATCH(B20, AFDC_EV_state!B:B, 0)), 0)</f>
        <v>73768</v>
      </c>
      <c r="H20">
        <f>IFERROR(INDEX(State_shares_nonroad!K:K, MATCH(A20, State_shares_nonroad!J:J, 0)), 0)</f>
        <v>2.245905809730564E-2</v>
      </c>
      <c r="I20">
        <f>IFERROR(INDEX(State_shares_nonroad!L:L, MATCH(A20, State_shares_nonroad!J:J, 0)), 0)</f>
        <v>5.642305850876092E-3</v>
      </c>
      <c r="J20">
        <f>IFERROR(INDEX(State_shares_nonroad!AN:AN, MATCH(A20, State_shares_nonroad!O:O, 0)), 0)</f>
        <v>0.2485549132947977</v>
      </c>
      <c r="K20">
        <f>IFERROR(INDEX(State_shares_nonroad!AO:AO, MATCH(A20, State_shares_nonroad!O:O, 0)), 0)</f>
        <v>6.4742589703588149E-2</v>
      </c>
      <c r="L20">
        <f>IFERROR(INDEX(State_shares_nonroad!AS:AS, MATCH(A20, State_shares_nonroad!AR:AR, 0)), 0)</f>
        <v>6.3016740394408769E-3</v>
      </c>
      <c r="M20">
        <f>IFERROR(INDEX(State_shares_nonroad!AW:AW, MATCH(A20, State_shares_nonroad!AV:AV, 0)), 0)</f>
        <v>1.142761327228084E-2</v>
      </c>
      <c r="N20">
        <f>IFERROR(INDEX(State_shares_nonroad!BA:BA, MATCH(A20, State_shares_nonroad!AZ:AZ, 0)), 0)</f>
        <v>6.1526488465313313E-3</v>
      </c>
      <c r="O20">
        <f>C20 + E20*Keys!$C$32*Keys!$C$30</f>
        <v>4679404.1987299994</v>
      </c>
      <c r="P20">
        <f t="shared" si="0"/>
        <v>13903</v>
      </c>
      <c r="Q20">
        <f>E20*Keys!$C$32*Keys!$C$29</f>
        <v>140074.40726999997</v>
      </c>
      <c r="R20">
        <f>E20*Keys!$C$31</f>
        <v>119597.394</v>
      </c>
      <c r="S20">
        <f t="shared" si="1"/>
        <v>141710</v>
      </c>
      <c r="T20">
        <f>INDEX(FHWA_MV1!D:D, MATCH(B20&amp;"*", FHWA_MV1!A:A, 0))</f>
        <v>1706714</v>
      </c>
      <c r="U20">
        <f>INDEX(FHWA_MV1!J:J, MATCH(B20&amp;"*", FHWA_MV1!A:A, 0))</f>
        <v>3232362</v>
      </c>
      <c r="V20">
        <f>IFERROR(SUM(INDEX(AFDC_state_fuel_2024!B:M, MATCH(B20, AFDC_state_fuel_2024!A:A, 0), 0)), 0)</f>
        <v>5534800</v>
      </c>
      <c r="W20" t="str">
        <f>IF(ISNUMBER(SEARCH(", "&amp;B20&amp;",", ", "&amp;Keys!$C$61&amp;",")), "RE-ANCHORED to AFDC (see Keys / methodology 9.6)", "")</f>
        <v/>
      </c>
      <c r="X20">
        <v>1262</v>
      </c>
    </row>
    <row r="21" spans="1:24" x14ac:dyDescent="0.45">
      <c r="A21" t="s">
        <v>92</v>
      </c>
      <c r="B21" t="str">
        <f>INDEX(Geography!C:C, MATCH(A21, Geography!B:B, 0))</f>
        <v>Michigan</v>
      </c>
      <c r="C21">
        <f>IF(ISNUMBER(SEARCH(", "&amp;B21&amp;",", ", "&amp;Keys!$C$61&amp;",")), V21*T21/(T21+U21), T21)</f>
        <v>2494236</v>
      </c>
      <c r="D21">
        <f>INDEX(FHWA_MV1!G:G, MATCH(B21&amp;"*", FHWA_MV1!A:A, 0))</f>
        <v>2256</v>
      </c>
      <c r="E21">
        <f>IF(ISNUMBER(SEARCH(", "&amp;B21&amp;",", ", "&amp;Keys!$C$61&amp;",")), V21*U21/(T21+U21), U21)</f>
        <v>6860844</v>
      </c>
      <c r="F21">
        <f>INDEX(FHWA_MV1!M:M, MATCH(B21&amp;"*", FHWA_MV1!A:A, 0))</f>
        <v>249465</v>
      </c>
      <c r="G21">
        <f>IFERROR(INDEX(AFDC_EV_state!C:C, MATCH(B21, AFDC_EV_state!B:B, 0)), 0)</f>
        <v>50284</v>
      </c>
      <c r="H21">
        <f>IFERROR(INDEX(State_shares_nonroad!K:K, MATCH(A21, State_shares_nonroad!J:J, 0)), 0)</f>
        <v>2.2627806063268061E-2</v>
      </c>
      <c r="I21">
        <f>IFERROR(INDEX(State_shares_nonroad!L:L, MATCH(A21, State_shares_nonroad!J:J, 0)), 0)</f>
        <v>9.0100979798436592E-3</v>
      </c>
      <c r="J21">
        <f>IFERROR(INDEX(State_shares_nonroad!AN:AN, MATCH(A21, State_shares_nonroad!O:O, 0)), 0)</f>
        <v>0</v>
      </c>
      <c r="K21">
        <f>IFERROR(INDEX(State_shares_nonroad!AO:AO, MATCH(A21, State_shares_nonroad!O:O, 0)), 0)</f>
        <v>1.9500780031201251E-3</v>
      </c>
      <c r="L21">
        <f>IFERROR(INDEX(State_shares_nonroad!AS:AS, MATCH(A21, State_shares_nonroad!AR:AR, 0)), 0)</f>
        <v>1.8355343385910342E-2</v>
      </c>
      <c r="M21">
        <f>IFERROR(INDEX(State_shares_nonroad!AW:AW, MATCH(A21, State_shares_nonroad!AV:AV, 0)), 0)</f>
        <v>6.7166562481574224E-2</v>
      </c>
      <c r="N21">
        <f>IFERROR(INDEX(State_shares_nonroad!BA:BA, MATCH(A21, State_shares_nonroad!AZ:AZ, 0)), 0)</f>
        <v>0</v>
      </c>
      <c r="O21">
        <f>C21 + E21*Keys!$C$32*Keys!$C$30</f>
        <v>8803914.0972599983</v>
      </c>
      <c r="P21">
        <f t="shared" si="0"/>
        <v>2256</v>
      </c>
      <c r="Q21">
        <f>E21*Keys!$C$32*Keys!$C$29</f>
        <v>297314.67473999999</v>
      </c>
      <c r="R21">
        <f>E21*Keys!$C$31</f>
        <v>253851.22799999997</v>
      </c>
      <c r="S21">
        <f t="shared" si="1"/>
        <v>249465</v>
      </c>
      <c r="T21">
        <f>INDEX(FHWA_MV1!D:D, MATCH(B21&amp;"*", FHWA_MV1!A:A, 0))</f>
        <v>2494236</v>
      </c>
      <c r="U21">
        <f>INDEX(FHWA_MV1!J:J, MATCH(B21&amp;"*", FHWA_MV1!A:A, 0))</f>
        <v>6860844</v>
      </c>
      <c r="V21">
        <f>IFERROR(SUM(INDEX(AFDC_state_fuel_2024!B:M, MATCH(B21, AFDC_state_fuel_2024!A:A, 0), 0)), 0)</f>
        <v>8584500</v>
      </c>
      <c r="W21" t="str">
        <f>IF(ISNUMBER(SEARCH(", "&amp;B21&amp;",", ", "&amp;Keys!$C$61&amp;",")), "RE-ANCHORED to AFDC (see Keys / methodology 9.6)", "")</f>
        <v/>
      </c>
      <c r="X21">
        <v>4668</v>
      </c>
    </row>
    <row r="22" spans="1:24" x14ac:dyDescent="0.45">
      <c r="A22" t="s">
        <v>95</v>
      </c>
      <c r="B22" t="str">
        <f>INDEX(Geography!C:C, MATCH(A22, Geography!B:B, 0))</f>
        <v>Minnesota</v>
      </c>
      <c r="C22">
        <f>IF(ISNUMBER(SEARCH(", "&amp;B22&amp;",", ", "&amp;Keys!$C$61&amp;",")), V22*T22/(T22+U22), T22)</f>
        <v>1609042</v>
      </c>
      <c r="D22">
        <f>INDEX(FHWA_MV1!G:G, MATCH(B22&amp;"*", FHWA_MV1!A:A, 0))</f>
        <v>14185</v>
      </c>
      <c r="E22">
        <f>IF(ISNUMBER(SEARCH(", "&amp;B22&amp;",", ", "&amp;Keys!$C$61&amp;",")), V22*U22/(T22+U22), U22)</f>
        <v>4087641</v>
      </c>
      <c r="F22">
        <f>INDEX(FHWA_MV1!M:M, MATCH(B22&amp;"*", FHWA_MV1!A:A, 0))</f>
        <v>226544</v>
      </c>
      <c r="G22">
        <f>IFERROR(INDEX(AFDC_EV_state!C:C, MATCH(B22, AFDC_EV_state!B:B, 0)), 0)</f>
        <v>37050</v>
      </c>
      <c r="H22">
        <f>IFERROR(INDEX(State_shares_nonroad!K:K, MATCH(A22, State_shares_nonroad!J:J, 0)), 0)</f>
        <v>2.0978340339614349E-2</v>
      </c>
      <c r="I22">
        <f>IFERROR(INDEX(State_shares_nonroad!L:L, MATCH(A22, State_shares_nonroad!J:J, 0)), 0)</f>
        <v>6.3649036228589466E-3</v>
      </c>
      <c r="J22">
        <f>IFERROR(INDEX(State_shares_nonroad!AN:AN, MATCH(A22, State_shares_nonroad!O:O, 0)), 0)</f>
        <v>5.7803468208092483E-3</v>
      </c>
      <c r="K22">
        <f>IFERROR(INDEX(State_shares_nonroad!AO:AO, MATCH(A22, State_shares_nonroad!O:O, 0)), 0)</f>
        <v>1.0140405616224649E-2</v>
      </c>
      <c r="L22">
        <f>IFERROR(INDEX(State_shares_nonroad!AS:AS, MATCH(A22, State_shares_nonroad!AR:AR, 0)), 0)</f>
        <v>3.8213379929908822E-2</v>
      </c>
      <c r="M22">
        <f>IFERROR(INDEX(State_shares_nonroad!AW:AW, MATCH(A22, State_shares_nonroad!AV:AV, 0)), 0)</f>
        <v>5.3151553146451487E-2</v>
      </c>
      <c r="N22">
        <f>IFERROR(INDEX(State_shares_nonroad!BA:BA, MATCH(A22, State_shares_nonroad!AZ:AZ, 0)), 0)</f>
        <v>1.202369676420678E-2</v>
      </c>
      <c r="O22">
        <f>C22 + E22*Keys!$C$32*Keys!$C$30</f>
        <v>5368302.3602649998</v>
      </c>
      <c r="P22">
        <f t="shared" si="0"/>
        <v>14185</v>
      </c>
      <c r="Q22">
        <f>E22*Keys!$C$32*Keys!$C$29</f>
        <v>177137.92273499997</v>
      </c>
      <c r="R22">
        <f>E22*Keys!$C$31</f>
        <v>151242.717</v>
      </c>
      <c r="S22">
        <f t="shared" si="1"/>
        <v>226544</v>
      </c>
      <c r="T22">
        <f>INDEX(FHWA_MV1!D:D, MATCH(B22&amp;"*", FHWA_MV1!A:A, 0))</f>
        <v>1609042</v>
      </c>
      <c r="U22">
        <f>INDEX(FHWA_MV1!J:J, MATCH(B22&amp;"*", FHWA_MV1!A:A, 0))</f>
        <v>4087641</v>
      </c>
      <c r="V22">
        <f>IFERROR(SUM(INDEX(AFDC_state_fuel_2024!B:M, MATCH(B22, AFDC_state_fuel_2024!A:A, 0), 0)), 0)</f>
        <v>5185600</v>
      </c>
      <c r="W22" t="str">
        <f>IF(ISNUMBER(SEARCH(", "&amp;B22&amp;",", ", "&amp;Keys!$C$61&amp;",")), "RE-ANCHORED to AFDC (see Keys / methodology 9.6)", "")</f>
        <v/>
      </c>
      <c r="X22">
        <v>0</v>
      </c>
    </row>
    <row r="23" spans="1:24" x14ac:dyDescent="0.45">
      <c r="A23" t="s">
        <v>98</v>
      </c>
      <c r="B23" t="str">
        <f>INDEX(Geography!C:C, MATCH(A23, Geography!B:B, 0))</f>
        <v>Mississippi</v>
      </c>
      <c r="C23">
        <f>IF(ISNUMBER(SEARCH(", "&amp;B23&amp;",", ", "&amp;Keys!$C$61&amp;",")), V23*T23/(T23+U23), T23)</f>
        <v>756941</v>
      </c>
      <c r="D23">
        <f>INDEX(FHWA_MV1!G:G, MATCH(B23&amp;"*", FHWA_MV1!A:A, 0))</f>
        <v>8505</v>
      </c>
      <c r="E23">
        <f>IF(ISNUMBER(SEARCH(", "&amp;B23&amp;",", ", "&amp;Keys!$C$61&amp;",")), V23*U23/(T23+U23), U23)</f>
        <v>1418382</v>
      </c>
      <c r="F23">
        <f>INDEX(FHWA_MV1!M:M, MATCH(B23&amp;"*", FHWA_MV1!A:A, 0))</f>
        <v>30421</v>
      </c>
      <c r="G23">
        <f>IFERROR(INDEX(AFDC_EV_state!C:C, MATCH(B23, AFDC_EV_state!B:B, 0)), 0)</f>
        <v>3590</v>
      </c>
      <c r="H23">
        <f>IFERROR(INDEX(State_shares_nonroad!K:K, MATCH(A23, State_shares_nonroad!J:J, 0)), 0)</f>
        <v>1.0998705213566471E-3</v>
      </c>
      <c r="I23">
        <f>IFERROR(INDEX(State_shares_nonroad!L:L, MATCH(A23, State_shares_nonroad!J:J, 0)), 0)</f>
        <v>4.1249966098948741E-4</v>
      </c>
      <c r="J23">
        <f>IFERROR(INDEX(State_shares_nonroad!AN:AN, MATCH(A23, State_shares_nonroad!O:O, 0)), 0)</f>
        <v>0</v>
      </c>
      <c r="K23">
        <f>IFERROR(INDEX(State_shares_nonroad!AO:AO, MATCH(A23, State_shares_nonroad!O:O, 0)), 0)</f>
        <v>0</v>
      </c>
      <c r="L23">
        <f>IFERROR(INDEX(State_shares_nonroad!AS:AS, MATCH(A23, State_shares_nonroad!AR:AR, 0)), 0)</f>
        <v>4.7400867314514213E-3</v>
      </c>
      <c r="M23">
        <f>IFERROR(INDEX(State_shares_nonroad!AW:AW, MATCH(A23, State_shares_nonroad!AV:AV, 0)), 0)</f>
        <v>1.1772358627992941E-2</v>
      </c>
      <c r="N23">
        <f>IFERROR(INDEX(State_shares_nonroad!BA:BA, MATCH(A23, State_shares_nonroad!AZ:AZ, 0)), 0)</f>
        <v>1.066657833446176E-2</v>
      </c>
      <c r="O23">
        <f>C23 + E23*Keys!$C$32*Keys!$C$30</f>
        <v>2061377.2820299999</v>
      </c>
      <c r="P23">
        <f t="shared" si="0"/>
        <v>8505</v>
      </c>
      <c r="Q23">
        <f>E23*Keys!$C$32*Keys!$C$29</f>
        <v>61465.583969999992</v>
      </c>
      <c r="R23">
        <f>E23*Keys!$C$31</f>
        <v>52480.133999999998</v>
      </c>
      <c r="S23">
        <f t="shared" si="1"/>
        <v>30421</v>
      </c>
      <c r="T23">
        <f>INDEX(FHWA_MV1!D:D, MATCH(B23&amp;"*", FHWA_MV1!A:A, 0))</f>
        <v>756941</v>
      </c>
      <c r="U23">
        <f>INDEX(FHWA_MV1!J:J, MATCH(B23&amp;"*", FHWA_MV1!A:A, 0))</f>
        <v>1418382</v>
      </c>
      <c r="V23">
        <f>IFERROR(SUM(INDEX(AFDC_state_fuel_2024!B:M, MATCH(B23, AFDC_state_fuel_2024!A:A, 0), 0)), 0)</f>
        <v>2726800</v>
      </c>
      <c r="W23" t="str">
        <f>IF(ISNUMBER(SEARCH(", "&amp;B23&amp;",", ", "&amp;Keys!$C$61&amp;",")), "RE-ANCHORED to AFDC (see Keys / methodology 9.6)", "")</f>
        <v/>
      </c>
      <c r="X23">
        <v>2103</v>
      </c>
    </row>
    <row r="24" spans="1:24" x14ac:dyDescent="0.45">
      <c r="A24" t="s">
        <v>100</v>
      </c>
      <c r="B24" t="str">
        <f>INDEX(Geography!C:C, MATCH(A24, Geography!B:B, 0))</f>
        <v>Missouri</v>
      </c>
      <c r="C24">
        <f>IF(ISNUMBER(SEARCH(", "&amp;B24&amp;",", ", "&amp;Keys!$C$61&amp;",")), V24*T24/(T24+U24), T24)</f>
        <v>1645714</v>
      </c>
      <c r="D24">
        <f>INDEX(FHWA_MV1!G:G, MATCH(B24&amp;"*", FHWA_MV1!A:A, 0))</f>
        <v>22905</v>
      </c>
      <c r="E24">
        <f>IF(ISNUMBER(SEARCH(", "&amp;B24&amp;",", ", "&amp;Keys!$C$61&amp;",")), V24*U24/(T24+U24), U24)</f>
        <v>3619999</v>
      </c>
      <c r="F24">
        <f>INDEX(FHWA_MV1!M:M, MATCH(B24&amp;"*", FHWA_MV1!A:A, 0))</f>
        <v>133801</v>
      </c>
      <c r="G24">
        <f>IFERROR(INDEX(AFDC_EV_state!C:C, MATCH(B24, AFDC_EV_state!B:B, 0)), 0)</f>
        <v>26861</v>
      </c>
      <c r="H24">
        <f>IFERROR(INDEX(State_shares_nonroad!K:K, MATCH(A24, State_shares_nonroad!J:J, 0)), 0)</f>
        <v>1.5320908097624141E-2</v>
      </c>
      <c r="I24">
        <f>IFERROR(INDEX(State_shares_nonroad!L:L, MATCH(A24, State_shares_nonroad!J:J, 0)), 0)</f>
        <v>6.1586397540831462E-3</v>
      </c>
      <c r="J24">
        <f>IFERROR(INDEX(State_shares_nonroad!AN:AN, MATCH(A24, State_shares_nonroad!O:O, 0)), 0)</f>
        <v>0</v>
      </c>
      <c r="K24">
        <f>IFERROR(INDEX(State_shares_nonroad!AO:AO, MATCH(A24, State_shares_nonroad!O:O, 0)), 0)</f>
        <v>1.2480499219968799E-2</v>
      </c>
      <c r="L24">
        <f>IFERROR(INDEX(State_shares_nonroad!AS:AS, MATCH(A24, State_shares_nonroad!AR:AR, 0)), 0)</f>
        <v>1.972061686089541E-2</v>
      </c>
      <c r="M24">
        <f>IFERROR(INDEX(State_shares_nonroad!AW:AW, MATCH(A24, State_shares_nonroad!AV:AV, 0)), 0)</f>
        <v>2.668020245166499E-2</v>
      </c>
      <c r="N24">
        <f>IFERROR(INDEX(State_shares_nonroad!BA:BA, MATCH(A24, State_shares_nonroad!AZ:AZ, 0)), 0)</f>
        <v>1.4201298483873951E-2</v>
      </c>
      <c r="O24">
        <f>C24 + E24*Keys!$C$32*Keys!$C$30</f>
        <v>4974900.3803349994</v>
      </c>
      <c r="P24">
        <f t="shared" si="0"/>
        <v>22905</v>
      </c>
      <c r="Q24">
        <f>E24*Keys!$C$32*Keys!$C$29</f>
        <v>156872.65666499999</v>
      </c>
      <c r="R24">
        <f>E24*Keys!$C$31</f>
        <v>133939.96299999999</v>
      </c>
      <c r="S24">
        <f t="shared" si="1"/>
        <v>133801</v>
      </c>
      <c r="T24">
        <f>INDEX(FHWA_MV1!D:D, MATCH(B24&amp;"*", FHWA_MV1!A:A, 0))</f>
        <v>1645714</v>
      </c>
      <c r="U24">
        <f>INDEX(FHWA_MV1!J:J, MATCH(B24&amp;"*", FHWA_MV1!A:A, 0))</f>
        <v>3619999</v>
      </c>
      <c r="V24">
        <f>IFERROR(SUM(INDEX(AFDC_state_fuel_2024!B:M, MATCH(B24, AFDC_state_fuel_2024!A:A, 0), 0)), 0)</f>
        <v>5726500</v>
      </c>
      <c r="W24" t="str">
        <f>IF(ISNUMBER(SEARCH(", "&amp;B24&amp;",", ", "&amp;Keys!$C$61&amp;",")), "RE-ANCHORED to AFDC (see Keys / methodology 9.6)", "")</f>
        <v/>
      </c>
      <c r="X24">
        <v>1</v>
      </c>
    </row>
    <row r="25" spans="1:24" x14ac:dyDescent="0.45">
      <c r="A25" t="s">
        <v>102</v>
      </c>
      <c r="B25" t="str">
        <f>INDEX(Geography!C:C, MATCH(A25, Geography!B:B, 0))</f>
        <v>Montana</v>
      </c>
      <c r="C25">
        <f>IF(ISNUMBER(SEARCH(", "&amp;B25&amp;",", ", "&amp;Keys!$C$61&amp;",")), V25*T25/(T25+U25), T25)</f>
        <v>270089.88160105207</v>
      </c>
      <c r="D25">
        <f>INDEX(FHWA_MV1!G:G, MATCH(B25&amp;"*", FHWA_MV1!A:A, 0))</f>
        <v>5629</v>
      </c>
      <c r="E25">
        <f>IF(ISNUMBER(SEARCH(", "&amp;B25&amp;",", ", "&amp;Keys!$C$61&amp;",")), V25*U25/(T25+U25), U25)</f>
        <v>768510.11839894799</v>
      </c>
      <c r="F25">
        <f>INDEX(FHWA_MV1!M:M, MATCH(B25&amp;"*", FHWA_MV1!A:A, 0))</f>
        <v>447943</v>
      </c>
      <c r="G25">
        <f>IFERROR(INDEX(AFDC_EV_state!C:C, MATCH(B25, AFDC_EV_state!B:B, 0)), 0)</f>
        <v>4608</v>
      </c>
      <c r="H25">
        <f>IFERROR(INDEX(State_shares_nonroad!K:K, MATCH(A25, State_shares_nonroad!J:J, 0)), 0)</f>
        <v>2.583000184489947E-3</v>
      </c>
      <c r="I25">
        <f>IFERROR(INDEX(State_shares_nonroad!L:L, MATCH(A25, State_shares_nonroad!J:J, 0)), 0)</f>
        <v>3.7123819054950291E-3</v>
      </c>
      <c r="J25">
        <f>IFERROR(INDEX(State_shares_nonroad!AN:AN, MATCH(A25, State_shares_nonroad!O:O, 0)), 0)</f>
        <v>0</v>
      </c>
      <c r="K25">
        <f>IFERROR(INDEX(State_shares_nonroad!AO:AO, MATCH(A25, State_shares_nonroad!O:O, 0)), 0)</f>
        <v>0</v>
      </c>
      <c r="L25">
        <f>IFERROR(INDEX(State_shares_nonroad!AS:AS, MATCH(A25, State_shares_nonroad!AR:AR, 0)), 0)</f>
        <v>6.1963784381021594E-3</v>
      </c>
      <c r="M25">
        <f>IFERROR(INDEX(State_shares_nonroad!AW:AW, MATCH(A25, State_shares_nonroad!AV:AV, 0)), 0)</f>
        <v>5.6453180682232819E-3</v>
      </c>
      <c r="N25">
        <f>IFERROR(INDEX(State_shares_nonroad!BA:BA, MATCH(A25, State_shares_nonroad!AZ:AZ, 0)), 0)</f>
        <v>0</v>
      </c>
      <c r="O25">
        <f>C25 + E25*Keys!$C$32*Keys!$C$30</f>
        <v>976861.73963842052</v>
      </c>
      <c r="P25">
        <f t="shared" si="0"/>
        <v>5629</v>
      </c>
      <c r="Q25">
        <f>E25*Keys!$C$32*Keys!$C$29</f>
        <v>33303.385980818413</v>
      </c>
      <c r="R25">
        <f>E25*Keys!$C$31</f>
        <v>28434.874380761074</v>
      </c>
      <c r="S25">
        <f t="shared" si="1"/>
        <v>447943</v>
      </c>
      <c r="T25">
        <f>INDEX(FHWA_MV1!D:D, MATCH(B25&amp;"*", FHWA_MV1!A:A, 0))</f>
        <v>525226</v>
      </c>
      <c r="U25">
        <f>INDEX(FHWA_MV1!J:J, MATCH(B25&amp;"*", FHWA_MV1!A:A, 0))</f>
        <v>1494471</v>
      </c>
      <c r="V25">
        <f>IFERROR(SUM(INDEX(AFDC_state_fuel_2024!B:M, MATCH(B25, AFDC_state_fuel_2024!A:A, 0), 0)), 0)</f>
        <v>1038600</v>
      </c>
      <c r="W25" t="str">
        <f>IF(ISNUMBER(SEARCH(", "&amp;B25&amp;",", ", "&amp;Keys!$C$61&amp;",")), "RE-ANCHORED to AFDC (see Keys / methodology 9.6)", "")</f>
        <v>RE-ANCHORED to AFDC (see Keys / methodology 9.6)</v>
      </c>
      <c r="X25">
        <v>0</v>
      </c>
    </row>
    <row r="26" spans="1:24" x14ac:dyDescent="0.45">
      <c r="A26" t="s">
        <v>104</v>
      </c>
      <c r="B26" t="str">
        <f>INDEX(Geography!C:C, MATCH(A26, Geography!B:B, 0))</f>
        <v>Nebraska</v>
      </c>
      <c r="C26">
        <f>IF(ISNUMBER(SEARCH(", "&amp;B26&amp;",", ", "&amp;Keys!$C$61&amp;",")), V26*T26/(T26+U26), T26)</f>
        <v>561111</v>
      </c>
      <c r="D26">
        <f>INDEX(FHWA_MV1!G:G, MATCH(B26&amp;"*", FHWA_MV1!A:A, 0))</f>
        <v>9006</v>
      </c>
      <c r="E26">
        <f>IF(ISNUMBER(SEARCH(", "&amp;B26&amp;",", ", "&amp;Keys!$C$61&amp;",")), V26*U26/(T26+U26), U26)</f>
        <v>1368302</v>
      </c>
      <c r="F26">
        <f>INDEX(FHWA_MV1!M:M, MATCH(B26&amp;"*", FHWA_MV1!A:A, 0))</f>
        <v>50753</v>
      </c>
      <c r="G26">
        <f>IFERROR(INDEX(AFDC_EV_state!C:C, MATCH(B26, AFDC_EV_state!B:B, 0)), 0)</f>
        <v>6920</v>
      </c>
      <c r="H26">
        <f>IFERROR(INDEX(State_shares_nonroad!K:K, MATCH(A26, State_shares_nonroad!J:J, 0)), 0)</f>
        <v>2.9440204690503301E-3</v>
      </c>
      <c r="I26">
        <f>IFERROR(INDEX(State_shares_nonroad!L:L, MATCH(A26, State_shares_nonroad!J:J, 0)), 0)</f>
        <v>2.5920770977760649E-3</v>
      </c>
      <c r="J26">
        <f>IFERROR(INDEX(State_shares_nonroad!AN:AN, MATCH(A26, State_shares_nonroad!O:O, 0)), 0)</f>
        <v>0</v>
      </c>
      <c r="K26">
        <f>IFERROR(INDEX(State_shares_nonroad!AO:AO, MATCH(A26, State_shares_nonroad!O:O, 0)), 0)</f>
        <v>0</v>
      </c>
      <c r="L26">
        <f>IFERROR(INDEX(State_shares_nonroad!AS:AS, MATCH(A26, State_shares_nonroad!AR:AR, 0)), 0)</f>
        <v>1.0608085667073511E-2</v>
      </c>
      <c r="M26">
        <f>IFERROR(INDEX(State_shares_nonroad!AW:AW, MATCH(A26, State_shares_nonroad!AV:AV, 0)), 0)</f>
        <v>7.5034937296165243E-3</v>
      </c>
      <c r="N26">
        <f>IFERROR(INDEX(State_shares_nonroad!BA:BA, MATCH(A26, State_shares_nonroad!AZ:AZ, 0)), 0)</f>
        <v>0</v>
      </c>
      <c r="O26">
        <f>C26 + E26*Keys!$C$32*Keys!$C$30</f>
        <v>1819490.4588299999</v>
      </c>
      <c r="P26">
        <f t="shared" si="0"/>
        <v>9006</v>
      </c>
      <c r="Q26">
        <f>E26*Keys!$C$32*Keys!$C$29</f>
        <v>59295.36716999999</v>
      </c>
      <c r="R26">
        <f>E26*Keys!$C$31</f>
        <v>50627.173999999999</v>
      </c>
      <c r="S26">
        <f t="shared" si="1"/>
        <v>50753</v>
      </c>
      <c r="T26">
        <f>INDEX(FHWA_MV1!D:D, MATCH(B26&amp;"*", FHWA_MV1!A:A, 0))</f>
        <v>561111</v>
      </c>
      <c r="U26">
        <f>INDEX(FHWA_MV1!J:J, MATCH(B26&amp;"*", FHWA_MV1!A:A, 0))</f>
        <v>1368302</v>
      </c>
      <c r="V26">
        <f>IFERROR(SUM(INDEX(AFDC_state_fuel_2024!B:M, MATCH(B26, AFDC_state_fuel_2024!A:A, 0), 0)), 0)</f>
        <v>1989600</v>
      </c>
      <c r="W26" t="str">
        <f>IF(ISNUMBER(SEARCH(", "&amp;B26&amp;",", ", "&amp;Keys!$C$61&amp;",")), "RE-ANCHORED to AFDC (see Keys / methodology 9.6)", "")</f>
        <v/>
      </c>
      <c r="X26">
        <v>0</v>
      </c>
    </row>
    <row r="27" spans="1:24" x14ac:dyDescent="0.45">
      <c r="A27" t="s">
        <v>106</v>
      </c>
      <c r="B27" t="str">
        <f>INDEX(Geography!C:C, MATCH(A27, Geography!B:B, 0))</f>
        <v>Nevada</v>
      </c>
      <c r="C27">
        <f>IF(ISNUMBER(SEARCH(", "&amp;B27&amp;",", ", "&amp;Keys!$C$61&amp;",")), V27*T27/(T27+U27), T27)</f>
        <v>843099</v>
      </c>
      <c r="D27">
        <f>INDEX(FHWA_MV1!G:G, MATCH(B27&amp;"*", FHWA_MV1!A:A, 0))</f>
        <v>7881</v>
      </c>
      <c r="E27">
        <f>IF(ISNUMBER(SEARCH(", "&amp;B27&amp;",", ", "&amp;Keys!$C$61&amp;",")), V27*U27/(T27+U27), U27)</f>
        <v>1450234</v>
      </c>
      <c r="F27">
        <f>INDEX(FHWA_MV1!M:M, MATCH(B27&amp;"*", FHWA_MV1!A:A, 0))</f>
        <v>87702</v>
      </c>
      <c r="G27">
        <f>IFERROR(INDEX(AFDC_EV_state!C:C, MATCH(B27, AFDC_EV_state!B:B, 0)), 0)</f>
        <v>47361</v>
      </c>
      <c r="H27">
        <f>IFERROR(INDEX(State_shares_nonroad!K:K, MATCH(A27, State_shares_nonroad!J:J, 0)), 0)</f>
        <v>2.8961975837721331E-2</v>
      </c>
      <c r="I27">
        <f>IFERROR(INDEX(State_shares_nonroad!L:L, MATCH(A27, State_shares_nonroad!J:J, 0)), 0)</f>
        <v>5.8123158340388512E-3</v>
      </c>
      <c r="J27">
        <f>IFERROR(INDEX(State_shares_nonroad!AN:AN, MATCH(A27, State_shares_nonroad!O:O, 0)), 0)</f>
        <v>0</v>
      </c>
      <c r="K27">
        <f>IFERROR(INDEX(State_shares_nonroad!AO:AO, MATCH(A27, State_shares_nonroad!O:O, 0)), 0)</f>
        <v>0</v>
      </c>
      <c r="L27">
        <f>IFERROR(INDEX(State_shares_nonroad!AS:AS, MATCH(A27, State_shares_nonroad!AR:AR, 0)), 0)</f>
        <v>2.1023426843560901E-3</v>
      </c>
      <c r="M27">
        <f>IFERROR(INDEX(State_shares_nonroad!AW:AW, MATCH(A27, State_shares_nonroad!AV:AV, 0)), 0)</f>
        <v>4.0433989074877006E-3</v>
      </c>
      <c r="N27">
        <f>IFERROR(INDEX(State_shares_nonroad!BA:BA, MATCH(A27, State_shares_nonroad!AZ:AZ, 0)), 0)</f>
        <v>0</v>
      </c>
      <c r="O27">
        <f>C27 + E27*Keys!$C$32*Keys!$C$30</f>
        <v>2176828.4516099999</v>
      </c>
      <c r="P27">
        <f t="shared" si="0"/>
        <v>7881</v>
      </c>
      <c r="Q27">
        <f>E27*Keys!$C$32*Keys!$C$29</f>
        <v>62845.890389999993</v>
      </c>
      <c r="R27">
        <f>E27*Keys!$C$31</f>
        <v>53658.657999999996</v>
      </c>
      <c r="S27">
        <f t="shared" si="1"/>
        <v>87702</v>
      </c>
      <c r="T27">
        <f>INDEX(FHWA_MV1!D:D, MATCH(B27&amp;"*", FHWA_MV1!A:A, 0))</f>
        <v>843099</v>
      </c>
      <c r="U27">
        <f>INDEX(FHWA_MV1!J:J, MATCH(B27&amp;"*", FHWA_MV1!A:A, 0))</f>
        <v>1450234</v>
      </c>
      <c r="V27">
        <f>IFERROR(SUM(INDEX(AFDC_state_fuel_2024!B:M, MATCH(B27, AFDC_state_fuel_2024!A:A, 0), 0)), 0)</f>
        <v>2607000</v>
      </c>
      <c r="W27" t="str">
        <f>IF(ISNUMBER(SEARCH(", "&amp;B27&amp;",", ", "&amp;Keys!$C$61&amp;",")), "RE-ANCHORED to AFDC (see Keys / methodology 9.6)", "")</f>
        <v/>
      </c>
      <c r="X27">
        <v>0</v>
      </c>
    </row>
    <row r="28" spans="1:24" x14ac:dyDescent="0.45">
      <c r="A28" t="s">
        <v>108</v>
      </c>
      <c r="B28" t="str">
        <f>INDEX(Geography!C:C, MATCH(A28, Geography!B:B, 0))</f>
        <v>New Hampshire</v>
      </c>
      <c r="C28">
        <f>IF(ISNUMBER(SEARCH(", "&amp;B28&amp;",", ", "&amp;Keys!$C$61&amp;",")), V28*T28/(T28+U28), T28)</f>
        <v>391064</v>
      </c>
      <c r="D28">
        <f>INDEX(FHWA_MV1!G:G, MATCH(B28&amp;"*", FHWA_MV1!A:A, 0))</f>
        <v>2447</v>
      </c>
      <c r="E28">
        <f>IF(ISNUMBER(SEARCH(", "&amp;B28&amp;",", ", "&amp;Keys!$C$61&amp;",")), V28*U28/(T28+U28), U28)</f>
        <v>910891</v>
      </c>
      <c r="F28">
        <f>INDEX(FHWA_MV1!M:M, MATCH(B28&amp;"*", FHWA_MV1!A:A, 0))</f>
        <v>86208</v>
      </c>
      <c r="G28">
        <f>IFERROR(INDEX(AFDC_EV_state!C:C, MATCH(B28, AFDC_EV_state!B:B, 0)), 0)</f>
        <v>9861</v>
      </c>
      <c r="H28">
        <f>IFERROR(INDEX(State_shares_nonroad!K:K, MATCH(A28, State_shares_nonroad!J:J, 0)), 0)</f>
        <v>1.046161583173963E-3</v>
      </c>
      <c r="I28">
        <f>IFERROR(INDEX(State_shares_nonroad!L:L, MATCH(A28, State_shares_nonroad!J:J, 0)), 0)</f>
        <v>3.1088974337552199E-3</v>
      </c>
      <c r="J28">
        <f>IFERROR(INDEX(State_shares_nonroad!AN:AN, MATCH(A28, State_shares_nonroad!O:O, 0)), 0)</f>
        <v>0</v>
      </c>
      <c r="K28">
        <f>IFERROR(INDEX(State_shares_nonroad!AO:AO, MATCH(A28, State_shares_nonroad!O:O, 0)), 0)</f>
        <v>0</v>
      </c>
      <c r="L28">
        <f>IFERROR(INDEX(State_shares_nonroad!AS:AS, MATCH(A28, State_shares_nonroad!AR:AR, 0)), 0)</f>
        <v>1.558017965571194E-4</v>
      </c>
      <c r="M28">
        <f>IFERROR(INDEX(State_shares_nonroad!AW:AW, MATCH(A28, State_shares_nonroad!AV:AV, 0)), 0)</f>
        <v>7.9986701389211812E-3</v>
      </c>
      <c r="N28">
        <f>IFERROR(INDEX(State_shares_nonroad!BA:BA, MATCH(A28, State_shares_nonroad!AZ:AZ, 0)), 0)</f>
        <v>0</v>
      </c>
      <c r="O28">
        <f>C28 + E28*Keys!$C$32*Keys!$C$30</f>
        <v>1228778.571515</v>
      </c>
      <c r="P28">
        <f t="shared" si="0"/>
        <v>2447</v>
      </c>
      <c r="Q28">
        <f>E28*Keys!$C$32*Keys!$C$29</f>
        <v>39473.461484999993</v>
      </c>
      <c r="R28">
        <f>E28*Keys!$C$31</f>
        <v>33702.966999999997</v>
      </c>
      <c r="S28">
        <f t="shared" si="1"/>
        <v>86208</v>
      </c>
      <c r="T28">
        <f>INDEX(FHWA_MV1!D:D, MATCH(B28&amp;"*", FHWA_MV1!A:A, 0))</f>
        <v>391064</v>
      </c>
      <c r="U28">
        <f>INDEX(FHWA_MV1!J:J, MATCH(B28&amp;"*", FHWA_MV1!A:A, 0))</f>
        <v>910891</v>
      </c>
      <c r="V28">
        <f>IFERROR(SUM(INDEX(AFDC_state_fuel_2024!B:M, MATCH(B28, AFDC_state_fuel_2024!A:A, 0), 0)), 0)</f>
        <v>1400600</v>
      </c>
      <c r="W28" t="str">
        <f>IF(ISNUMBER(SEARCH(", "&amp;B28&amp;",", ", "&amp;Keys!$C$61&amp;",")), "RE-ANCHORED to AFDC (see Keys / methodology 9.6)", "")</f>
        <v/>
      </c>
      <c r="X28">
        <v>0</v>
      </c>
    </row>
    <row r="29" spans="1:24" x14ac:dyDescent="0.45">
      <c r="A29" t="s">
        <v>110</v>
      </c>
      <c r="B29" t="str">
        <f>INDEX(Geography!C:C, MATCH(A29, Geography!B:B, 0))</f>
        <v>New Jersey</v>
      </c>
      <c r="C29">
        <f>IF(ISNUMBER(SEARCH(", "&amp;B29&amp;",", ", "&amp;Keys!$C$61&amp;",")), V29*T29/(T29+U29), T29)</f>
        <v>2275055</v>
      </c>
      <c r="D29">
        <f>INDEX(FHWA_MV1!G:G, MATCH(B29&amp;"*", FHWA_MV1!A:A, 0))</f>
        <v>25217</v>
      </c>
      <c r="E29">
        <f>IF(ISNUMBER(SEARCH(", "&amp;B29&amp;",", ", "&amp;Keys!$C$61&amp;",")), V29*U29/(T29+U29), U29)</f>
        <v>3809822</v>
      </c>
      <c r="F29">
        <f>INDEX(FHWA_MV1!M:M, MATCH(B29&amp;"*", FHWA_MV1!A:A, 0))</f>
        <v>146003</v>
      </c>
      <c r="G29">
        <f>IFERROR(INDEX(AFDC_EV_state!C:C, MATCH(B29, AFDC_EV_state!B:B, 0)), 0)</f>
        <v>134753</v>
      </c>
      <c r="H29">
        <f>IFERROR(INDEX(State_shares_nonroad!K:K, MATCH(A29, State_shares_nonroad!J:J, 0)), 0)</f>
        <v>2.580462825798965E-2</v>
      </c>
      <c r="I29">
        <f>IFERROR(INDEX(State_shares_nonroad!L:L, MATCH(A29, State_shares_nonroad!J:J, 0)), 0)</f>
        <v>1.681815011856011E-2</v>
      </c>
      <c r="J29">
        <f>IFERROR(INDEX(State_shares_nonroad!AN:AN, MATCH(A29, State_shares_nonroad!O:O, 0)), 0)</f>
        <v>0.1445086705202312</v>
      </c>
      <c r="K29">
        <f>IFERROR(INDEX(State_shares_nonroad!AO:AO, MATCH(A29, State_shares_nonroad!O:O, 0)), 0)</f>
        <v>7.4102964118564749E-2</v>
      </c>
      <c r="L29">
        <f>IFERROR(INDEX(State_shares_nonroad!AS:AS, MATCH(A29, State_shares_nonroad!AR:AR, 0)), 0)</f>
        <v>2.643098060722724E-2</v>
      </c>
      <c r="M29">
        <f>IFERROR(INDEX(State_shares_nonroad!AW:AW, MATCH(A29, State_shares_nonroad!AV:AV, 0)), 0)</f>
        <v>1.360263321161902E-2</v>
      </c>
      <c r="N29">
        <f>IFERROR(INDEX(State_shares_nonroad!BA:BA, MATCH(A29, State_shares_nonroad!AZ:AZ, 0)), 0)</f>
        <v>3.79169142260345E-2</v>
      </c>
      <c r="O29">
        <f>C29 + E29*Keys!$C$32*Keys!$C$30</f>
        <v>5778814.9496299997</v>
      </c>
      <c r="P29">
        <f t="shared" si="0"/>
        <v>25217</v>
      </c>
      <c r="Q29">
        <f>E29*Keys!$C$32*Keys!$C$29</f>
        <v>165098.63636999999</v>
      </c>
      <c r="R29">
        <f>E29*Keys!$C$31</f>
        <v>140963.41399999999</v>
      </c>
      <c r="S29">
        <f t="shared" si="1"/>
        <v>146003</v>
      </c>
      <c r="T29">
        <f>INDEX(FHWA_MV1!D:D, MATCH(B29&amp;"*", FHWA_MV1!A:A, 0))</f>
        <v>2275055</v>
      </c>
      <c r="U29">
        <f>INDEX(FHWA_MV1!J:J, MATCH(B29&amp;"*", FHWA_MV1!A:A, 0))</f>
        <v>3809822</v>
      </c>
      <c r="V29">
        <f>IFERROR(SUM(INDEX(AFDC_state_fuel_2024!B:M, MATCH(B29, AFDC_state_fuel_2024!A:A, 0), 0)), 0)</f>
        <v>7426400</v>
      </c>
      <c r="W29" t="str">
        <f>IF(ISNUMBER(SEARCH(", "&amp;B29&amp;",", ", "&amp;Keys!$C$61&amp;",")), "RE-ANCHORED to AFDC (see Keys / methodology 9.6)", "")</f>
        <v/>
      </c>
      <c r="X29">
        <v>23811</v>
      </c>
    </row>
    <row r="30" spans="1:24" x14ac:dyDescent="0.45">
      <c r="A30" t="s">
        <v>112</v>
      </c>
      <c r="B30" t="str">
        <f>INDEX(Geography!C:C, MATCH(A30, Geography!B:B, 0))</f>
        <v>New Mexico</v>
      </c>
      <c r="C30">
        <f>IF(ISNUMBER(SEARCH(", "&amp;B30&amp;",", ", "&amp;Keys!$C$61&amp;",")), V30*T30/(T30+U30), T30)</f>
        <v>590034</v>
      </c>
      <c r="D30">
        <f>INDEX(FHWA_MV1!G:G, MATCH(B30&amp;"*", FHWA_MV1!A:A, 0))</f>
        <v>7013</v>
      </c>
      <c r="E30">
        <f>IF(ISNUMBER(SEARCH(", "&amp;B30&amp;",", ", "&amp;Keys!$C$61&amp;",")), V30*U30/(T30+U30), U30)</f>
        <v>1276809</v>
      </c>
      <c r="F30">
        <f>INDEX(FHWA_MV1!M:M, MATCH(B30&amp;"*", FHWA_MV1!A:A, 0))</f>
        <v>56497</v>
      </c>
      <c r="G30">
        <f>IFERROR(INDEX(AFDC_EV_state!C:C, MATCH(B30, AFDC_EV_state!B:B, 0)), 0)</f>
        <v>10276</v>
      </c>
      <c r="H30">
        <f>IFERROR(INDEX(State_shares_nonroad!K:K, MATCH(A30, State_shares_nonroad!J:J, 0)), 0)</f>
        <v>3.0858189417583468E-3</v>
      </c>
      <c r="I30">
        <f>IFERROR(INDEX(State_shares_nonroad!L:L, MATCH(A30, State_shares_nonroad!J:J, 0)), 0)</f>
        <v>3.0625196344054662E-3</v>
      </c>
      <c r="J30">
        <f>IFERROR(INDEX(State_shares_nonroad!AN:AN, MATCH(A30, State_shares_nonroad!O:O, 0)), 0)</f>
        <v>4.046242774566474E-2</v>
      </c>
      <c r="K30">
        <f>IFERROR(INDEX(State_shares_nonroad!AO:AO, MATCH(A30, State_shares_nonroad!O:O, 0)), 0)</f>
        <v>0</v>
      </c>
      <c r="L30">
        <f>IFERROR(INDEX(State_shares_nonroad!AS:AS, MATCH(A30, State_shares_nonroad!AR:AR, 0)), 0)</f>
        <v>4.0797583840730227E-3</v>
      </c>
      <c r="M30">
        <f>IFERROR(INDEX(State_shares_nonroad!AW:AW, MATCH(A30, State_shares_nonroad!AV:AV, 0)), 0)</f>
        <v>3.055032573379609E-3</v>
      </c>
      <c r="N30">
        <f>IFERROR(INDEX(State_shares_nonroad!BA:BA, MATCH(A30, State_shares_nonroad!AZ:AZ, 0)), 0)</f>
        <v>0</v>
      </c>
      <c r="O30">
        <f>C30 + E30*Keys!$C$32*Keys!$C$30</f>
        <v>1764270.548985</v>
      </c>
      <c r="P30">
        <f t="shared" si="0"/>
        <v>7013</v>
      </c>
      <c r="Q30">
        <f>E30*Keys!$C$32*Keys!$C$29</f>
        <v>55330.518015000001</v>
      </c>
      <c r="R30">
        <f>E30*Keys!$C$31</f>
        <v>47241.932999999997</v>
      </c>
      <c r="S30">
        <f t="shared" si="1"/>
        <v>56497</v>
      </c>
      <c r="T30">
        <f>INDEX(FHWA_MV1!D:D, MATCH(B30&amp;"*", FHWA_MV1!A:A, 0))</f>
        <v>590034</v>
      </c>
      <c r="U30">
        <f>INDEX(FHWA_MV1!J:J, MATCH(B30&amp;"*", FHWA_MV1!A:A, 0))</f>
        <v>1276809</v>
      </c>
      <c r="V30">
        <f>IFERROR(SUM(INDEX(AFDC_state_fuel_2024!B:M, MATCH(B30, AFDC_state_fuel_2024!A:A, 0), 0)), 0)</f>
        <v>1955900</v>
      </c>
      <c r="W30" t="str">
        <f>IF(ISNUMBER(SEARCH(", "&amp;B30&amp;",", ", "&amp;Keys!$C$61&amp;",")), "RE-ANCHORED to AFDC (see Keys / methodology 9.6)", "")</f>
        <v/>
      </c>
      <c r="X30">
        <v>0</v>
      </c>
    </row>
    <row r="31" spans="1:24" x14ac:dyDescent="0.45">
      <c r="A31" t="s">
        <v>114</v>
      </c>
      <c r="B31" t="str">
        <f>INDEX(Geography!C:C, MATCH(A31, Geography!B:B, 0))</f>
        <v>New York</v>
      </c>
      <c r="C31">
        <f>IF(ISNUMBER(SEARCH(", "&amp;B31&amp;",", ", "&amp;Keys!$C$61&amp;",")), V31*T31/(T31+U31), T31)</f>
        <v>3667217.2648344655</v>
      </c>
      <c r="D31">
        <f>INDEX(FHWA_MV1!G:G, MATCH(B31&amp;"*", FHWA_MV1!A:A, 0))</f>
        <v>195675</v>
      </c>
      <c r="E31">
        <f>IF(ISNUMBER(SEARCH(", "&amp;B31&amp;",", ", "&amp;Keys!$C$61&amp;",")), V31*U31/(T31+U31), U31)</f>
        <v>7662082.7351655345</v>
      </c>
      <c r="F31">
        <f>INDEX(FHWA_MV1!M:M, MATCH(B31&amp;"*", FHWA_MV1!A:A, 0))</f>
        <v>794820</v>
      </c>
      <c r="G31">
        <f>IFERROR(INDEX(AFDC_EV_state!C:C, MATCH(B31, AFDC_EV_state!B:B, 0)), 0)</f>
        <v>131250</v>
      </c>
      <c r="H31">
        <f>IFERROR(INDEX(State_shares_nonroad!K:K, MATCH(A31, State_shares_nonroad!J:J, 0)), 0)</f>
        <v>5.9237540081005131E-2</v>
      </c>
      <c r="I31">
        <f>IFERROR(INDEX(State_shares_nonroad!L:L, MATCH(A31, State_shares_nonroad!J:J, 0)), 0)</f>
        <v>2.585495368386238E-2</v>
      </c>
      <c r="J31">
        <f>IFERROR(INDEX(State_shares_nonroad!AN:AN, MATCH(A31, State_shares_nonroad!O:O, 0)), 0)</f>
        <v>9.8265895953757232E-2</v>
      </c>
      <c r="K31">
        <f>IFERROR(INDEX(State_shares_nonroad!AO:AO, MATCH(A31, State_shares_nonroad!O:O, 0)), 0)</f>
        <v>0.32566302652106083</v>
      </c>
      <c r="L31">
        <f>IFERROR(INDEX(State_shares_nonroad!AS:AS, MATCH(A31, State_shares_nonroad!AR:AR, 0)), 0)</f>
        <v>8.7038414869309421E-3</v>
      </c>
      <c r="M31">
        <f>IFERROR(INDEX(State_shares_nonroad!AW:AW, MATCH(A31, State_shares_nonroad!AV:AV, 0)), 0)</f>
        <v>4.1255490710882442E-2</v>
      </c>
      <c r="N31">
        <f>IFERROR(INDEX(State_shares_nonroad!BA:BA, MATCH(A31, State_shares_nonroad!AZ:AZ, 0)), 0)</f>
        <v>2.8563040528839709E-2</v>
      </c>
      <c r="O31">
        <f>C31 + E31*Keys!$C$32*Keys!$C$30</f>
        <v>10713766.583470475</v>
      </c>
      <c r="P31">
        <f t="shared" si="0"/>
        <v>195675</v>
      </c>
      <c r="Q31">
        <f>E31*Keys!$C$32*Keys!$C$29</f>
        <v>332036.35532839841</v>
      </c>
      <c r="R31">
        <f>E31*Keys!$C$31</f>
        <v>283497.06120112474</v>
      </c>
      <c r="S31">
        <f t="shared" si="1"/>
        <v>794820</v>
      </c>
      <c r="T31">
        <f>INDEX(FHWA_MV1!D:D, MATCH(B31&amp;"*", FHWA_MV1!A:A, 0))</f>
        <v>6474059</v>
      </c>
      <c r="U31">
        <f>INDEX(FHWA_MV1!J:J, MATCH(B31&amp;"*", FHWA_MV1!A:A, 0))</f>
        <v>13526544</v>
      </c>
      <c r="V31">
        <f>IFERROR(SUM(INDEX(AFDC_state_fuel_2024!B:M, MATCH(B31, AFDC_state_fuel_2024!A:A, 0), 0)), 0)</f>
        <v>11329300</v>
      </c>
      <c r="W31" t="str">
        <f>IF(ISNUMBER(SEARCH(", "&amp;B31&amp;",", ", "&amp;Keys!$C$61&amp;",")), "RE-ANCHORED to AFDC (see Keys / methodology 9.6)", "")</f>
        <v>RE-ANCHORED to AFDC (see Keys / methodology 9.6)</v>
      </c>
      <c r="X31">
        <v>16750</v>
      </c>
    </row>
    <row r="32" spans="1:24" x14ac:dyDescent="0.45">
      <c r="A32" t="s">
        <v>116</v>
      </c>
      <c r="B32" t="str">
        <f>INDEX(Geography!C:C, MATCH(A32, Geography!B:B, 0))</f>
        <v>North Carolina</v>
      </c>
      <c r="C32">
        <f>IF(ISNUMBER(SEARCH(", "&amp;B32&amp;",", ", "&amp;Keys!$C$61&amp;",")), V32*T32/(T32+U32), T32)</f>
        <v>3005649</v>
      </c>
      <c r="D32">
        <f>INDEX(FHWA_MV1!G:G, MATCH(B32&amp;"*", FHWA_MV1!A:A, 0))</f>
        <v>32483</v>
      </c>
      <c r="E32">
        <f>IF(ISNUMBER(SEARCH(", "&amp;B32&amp;",", ", "&amp;Keys!$C$61&amp;",")), V32*U32/(T32+U32), U32)</f>
        <v>5634554</v>
      </c>
      <c r="F32">
        <f>INDEX(FHWA_MV1!M:M, MATCH(B32&amp;"*", FHWA_MV1!A:A, 0))</f>
        <v>189734</v>
      </c>
      <c r="G32">
        <f>IFERROR(INDEX(AFDC_EV_state!C:C, MATCH(B32, AFDC_EV_state!B:B, 0)), 0)</f>
        <v>70164</v>
      </c>
      <c r="H32">
        <f>IFERROR(INDEX(State_shares_nonroad!K:K, MATCH(A32, State_shares_nonroad!J:J, 0)), 0)</f>
        <v>3.6628120659444367E-2</v>
      </c>
      <c r="I32">
        <f>IFERROR(INDEX(State_shares_nonroad!L:L, MATCH(A32, State_shares_nonroad!J:J, 0)), 0)</f>
        <v>1.2531380868297951E-2</v>
      </c>
      <c r="J32">
        <f>IFERROR(INDEX(State_shares_nonroad!AN:AN, MATCH(A32, State_shares_nonroad!O:O, 0)), 0)</f>
        <v>0</v>
      </c>
      <c r="K32">
        <f>IFERROR(INDEX(State_shares_nonroad!AO:AO, MATCH(A32, State_shares_nonroad!O:O, 0)), 0)</f>
        <v>7.8003120124804986E-3</v>
      </c>
      <c r="L32">
        <f>IFERROR(INDEX(State_shares_nonroad!AS:AS, MATCH(A32, State_shares_nonroad!AR:AR, 0)), 0)</f>
        <v>1.502871625209052E-2</v>
      </c>
      <c r="M32">
        <f>IFERROR(INDEX(State_shares_nonroad!AW:AW, MATCH(A32, State_shares_nonroad!AV:AV, 0)), 0)</f>
        <v>3.4426408469430847E-2</v>
      </c>
      <c r="N32">
        <f>IFERROR(INDEX(State_shares_nonroad!BA:BA, MATCH(A32, State_shares_nonroad!AZ:AZ, 0)), 0)</f>
        <v>0</v>
      </c>
      <c r="O32">
        <f>C32 + E32*Keys!$C$32*Keys!$C$30</f>
        <v>8187551.1044099992</v>
      </c>
      <c r="P32">
        <f t="shared" si="0"/>
        <v>32483</v>
      </c>
      <c r="Q32">
        <f>E32*Keys!$C$32*Keys!$C$29</f>
        <v>244173.39758999995</v>
      </c>
      <c r="R32">
        <f>E32*Keys!$C$31</f>
        <v>208478.49799999999</v>
      </c>
      <c r="S32">
        <f t="shared" si="1"/>
        <v>189734</v>
      </c>
      <c r="T32">
        <f>INDEX(FHWA_MV1!D:D, MATCH(B32&amp;"*", FHWA_MV1!A:A, 0))</f>
        <v>3005649</v>
      </c>
      <c r="U32">
        <f>INDEX(FHWA_MV1!J:J, MATCH(B32&amp;"*", FHWA_MV1!A:A, 0))</f>
        <v>5634554</v>
      </c>
      <c r="V32">
        <f>IFERROR(SUM(INDEX(AFDC_state_fuel_2024!B:M, MATCH(B32, AFDC_state_fuel_2024!A:A, 0), 0)), 0)</f>
        <v>9179700</v>
      </c>
      <c r="W32" t="str">
        <f>IF(ISNUMBER(SEARCH(", "&amp;B32&amp;",", ", "&amp;Keys!$C$61&amp;",")), "RE-ANCHORED to AFDC (see Keys / methodology 9.6)", "")</f>
        <v/>
      </c>
      <c r="X32">
        <v>193</v>
      </c>
    </row>
    <row r="33" spans="1:24" x14ac:dyDescent="0.45">
      <c r="A33" t="s">
        <v>118</v>
      </c>
      <c r="B33" t="str">
        <f>INDEX(Geography!C:C, MATCH(A33, Geography!B:B, 0))</f>
        <v>North Dakota</v>
      </c>
      <c r="C33">
        <f>IF(ISNUMBER(SEARCH(", "&amp;B33&amp;",", ", "&amp;Keys!$C$61&amp;",")), V33*T33/(T33+U33), T33)</f>
        <v>215289</v>
      </c>
      <c r="D33">
        <f>INDEX(FHWA_MV1!G:G, MATCH(B33&amp;"*", FHWA_MV1!A:A, 0))</f>
        <v>3608</v>
      </c>
      <c r="E33">
        <f>IF(ISNUMBER(SEARCH(", "&amp;B33&amp;",", ", "&amp;Keys!$C$61&amp;",")), V33*U33/(T33+U33), U33)</f>
        <v>813627</v>
      </c>
      <c r="F33">
        <f>INDEX(FHWA_MV1!M:M, MATCH(B33&amp;"*", FHWA_MV1!A:A, 0))</f>
        <v>44166</v>
      </c>
      <c r="G33">
        <f>IFERROR(INDEX(AFDC_EV_state!C:C, MATCH(B33, AFDC_EV_state!B:B, 0)), 0)</f>
        <v>959</v>
      </c>
      <c r="H33">
        <f>IFERROR(INDEX(State_shares_nonroad!K:K, MATCH(A33, State_shares_nonroad!J:J, 0)), 0)</f>
        <v>1.287414053233659E-3</v>
      </c>
      <c r="I33">
        <f>IFERROR(INDEX(State_shares_nonroad!L:L, MATCH(A33, State_shares_nonroad!J:J, 0)), 0)</f>
        <v>2.156380744185967E-3</v>
      </c>
      <c r="J33">
        <f>IFERROR(INDEX(State_shares_nonroad!AN:AN, MATCH(A33, State_shares_nonroad!O:O, 0)), 0)</f>
        <v>0</v>
      </c>
      <c r="K33">
        <f>IFERROR(INDEX(State_shares_nonroad!AO:AO, MATCH(A33, State_shares_nonroad!O:O, 0)), 0)</f>
        <v>0</v>
      </c>
      <c r="L33">
        <f>IFERROR(INDEX(State_shares_nonroad!AS:AS, MATCH(A33, State_shares_nonroad!AR:AR, 0)), 0)</f>
        <v>8.984034866764478E-3</v>
      </c>
      <c r="M33">
        <f>IFERROR(INDEX(State_shares_nonroad!AW:AW, MATCH(A33, State_shares_nonroad!AV:AV, 0)), 0)</f>
        <v>6.153226037285772E-3</v>
      </c>
      <c r="N33">
        <f>IFERROR(INDEX(State_shares_nonroad!BA:BA, MATCH(A33, State_shares_nonroad!AZ:AZ, 0)), 0)</f>
        <v>0</v>
      </c>
      <c r="O33">
        <f>C33 + E33*Keys!$C$32*Keys!$C$30</f>
        <v>963553.27495499991</v>
      </c>
      <c r="P33">
        <f t="shared" si="0"/>
        <v>3608</v>
      </c>
      <c r="Q33">
        <f>E33*Keys!$C$32*Keys!$C$29</f>
        <v>35258.526044999999</v>
      </c>
      <c r="R33">
        <f>E33*Keys!$C$31</f>
        <v>30104.198999999997</v>
      </c>
      <c r="S33">
        <f t="shared" si="1"/>
        <v>44166</v>
      </c>
      <c r="T33">
        <f>INDEX(FHWA_MV1!D:D, MATCH(B33&amp;"*", FHWA_MV1!A:A, 0))</f>
        <v>215289</v>
      </c>
      <c r="U33">
        <f>INDEX(FHWA_MV1!J:J, MATCH(B33&amp;"*", FHWA_MV1!A:A, 0))</f>
        <v>813627</v>
      </c>
      <c r="V33">
        <f>IFERROR(SUM(INDEX(AFDC_state_fuel_2024!B:M, MATCH(B33, AFDC_state_fuel_2024!A:A, 0), 0)), 0)</f>
        <v>805900</v>
      </c>
      <c r="W33" t="str">
        <f>IF(ISNUMBER(SEARCH(", "&amp;B33&amp;",", ", "&amp;Keys!$C$61&amp;",")), "RE-ANCHORED to AFDC (see Keys / methodology 9.6)", "")</f>
        <v/>
      </c>
      <c r="X33">
        <v>0</v>
      </c>
    </row>
    <row r="34" spans="1:24" x14ac:dyDescent="0.45">
      <c r="A34" t="s">
        <v>120</v>
      </c>
      <c r="B34" t="str">
        <f>INDEX(Geography!C:C, MATCH(A34, Geography!B:B, 0))</f>
        <v>Ohio</v>
      </c>
      <c r="C34">
        <f>IF(ISNUMBER(SEARCH(", "&amp;B34&amp;",", ", "&amp;Keys!$C$61&amp;",")), V34*T34/(T34+U34), T34)</f>
        <v>3805614</v>
      </c>
      <c r="D34">
        <f>INDEX(FHWA_MV1!G:G, MATCH(B34&amp;"*", FHWA_MV1!A:A, 0))</f>
        <v>35251</v>
      </c>
      <c r="E34">
        <f>IF(ISNUMBER(SEARCH(", "&amp;B34&amp;",", ", "&amp;Keys!$C$61&amp;",")), V34*U34/(T34+U34), U34)</f>
        <v>7103426</v>
      </c>
      <c r="F34">
        <f>INDEX(FHWA_MV1!M:M, MATCH(B34&amp;"*", FHWA_MV1!A:A, 0))</f>
        <v>422404</v>
      </c>
      <c r="G34">
        <f>IFERROR(INDEX(AFDC_EV_state!C:C, MATCH(B34, AFDC_EV_state!B:B, 0)), 0)</f>
        <v>50393</v>
      </c>
      <c r="H34">
        <f>IFERROR(INDEX(State_shares_nonroad!K:K, MATCH(A34, State_shares_nonroad!J:J, 0)), 0)</f>
        <v>1.136141137625564E-2</v>
      </c>
      <c r="I34">
        <f>IFERROR(INDEX(State_shares_nonroad!L:L, MATCH(A34, State_shares_nonroad!J:J, 0)), 0)</f>
        <v>9.7278903584505794E-3</v>
      </c>
      <c r="J34">
        <f>IFERROR(INDEX(State_shares_nonroad!AN:AN, MATCH(A34, State_shares_nonroad!O:O, 0)), 0)</f>
        <v>0</v>
      </c>
      <c r="K34">
        <f>IFERROR(INDEX(State_shares_nonroad!AO:AO, MATCH(A34, State_shares_nonroad!O:O, 0)), 0)</f>
        <v>9.3603744149765994E-3</v>
      </c>
      <c r="L34">
        <f>IFERROR(INDEX(State_shares_nonroad!AS:AS, MATCH(A34, State_shares_nonroad!AR:AR, 0)), 0)</f>
        <v>3.8384708365985377E-2</v>
      </c>
      <c r="M34">
        <f>IFERROR(INDEX(State_shares_nonroad!AW:AW, MATCH(A34, State_shares_nonroad!AV:AV, 0)), 0)</f>
        <v>2.759091530072531E-2</v>
      </c>
      <c r="N34">
        <f>IFERROR(INDEX(State_shares_nonroad!BA:BA, MATCH(A34, State_shares_nonroad!AZ:AZ, 0)), 0)</f>
        <v>1.265965852880228E-2</v>
      </c>
      <c r="O34">
        <f>C34 + E34*Keys!$C$32*Keys!$C$30</f>
        <v>10338386.272289999</v>
      </c>
      <c r="P34">
        <f t="shared" si="0"/>
        <v>35251</v>
      </c>
      <c r="Q34">
        <f>E34*Keys!$C$32*Keys!$C$29</f>
        <v>307826.96570999996</v>
      </c>
      <c r="R34">
        <f>E34*Keys!$C$31</f>
        <v>262826.76199999999</v>
      </c>
      <c r="S34">
        <f t="shared" si="1"/>
        <v>422404</v>
      </c>
      <c r="T34">
        <f>INDEX(FHWA_MV1!D:D, MATCH(B34&amp;"*", FHWA_MV1!A:A, 0))</f>
        <v>3805614</v>
      </c>
      <c r="U34">
        <f>INDEX(FHWA_MV1!J:J, MATCH(B34&amp;"*", FHWA_MV1!A:A, 0))</f>
        <v>7103426</v>
      </c>
      <c r="V34">
        <f>IFERROR(SUM(INDEX(AFDC_state_fuel_2024!B:M, MATCH(B34, AFDC_state_fuel_2024!A:A, 0), 0)), 0)</f>
        <v>10385000</v>
      </c>
      <c r="W34" t="str">
        <f>IF(ISNUMBER(SEARCH(", "&amp;B34&amp;",", ", "&amp;Keys!$C$61&amp;",")), "RE-ANCHORED to AFDC (see Keys / methodology 9.6)", "")</f>
        <v/>
      </c>
      <c r="X34">
        <v>63</v>
      </c>
    </row>
    <row r="35" spans="1:24" x14ac:dyDescent="0.45">
      <c r="A35" t="s">
        <v>122</v>
      </c>
      <c r="B35" t="str">
        <f>INDEX(Geography!C:C, MATCH(A35, Geography!B:B, 0))</f>
        <v>Oklahoma</v>
      </c>
      <c r="C35">
        <f>IF(ISNUMBER(SEARCH(", "&amp;B35&amp;",", ", "&amp;Keys!$C$61&amp;",")), V35*T35/(T35+U35), T35)</f>
        <v>1061114</v>
      </c>
      <c r="D35">
        <f>INDEX(FHWA_MV1!G:G, MATCH(B35&amp;"*", FHWA_MV1!A:A, 0))</f>
        <v>2053</v>
      </c>
      <c r="E35">
        <f>IF(ISNUMBER(SEARCH(", "&amp;B35&amp;",", ", "&amp;Keys!$C$61&amp;",")), V35*U35/(T35+U35), U35)</f>
        <v>2505163</v>
      </c>
      <c r="F35">
        <f>INDEX(FHWA_MV1!M:M, MATCH(B35&amp;"*", FHWA_MV1!A:A, 0))</f>
        <v>139387</v>
      </c>
      <c r="G35">
        <f>IFERROR(INDEX(AFDC_EV_state!C:C, MATCH(B35, AFDC_EV_state!B:B, 0)), 0)</f>
        <v>22843</v>
      </c>
      <c r="H35">
        <f>IFERROR(INDEX(State_shares_nonroad!K:K, MATCH(A35, State_shares_nonroad!J:J, 0)), 0)</f>
        <v>3.9860276812305586E-3</v>
      </c>
      <c r="I35">
        <f>IFERROR(INDEX(State_shares_nonroad!L:L, MATCH(A35, State_shares_nonroad!J:J, 0)), 0)</f>
        <v>3.9313672601588544E-3</v>
      </c>
      <c r="J35">
        <f>IFERROR(INDEX(State_shares_nonroad!AN:AN, MATCH(A35, State_shares_nonroad!O:O, 0)), 0)</f>
        <v>0</v>
      </c>
      <c r="K35">
        <f>IFERROR(INDEX(State_shares_nonroad!AO:AO, MATCH(A35, State_shares_nonroad!O:O, 0)), 0)</f>
        <v>1.5600624024960999E-3</v>
      </c>
      <c r="L35">
        <f>IFERROR(INDEX(State_shares_nonroad!AS:AS, MATCH(A35, State_shares_nonroad!AR:AR, 0)), 0)</f>
        <v>7.1101300971771319E-3</v>
      </c>
      <c r="M35">
        <f>IFERROR(INDEX(State_shares_nonroad!AW:AW, MATCH(A35, State_shares_nonroad!AV:AV, 0)), 0)</f>
        <v>1.7589507605571941E-2</v>
      </c>
      <c r="N35">
        <f>IFERROR(INDEX(State_shares_nonroad!BA:BA, MATCH(A35, State_shares_nonroad!AZ:AZ, 0)), 0)</f>
        <v>0</v>
      </c>
      <c r="O35">
        <f>C35 + E35*Keys!$C$32*Keys!$C$30</f>
        <v>3365024.730395</v>
      </c>
      <c r="P35">
        <f t="shared" si="0"/>
        <v>2053</v>
      </c>
      <c r="Q35">
        <f>E35*Keys!$C$32*Keys!$C$29</f>
        <v>108561.23860499999</v>
      </c>
      <c r="R35">
        <f>E35*Keys!$C$31</f>
        <v>92691.031000000003</v>
      </c>
      <c r="S35">
        <f t="shared" si="1"/>
        <v>139387</v>
      </c>
      <c r="T35">
        <f>INDEX(FHWA_MV1!D:D, MATCH(B35&amp;"*", FHWA_MV1!A:A, 0))</f>
        <v>1061114</v>
      </c>
      <c r="U35">
        <f>INDEX(FHWA_MV1!J:J, MATCH(B35&amp;"*", FHWA_MV1!A:A, 0))</f>
        <v>2505163</v>
      </c>
      <c r="V35">
        <f>IFERROR(SUM(INDEX(AFDC_state_fuel_2024!B:M, MATCH(B35, AFDC_state_fuel_2024!A:A, 0), 0)), 0)</f>
        <v>4238100</v>
      </c>
      <c r="W35" t="str">
        <f>IF(ISNUMBER(SEARCH(", "&amp;B35&amp;",", ", "&amp;Keys!$C$61&amp;",")), "RE-ANCHORED to AFDC (see Keys / methodology 9.6)", "")</f>
        <v/>
      </c>
      <c r="X35">
        <v>0</v>
      </c>
    </row>
    <row r="36" spans="1:24" x14ac:dyDescent="0.45">
      <c r="A36" t="s">
        <v>124</v>
      </c>
      <c r="B36" t="str">
        <f>INDEX(Geography!C:C, MATCH(A36, Geography!B:B, 0))</f>
        <v>Oregon</v>
      </c>
      <c r="C36">
        <f>IF(ISNUMBER(SEARCH(", "&amp;B36&amp;",", ", "&amp;Keys!$C$61&amp;",")), V36*T36/(T36+U36), T36)</f>
        <v>1308985</v>
      </c>
      <c r="D36">
        <f>INDEX(FHWA_MV1!G:G, MATCH(B36&amp;"*", FHWA_MV1!A:A, 0))</f>
        <v>18183</v>
      </c>
      <c r="E36">
        <f>IF(ISNUMBER(SEARCH(", "&amp;B36&amp;",", ", "&amp;Keys!$C$61&amp;",")), V36*U36/(T36+U36), U36)</f>
        <v>2784253</v>
      </c>
      <c r="F36">
        <f>INDEX(FHWA_MV1!M:M, MATCH(B36&amp;"*", FHWA_MV1!A:A, 0))</f>
        <v>143067</v>
      </c>
      <c r="G36">
        <f>IFERROR(INDEX(AFDC_EV_state!C:C, MATCH(B36, AFDC_EV_state!B:B, 0)), 0)</f>
        <v>64361</v>
      </c>
      <c r="H36">
        <f>IFERROR(INDEX(State_shares_nonroad!K:K, MATCH(A36, State_shares_nonroad!J:J, 0)), 0)</f>
        <v>1.219840235511644E-2</v>
      </c>
      <c r="I36">
        <f>IFERROR(INDEX(State_shares_nonroad!L:L, MATCH(A36, State_shares_nonroad!J:J, 0)), 0)</f>
        <v>1.113074744358177E-2</v>
      </c>
      <c r="J36">
        <f>IFERROR(INDEX(State_shares_nonroad!AN:AN, MATCH(A36, State_shares_nonroad!O:O, 0)), 0)</f>
        <v>5.7803468208092483E-3</v>
      </c>
      <c r="K36">
        <f>IFERROR(INDEX(State_shares_nonroad!AO:AO, MATCH(A36, State_shares_nonroad!O:O, 0)), 0)</f>
        <v>2.8081123244929802E-2</v>
      </c>
      <c r="L36">
        <f>IFERROR(INDEX(State_shares_nonroad!AS:AS, MATCH(A36, State_shares_nonroad!AR:AR, 0)), 0)</f>
        <v>1.2953143635871391E-2</v>
      </c>
      <c r="M36">
        <f>IFERROR(INDEX(State_shares_nonroad!AW:AW, MATCH(A36, State_shares_nonroad!AV:AV, 0)), 0)</f>
        <v>1.486107114314327E-2</v>
      </c>
      <c r="N36">
        <f>IFERROR(INDEX(State_shares_nonroad!BA:BA, MATCH(A36, State_shares_nonroad!AZ:AZ, 0)), 0)</f>
        <v>9.5626260495247674E-3</v>
      </c>
      <c r="O36">
        <f>C36 + E36*Keys!$C$32*Keys!$C$30</f>
        <v>3869565.0352449999</v>
      </c>
      <c r="P36">
        <f t="shared" si="0"/>
        <v>18183</v>
      </c>
      <c r="Q36">
        <f>E36*Keys!$C$32*Keys!$C$29</f>
        <v>120655.60375499999</v>
      </c>
      <c r="R36">
        <f>E36*Keys!$C$31</f>
        <v>103017.36099999999</v>
      </c>
      <c r="S36">
        <f t="shared" si="1"/>
        <v>143067</v>
      </c>
      <c r="T36">
        <f>INDEX(FHWA_MV1!D:D, MATCH(B36&amp;"*", FHWA_MV1!A:A, 0))</f>
        <v>1308985</v>
      </c>
      <c r="U36">
        <f>INDEX(FHWA_MV1!J:J, MATCH(B36&amp;"*", FHWA_MV1!A:A, 0))</f>
        <v>2784253</v>
      </c>
      <c r="V36">
        <f>IFERROR(SUM(INDEX(AFDC_state_fuel_2024!B:M, MATCH(B36, AFDC_state_fuel_2024!A:A, 0), 0)), 0)</f>
        <v>3850200</v>
      </c>
      <c r="W36" t="str">
        <f>IF(ISNUMBER(SEARCH(", "&amp;B36&amp;",", ", "&amp;Keys!$C$61&amp;",")), "RE-ANCHORED to AFDC (see Keys / methodology 9.6)", "")</f>
        <v/>
      </c>
      <c r="X36">
        <v>678</v>
      </c>
    </row>
    <row r="37" spans="1:24" x14ac:dyDescent="0.45">
      <c r="A37" t="s">
        <v>126</v>
      </c>
      <c r="B37" t="str">
        <f>INDEX(Geography!C:C, MATCH(A37, Geography!B:B, 0))</f>
        <v>Pennsylvania</v>
      </c>
      <c r="C37">
        <f>IF(ISNUMBER(SEARCH(", "&amp;B37&amp;",", ", "&amp;Keys!$C$61&amp;",")), V37*T37/(T37+U37), T37)</f>
        <v>3371581</v>
      </c>
      <c r="D37">
        <f>INDEX(FHWA_MV1!G:G, MATCH(B37&amp;"*", FHWA_MV1!A:A, 0))</f>
        <v>53789</v>
      </c>
      <c r="E37">
        <f>IF(ISNUMBER(SEARCH(", "&amp;B37&amp;",", ", "&amp;Keys!$C$61&amp;",")), V37*U37/(T37+U37), U37)</f>
        <v>6844674</v>
      </c>
      <c r="F37">
        <f>INDEX(FHWA_MV1!M:M, MATCH(B37&amp;"*", FHWA_MV1!A:A, 0))</f>
        <v>342114</v>
      </c>
      <c r="G37">
        <f>IFERROR(INDEX(AFDC_EV_state!C:C, MATCH(B37, AFDC_EV_state!B:B, 0)), 0)</f>
        <v>70154</v>
      </c>
      <c r="H37">
        <f>IFERROR(INDEX(State_shares_nonroad!K:K, MATCH(A37, State_shares_nonroad!J:J, 0)), 0)</f>
        <v>2.4236960188042441E-2</v>
      </c>
      <c r="I37">
        <f>IFERROR(INDEX(State_shares_nonroad!L:L, MATCH(A37, State_shares_nonroad!J:J, 0)), 0)</f>
        <v>2.4457957077148339E-2</v>
      </c>
      <c r="J37">
        <f>IFERROR(INDEX(State_shares_nonroad!AN:AN, MATCH(A37, State_shares_nonroad!O:O, 0)), 0)</f>
        <v>0</v>
      </c>
      <c r="K37">
        <f>IFERROR(INDEX(State_shares_nonroad!AO:AO, MATCH(A37, State_shares_nonroad!O:O, 0)), 0)</f>
        <v>0.11583463338533539</v>
      </c>
      <c r="L37">
        <f>IFERROR(INDEX(State_shares_nonroad!AS:AS, MATCH(A37, State_shares_nonroad!AR:AR, 0)), 0)</f>
        <v>3.6319843777021042E-2</v>
      </c>
      <c r="M37">
        <f>IFERROR(INDEX(State_shares_nonroad!AW:AW, MATCH(A37, State_shares_nonroad!AV:AV, 0)), 0)</f>
        <v>2.6205161771622729E-2</v>
      </c>
      <c r="N37">
        <f>IFERROR(INDEX(State_shares_nonroad!BA:BA, MATCH(A37, State_shares_nonroad!AZ:AZ, 0)), 0)</f>
        <v>2.0344977380094879E-2</v>
      </c>
      <c r="O37">
        <f>C37 + E37*Keys!$C$32*Keys!$C$30</f>
        <v>9666388.1142099984</v>
      </c>
      <c r="P37">
        <f t="shared" si="0"/>
        <v>53789</v>
      </c>
      <c r="Q37">
        <f>E37*Keys!$C$32*Keys!$C$29</f>
        <v>296613.94779000001</v>
      </c>
      <c r="R37">
        <f>E37*Keys!$C$31</f>
        <v>253252.93799999999</v>
      </c>
      <c r="S37">
        <f t="shared" si="1"/>
        <v>342114</v>
      </c>
      <c r="T37">
        <f>INDEX(FHWA_MV1!D:D, MATCH(B37&amp;"*", FHWA_MV1!A:A, 0))</f>
        <v>3371581</v>
      </c>
      <c r="U37">
        <f>INDEX(FHWA_MV1!J:J, MATCH(B37&amp;"*", FHWA_MV1!A:A, 0))</f>
        <v>6844674</v>
      </c>
      <c r="V37">
        <f>IFERROR(SUM(INDEX(AFDC_state_fuel_2024!B:M, MATCH(B37, AFDC_state_fuel_2024!A:A, 0), 0)), 0)</f>
        <v>10245600</v>
      </c>
      <c r="W37" t="str">
        <f>IF(ISNUMBER(SEARCH(", "&amp;B37&amp;",", ", "&amp;Keys!$C$61&amp;",")), "RE-ANCHORED to AFDC (see Keys / methodology 9.6)", "")</f>
        <v/>
      </c>
      <c r="X37">
        <v>1326</v>
      </c>
    </row>
    <row r="38" spans="1:24" x14ac:dyDescent="0.45">
      <c r="A38" t="s">
        <v>128</v>
      </c>
      <c r="B38" t="str">
        <f>INDEX(Geography!C:C, MATCH(A38, Geography!B:B, 0))</f>
        <v>Rhode Island</v>
      </c>
      <c r="C38">
        <f>IF(ISNUMBER(SEARCH(", "&amp;B38&amp;",", ", "&amp;Keys!$C$61&amp;",")), V38*T38/(T38+U38), T38)</f>
        <v>308699</v>
      </c>
      <c r="D38">
        <f>INDEX(FHWA_MV1!G:G, MATCH(B38&amp;"*", FHWA_MV1!A:A, 0))</f>
        <v>2197</v>
      </c>
      <c r="E38">
        <f>IF(ISNUMBER(SEARCH(", "&amp;B38&amp;",", ", "&amp;Keys!$C$61&amp;",")), V38*U38/(T38+U38), U38)</f>
        <v>502595</v>
      </c>
      <c r="F38">
        <f>INDEX(FHWA_MV1!M:M, MATCH(B38&amp;"*", FHWA_MV1!A:A, 0))</f>
        <v>25375</v>
      </c>
      <c r="G38">
        <f>IFERROR(INDEX(AFDC_EV_state!C:C, MATCH(B38, AFDC_EV_state!B:B, 0)), 0)</f>
        <v>6396</v>
      </c>
      <c r="H38">
        <f>IFERROR(INDEX(State_shares_nonroad!K:K, MATCH(A38, State_shares_nonroad!J:J, 0)), 0)</f>
        <v>2.140898664351255E-3</v>
      </c>
      <c r="I38">
        <f>IFERROR(INDEX(State_shares_nonroad!L:L, MATCH(A38, State_shares_nonroad!J:J, 0)), 0)</f>
        <v>6.341513968605375E-4</v>
      </c>
      <c r="J38">
        <f>IFERROR(INDEX(State_shares_nonroad!AN:AN, MATCH(A38, State_shares_nonroad!O:O, 0)), 0)</f>
        <v>0</v>
      </c>
      <c r="K38">
        <f>IFERROR(INDEX(State_shares_nonroad!AO:AO, MATCH(A38, State_shares_nonroad!O:O, 0)), 0)</f>
        <v>0</v>
      </c>
      <c r="L38">
        <f>IFERROR(INDEX(State_shares_nonroad!AS:AS, MATCH(A38, State_shares_nonroad!AR:AR, 0)), 0)</f>
        <v>1.249269846391564E-4</v>
      </c>
      <c r="M38">
        <f>IFERROR(INDEX(State_shares_nonroad!AW:AW, MATCH(A38, State_shares_nonroad!AV:AV, 0)), 0)</f>
        <v>3.4211777848548799E-3</v>
      </c>
      <c r="N38">
        <f>IFERROR(INDEX(State_shares_nonroad!BA:BA, MATCH(A38, State_shares_nonroad!AZ:AZ, 0)), 0)</f>
        <v>0</v>
      </c>
      <c r="O38">
        <f>C38 + E38*Keys!$C$32*Keys!$C$30</f>
        <v>770918.03067500005</v>
      </c>
      <c r="P38">
        <f t="shared" si="0"/>
        <v>2197</v>
      </c>
      <c r="Q38">
        <f>E38*Keys!$C$32*Keys!$C$29</f>
        <v>21779.954324999999</v>
      </c>
      <c r="R38">
        <f>E38*Keys!$C$31</f>
        <v>18596.014999999999</v>
      </c>
      <c r="S38">
        <f t="shared" si="1"/>
        <v>25375</v>
      </c>
      <c r="T38">
        <f>INDEX(FHWA_MV1!D:D, MATCH(B38&amp;"*", FHWA_MV1!A:A, 0))</f>
        <v>308699</v>
      </c>
      <c r="U38">
        <f>INDEX(FHWA_MV1!J:J, MATCH(B38&amp;"*", FHWA_MV1!A:A, 0))</f>
        <v>502595</v>
      </c>
      <c r="V38">
        <f>IFERROR(SUM(INDEX(AFDC_state_fuel_2024!B:M, MATCH(B38, AFDC_state_fuel_2024!A:A, 0), 0)), 0)</f>
        <v>872100</v>
      </c>
      <c r="W38" t="str">
        <f>IF(ISNUMBER(SEARCH(", "&amp;B38&amp;",", ", "&amp;Keys!$C$61&amp;",")), "RE-ANCHORED to AFDC (see Keys / methodology 9.6)", "")</f>
        <v/>
      </c>
      <c r="X38">
        <v>38</v>
      </c>
    </row>
    <row r="39" spans="1:24" x14ac:dyDescent="0.45">
      <c r="A39" t="s">
        <v>130</v>
      </c>
      <c r="B39" t="str">
        <f>INDEX(Geography!C:C, MATCH(A39, Geography!B:B, 0))</f>
        <v>South Carolina</v>
      </c>
      <c r="C39">
        <f>IF(ISNUMBER(SEARCH(", "&amp;B39&amp;",", ", "&amp;Keys!$C$61&amp;",")), V39*T39/(T39+U39), T39)</f>
        <v>1720378</v>
      </c>
      <c r="D39">
        <f>INDEX(FHWA_MV1!G:G, MATCH(B39&amp;"*", FHWA_MV1!A:A, 0))</f>
        <v>14373</v>
      </c>
      <c r="E39">
        <f>IF(ISNUMBER(SEARCH(", "&amp;B39&amp;",", ", "&amp;Keys!$C$61&amp;",")), V39*U39/(T39+U39), U39)</f>
        <v>3204874</v>
      </c>
      <c r="F39">
        <f>INDEX(FHWA_MV1!M:M, MATCH(B39&amp;"*", FHWA_MV1!A:A, 0))</f>
        <v>125526</v>
      </c>
      <c r="G39">
        <f>IFERROR(INDEX(AFDC_EV_state!C:C, MATCH(B39, AFDC_EV_state!B:B, 0)), 0)</f>
        <v>20873</v>
      </c>
      <c r="H39">
        <f>IFERROR(INDEX(State_shares_nonroad!K:K, MATCH(A39, State_shares_nonroad!J:J, 0)), 0)</f>
        <v>6.1253771314178683E-3</v>
      </c>
      <c r="I39">
        <f>IFERROR(INDEX(State_shares_nonroad!L:L, MATCH(A39, State_shares_nonroad!J:J, 0)), 0)</f>
        <v>7.1174848225483006E-3</v>
      </c>
      <c r="J39">
        <f>IFERROR(INDEX(State_shares_nonroad!AN:AN, MATCH(A39, State_shares_nonroad!O:O, 0)), 0)</f>
        <v>0</v>
      </c>
      <c r="K39">
        <f>IFERROR(INDEX(State_shares_nonroad!AO:AO, MATCH(A39, State_shares_nonroad!O:O, 0)), 0)</f>
        <v>0</v>
      </c>
      <c r="L39">
        <f>IFERROR(INDEX(State_shares_nonroad!AS:AS, MATCH(A39, State_shares_nonroad!AR:AR, 0)), 0)</f>
        <v>1.5746154078161101E-2</v>
      </c>
      <c r="M39">
        <f>IFERROR(INDEX(State_shares_nonroad!AW:AW, MATCH(A39, State_shares_nonroad!AV:AV, 0)), 0)</f>
        <v>3.9806169677740748E-2</v>
      </c>
      <c r="N39">
        <f>IFERROR(INDEX(State_shares_nonroad!BA:BA, MATCH(A39, State_shares_nonroad!AZ:AZ, 0)), 0)</f>
        <v>1.1521272404340329E-2</v>
      </c>
      <c r="O39">
        <f>C39 + E39*Keys!$C$32*Keys!$C$30</f>
        <v>4667788.4472099999</v>
      </c>
      <c r="P39">
        <f t="shared" si="0"/>
        <v>14373</v>
      </c>
      <c r="Q39">
        <f>E39*Keys!$C$32*Keys!$C$29</f>
        <v>138883.21479</v>
      </c>
      <c r="R39">
        <f>E39*Keys!$C$31</f>
        <v>118580.33799999999</v>
      </c>
      <c r="S39">
        <f t="shared" si="1"/>
        <v>125526</v>
      </c>
      <c r="T39">
        <f>INDEX(FHWA_MV1!D:D, MATCH(B39&amp;"*", FHWA_MV1!A:A, 0))</f>
        <v>1720378</v>
      </c>
      <c r="U39">
        <f>INDEX(FHWA_MV1!J:J, MATCH(B39&amp;"*", FHWA_MV1!A:A, 0))</f>
        <v>3204874</v>
      </c>
      <c r="V39">
        <f>IFERROR(SUM(INDEX(AFDC_state_fuel_2024!B:M, MATCH(B39, AFDC_state_fuel_2024!A:A, 0), 0)), 0)</f>
        <v>5114700</v>
      </c>
      <c r="W39" t="str">
        <f>IF(ISNUMBER(SEARCH(", "&amp;B39&amp;",", ", "&amp;Keys!$C$61&amp;",")), "RE-ANCHORED to AFDC (see Keys / methodology 9.6)", "")</f>
        <v/>
      </c>
      <c r="X39">
        <v>9733</v>
      </c>
    </row>
    <row r="40" spans="1:24" x14ac:dyDescent="0.45">
      <c r="A40" t="s">
        <v>132</v>
      </c>
      <c r="B40" t="str">
        <f>INDEX(Geography!C:C, MATCH(A40, Geography!B:B, 0))</f>
        <v>South Dakota</v>
      </c>
      <c r="C40">
        <f>IF(ISNUMBER(SEARCH(", "&amp;B40&amp;",", ", "&amp;Keys!$C$61&amp;",")), V40*T40/(T40+U40), T40)</f>
        <v>282489</v>
      </c>
      <c r="D40">
        <f>INDEX(FHWA_MV1!G:G, MATCH(B40&amp;"*", FHWA_MV1!A:A, 0))</f>
        <v>23104</v>
      </c>
      <c r="E40">
        <f>IF(ISNUMBER(SEARCH(", "&amp;B40&amp;",", ", "&amp;Keys!$C$61&amp;",")), V40*U40/(T40+U40), U40)</f>
        <v>954076</v>
      </c>
      <c r="F40">
        <f>INDEX(FHWA_MV1!M:M, MATCH(B40&amp;"*", FHWA_MV1!A:A, 0))</f>
        <v>147254</v>
      </c>
      <c r="G40">
        <f>IFERROR(INDEX(AFDC_EV_state!C:C, MATCH(B40, AFDC_EV_state!B:B, 0)), 0)</f>
        <v>1675</v>
      </c>
      <c r="H40">
        <f>IFERROR(INDEX(State_shares_nonroad!K:K, MATCH(A40, State_shares_nonroad!J:J, 0)), 0)</f>
        <v>1.0412117851973631E-3</v>
      </c>
      <c r="I40">
        <f>IFERROR(INDEX(State_shares_nonroad!L:L, MATCH(A40, State_shares_nonroad!J:J, 0)), 0)</f>
        <v>2.0664743492821379E-3</v>
      </c>
      <c r="J40">
        <f>IFERROR(INDEX(State_shares_nonroad!AN:AN, MATCH(A40, State_shares_nonroad!O:O, 0)), 0)</f>
        <v>0</v>
      </c>
      <c r="K40">
        <f>IFERROR(INDEX(State_shares_nonroad!AO:AO, MATCH(A40, State_shares_nonroad!O:O, 0)), 0)</f>
        <v>0</v>
      </c>
      <c r="L40">
        <f>IFERROR(INDEX(State_shares_nonroad!AS:AS, MATCH(A40, State_shares_nonroad!AR:AR, 0)), 0)</f>
        <v>3.624667225744668E-3</v>
      </c>
      <c r="M40">
        <f>IFERROR(INDEX(State_shares_nonroad!AW:AW, MATCH(A40, State_shares_nonroad!AV:AV, 0)), 0)</f>
        <v>4.7858023424444647E-3</v>
      </c>
      <c r="N40">
        <f>IFERROR(INDEX(State_shares_nonroad!BA:BA, MATCH(A40, State_shares_nonroad!AZ:AZ, 0)), 0)</f>
        <v>0</v>
      </c>
      <c r="O40">
        <f>C40 + E40*Keys!$C$32*Keys!$C$30</f>
        <v>1159919.3045399999</v>
      </c>
      <c r="P40">
        <f t="shared" si="0"/>
        <v>23104</v>
      </c>
      <c r="Q40">
        <f>E40*Keys!$C$32*Keys!$C$29</f>
        <v>41344.883459999997</v>
      </c>
      <c r="R40">
        <f>E40*Keys!$C$31</f>
        <v>35300.811999999998</v>
      </c>
      <c r="S40">
        <f t="shared" si="1"/>
        <v>147254</v>
      </c>
      <c r="T40">
        <f>INDEX(FHWA_MV1!D:D, MATCH(B40&amp;"*", FHWA_MV1!A:A, 0))</f>
        <v>282489</v>
      </c>
      <c r="U40">
        <f>INDEX(FHWA_MV1!J:J, MATCH(B40&amp;"*", FHWA_MV1!A:A, 0))</f>
        <v>954076</v>
      </c>
      <c r="V40">
        <f>IFERROR(SUM(INDEX(AFDC_state_fuel_2024!B:M, MATCH(B40, AFDC_state_fuel_2024!A:A, 0), 0)), 0)</f>
        <v>980000</v>
      </c>
      <c r="W40" t="str">
        <f>IF(ISNUMBER(SEARCH(", "&amp;B40&amp;",", ", "&amp;Keys!$C$61&amp;",")), "RE-ANCHORED to AFDC (see Keys / methodology 9.6)", "")</f>
        <v/>
      </c>
      <c r="X40">
        <v>0</v>
      </c>
    </row>
    <row r="41" spans="1:24" x14ac:dyDescent="0.45">
      <c r="A41" t="s">
        <v>134</v>
      </c>
      <c r="B41" t="str">
        <f>INDEX(Geography!C:C, MATCH(A41, Geography!B:B, 0))</f>
        <v>Tennessee</v>
      </c>
      <c r="C41">
        <f>IF(ISNUMBER(SEARCH(", "&amp;B41&amp;",", ", "&amp;Keys!$C$61&amp;",")), V41*T41/(T41+U41), T41)</f>
        <v>2253028</v>
      </c>
      <c r="D41">
        <f>INDEX(FHWA_MV1!G:G, MATCH(B41&amp;"*", FHWA_MV1!A:A, 0))</f>
        <v>21864</v>
      </c>
      <c r="E41">
        <f>IF(ISNUMBER(SEARCH(", "&amp;B41&amp;",", ", "&amp;Keys!$C$61&amp;",")), V41*U41/(T41+U41), U41)</f>
        <v>4696396</v>
      </c>
      <c r="F41">
        <f>INDEX(FHWA_MV1!M:M, MATCH(B41&amp;"*", FHWA_MV1!A:A, 0))</f>
        <v>204353</v>
      </c>
      <c r="G41">
        <f>IFERROR(INDEX(AFDC_EV_state!C:C, MATCH(B41, AFDC_EV_state!B:B, 0)), 0)</f>
        <v>33221</v>
      </c>
      <c r="H41">
        <f>IFERROR(INDEX(State_shares_nonroad!K:K, MATCH(A41, State_shares_nonroad!J:J, 0)), 0)</f>
        <v>1.4175122754829669E-2</v>
      </c>
      <c r="I41">
        <f>IFERROR(INDEX(State_shares_nonroad!L:L, MATCH(A41, State_shares_nonroad!J:J, 0)), 0)</f>
        <v>0.13754707030165489</v>
      </c>
      <c r="J41">
        <f>IFERROR(INDEX(State_shares_nonroad!AN:AN, MATCH(A41, State_shares_nonroad!O:O, 0)), 0)</f>
        <v>2.312138728323699E-2</v>
      </c>
      <c r="K41">
        <f>IFERROR(INDEX(State_shares_nonroad!AO:AO, MATCH(A41, State_shares_nonroad!O:O, 0)), 0)</f>
        <v>7.8003120124804995E-4</v>
      </c>
      <c r="L41">
        <f>IFERROR(INDEX(State_shares_nonroad!AS:AS, MATCH(A41, State_shares_nonroad!AR:AR, 0)), 0)</f>
        <v>2.0832467024183898E-2</v>
      </c>
      <c r="M41">
        <f>IFERROR(INDEX(State_shares_nonroad!AW:AW, MATCH(A41, State_shares_nonroad!AV:AV, 0)), 0)</f>
        <v>2.319554745752106E-2</v>
      </c>
      <c r="N41">
        <f>IFERROR(INDEX(State_shares_nonroad!BA:BA, MATCH(A41, State_shares_nonroad!AZ:AZ, 0)), 0)</f>
        <v>0</v>
      </c>
      <c r="O41">
        <f>C41 + E41*Keys!$C$32*Keys!$C$30</f>
        <v>6572139.0273400005</v>
      </c>
      <c r="P41">
        <f t="shared" si="0"/>
        <v>21864</v>
      </c>
      <c r="Q41">
        <f>E41*Keys!$C$32*Keys!$C$29</f>
        <v>203518.32066</v>
      </c>
      <c r="R41">
        <f>E41*Keys!$C$31</f>
        <v>173766.652</v>
      </c>
      <c r="S41">
        <f t="shared" si="1"/>
        <v>204353</v>
      </c>
      <c r="T41">
        <f>INDEX(FHWA_MV1!D:D, MATCH(B41&amp;"*", FHWA_MV1!A:A, 0))</f>
        <v>2253028</v>
      </c>
      <c r="U41">
        <f>INDEX(FHWA_MV1!J:J, MATCH(B41&amp;"*", FHWA_MV1!A:A, 0))</f>
        <v>4696396</v>
      </c>
      <c r="V41">
        <f>IFERROR(SUM(INDEX(AFDC_state_fuel_2024!B:M, MATCH(B41, AFDC_state_fuel_2024!A:A, 0), 0)), 0)</f>
        <v>6600400</v>
      </c>
      <c r="W41" t="str">
        <f>IF(ISNUMBER(SEARCH(", "&amp;B41&amp;",", ", "&amp;Keys!$C$61&amp;",")), "RE-ANCHORED to AFDC (see Keys / methodology 9.6)", "")</f>
        <v/>
      </c>
      <c r="X41">
        <v>53</v>
      </c>
    </row>
    <row r="42" spans="1:24" x14ac:dyDescent="0.45">
      <c r="A42" t="s">
        <v>136</v>
      </c>
      <c r="B42" t="str">
        <f>INDEX(Geography!C:C, MATCH(A42, Geography!B:B, 0))</f>
        <v>Texas</v>
      </c>
      <c r="C42">
        <f>IF(ISNUMBER(SEARCH(", "&amp;B42&amp;",", ", "&amp;Keys!$C$61&amp;",")), V42*T42/(T42+U42), T42)</f>
        <v>7281613</v>
      </c>
      <c r="D42">
        <f>INDEX(FHWA_MV1!G:G, MATCH(B42&amp;"*", FHWA_MV1!A:A, 0))</f>
        <v>65085</v>
      </c>
      <c r="E42">
        <f>IF(ISNUMBER(SEARCH(", "&amp;B42&amp;",", ", "&amp;Keys!$C$61&amp;",")), V42*U42/(T42+U42), U42)</f>
        <v>15933517</v>
      </c>
      <c r="F42">
        <f>INDEX(FHWA_MV1!M:M, MATCH(B42&amp;"*", FHWA_MV1!A:A, 0))</f>
        <v>326186</v>
      </c>
      <c r="G42">
        <f>IFERROR(INDEX(AFDC_EV_state!C:C, MATCH(B42, AFDC_EV_state!B:B, 0)), 0)</f>
        <v>230125</v>
      </c>
      <c r="H42">
        <f>IFERROR(INDEX(State_shares_nonroad!K:K, MATCH(A42, State_shares_nonroad!J:J, 0)), 0)</f>
        <v>9.785981113411614E-2</v>
      </c>
      <c r="I42">
        <f>IFERROR(INDEX(State_shares_nonroad!L:L, MATCH(A42, State_shares_nonroad!J:J, 0)), 0)</f>
        <v>6.4800374223431295E-2</v>
      </c>
      <c r="J42">
        <f>IFERROR(INDEX(State_shares_nonroad!AN:AN, MATCH(A42, State_shares_nonroad!O:O, 0)), 0)</f>
        <v>0.1098265895953757</v>
      </c>
      <c r="K42">
        <f>IFERROR(INDEX(State_shares_nonroad!AO:AO, MATCH(A42, State_shares_nonroad!O:O, 0)), 0)</f>
        <v>3.6661466458658337E-2</v>
      </c>
      <c r="L42">
        <f>IFERROR(INDEX(State_shares_nonroad!AS:AS, MATCH(A42, State_shares_nonroad!AR:AR, 0)), 0)</f>
        <v>8.989745814633697E-2</v>
      </c>
      <c r="M42">
        <f>IFERROR(INDEX(State_shares_nonroad!AW:AW, MATCH(A42, State_shares_nonroad!AV:AV, 0)), 0)</f>
        <v>5.1041364837653203E-2</v>
      </c>
      <c r="N42">
        <f>IFERROR(INDEX(State_shares_nonroad!BA:BA, MATCH(A42, State_shares_nonroad!AZ:AZ, 0)), 0)</f>
        <v>0.28766857214848968</v>
      </c>
      <c r="O42">
        <f>C42 + E42*Keys!$C$32*Keys!$C$30</f>
        <v>21935110.911804996</v>
      </c>
      <c r="P42">
        <f t="shared" si="0"/>
        <v>65085</v>
      </c>
      <c r="Q42">
        <f>E42*Keys!$C$32*Keys!$C$29</f>
        <v>690478.959195</v>
      </c>
      <c r="R42">
        <f>E42*Keys!$C$31</f>
        <v>589540.12899999996</v>
      </c>
      <c r="S42">
        <f t="shared" si="1"/>
        <v>326186</v>
      </c>
      <c r="T42">
        <f>INDEX(FHWA_MV1!D:D, MATCH(B42&amp;"*", FHWA_MV1!A:A, 0))</f>
        <v>7281613</v>
      </c>
      <c r="U42">
        <f>INDEX(FHWA_MV1!J:J, MATCH(B42&amp;"*", FHWA_MV1!A:A, 0))</f>
        <v>15933517</v>
      </c>
      <c r="V42">
        <f>IFERROR(SUM(INDEX(AFDC_state_fuel_2024!B:M, MATCH(B42, AFDC_state_fuel_2024!A:A, 0), 0)), 0)</f>
        <v>26155300</v>
      </c>
      <c r="W42" t="str">
        <f>IF(ISNUMBER(SEARCH(", "&amp;B42&amp;",", ", "&amp;Keys!$C$61&amp;",")), "RE-ANCHORED to AFDC (see Keys / methodology 9.6)", "")</f>
        <v/>
      </c>
      <c r="X42">
        <v>149654</v>
      </c>
    </row>
    <row r="43" spans="1:24" x14ac:dyDescent="0.45">
      <c r="A43" t="s">
        <v>138</v>
      </c>
      <c r="B43" t="str">
        <f>INDEX(Geography!C:C, MATCH(A43, Geography!B:B, 0))</f>
        <v>Utah</v>
      </c>
      <c r="C43">
        <f>IF(ISNUMBER(SEARCH(", "&amp;B43&amp;",", ", "&amp;Keys!$C$61&amp;",")), V43*T43/(T43+U43), T43)</f>
        <v>970972</v>
      </c>
      <c r="D43">
        <f>INDEX(FHWA_MV1!G:G, MATCH(B43&amp;"*", FHWA_MV1!A:A, 0))</f>
        <v>8026</v>
      </c>
      <c r="E43">
        <f>IF(ISNUMBER(SEARCH(", "&amp;B43&amp;",", ", "&amp;Keys!$C$61&amp;",")), V43*U43/(T43+U43), U43)</f>
        <v>1971362</v>
      </c>
      <c r="F43">
        <f>INDEX(FHWA_MV1!M:M, MATCH(B43&amp;"*", FHWA_MV1!A:A, 0))</f>
        <v>256780</v>
      </c>
      <c r="G43">
        <f>IFERROR(INDEX(AFDC_EV_state!C:C, MATCH(B43, AFDC_EV_state!B:B, 0)), 0)</f>
        <v>39998</v>
      </c>
      <c r="H43">
        <f>IFERROR(INDEX(State_shares_nonroad!K:K, MATCH(A43, State_shares_nonroad!J:J, 0)), 0)</f>
        <v>1.4071545349413791E-2</v>
      </c>
      <c r="I43">
        <f>IFERROR(INDEX(State_shares_nonroad!L:L, MATCH(A43, State_shares_nonroad!J:J, 0)), 0)</f>
        <v>6.6199384516647608E-3</v>
      </c>
      <c r="J43">
        <f>IFERROR(INDEX(State_shares_nonroad!AN:AN, MATCH(A43, State_shares_nonroad!O:O, 0)), 0)</f>
        <v>3.4682080924855488E-2</v>
      </c>
      <c r="K43">
        <f>IFERROR(INDEX(State_shares_nonroad!AO:AO, MATCH(A43, State_shares_nonroad!O:O, 0)), 0)</f>
        <v>1.4430577223088921E-2</v>
      </c>
      <c r="L43">
        <f>IFERROR(INDEX(State_shares_nonroad!AS:AS, MATCH(A43, State_shares_nonroad!AR:AR, 0)), 0)</f>
        <v>8.919786703235769E-3</v>
      </c>
      <c r="M43">
        <f>IFERROR(INDEX(State_shares_nonroad!AW:AW, MATCH(A43, State_shares_nonroad!AV:AV, 0)), 0)</f>
        <v>5.8807164816181111E-3</v>
      </c>
      <c r="N43">
        <f>IFERROR(INDEX(State_shares_nonroad!BA:BA, MATCH(A43, State_shares_nonroad!AZ:AZ, 0)), 0)</f>
        <v>0</v>
      </c>
      <c r="O43">
        <f>C43 + E43*Keys!$C$32*Keys!$C$30</f>
        <v>2783964.6337299999</v>
      </c>
      <c r="P43">
        <f t="shared" si="0"/>
        <v>8026</v>
      </c>
      <c r="Q43">
        <f>E43*Keys!$C$32*Keys!$C$29</f>
        <v>85428.972269999998</v>
      </c>
      <c r="R43">
        <f>E43*Keys!$C$31</f>
        <v>72940.394</v>
      </c>
      <c r="S43">
        <f t="shared" si="1"/>
        <v>256780</v>
      </c>
      <c r="T43">
        <f>INDEX(FHWA_MV1!D:D, MATCH(B43&amp;"*", FHWA_MV1!A:A, 0))</f>
        <v>970972</v>
      </c>
      <c r="U43">
        <f>INDEX(FHWA_MV1!J:J, MATCH(B43&amp;"*", FHWA_MV1!A:A, 0))</f>
        <v>1971362</v>
      </c>
      <c r="V43">
        <f>IFERROR(SUM(INDEX(AFDC_state_fuel_2024!B:M, MATCH(B43, AFDC_state_fuel_2024!A:A, 0), 0)), 0)</f>
        <v>3140100</v>
      </c>
      <c r="W43" t="str">
        <f>IF(ISNUMBER(SEARCH(", "&amp;B43&amp;",", ", "&amp;Keys!$C$61&amp;",")), "RE-ANCHORED to AFDC (see Keys / methodology 9.6)", "")</f>
        <v/>
      </c>
      <c r="X43">
        <v>0</v>
      </c>
    </row>
    <row r="44" spans="1:24" x14ac:dyDescent="0.45">
      <c r="A44" t="s">
        <v>140</v>
      </c>
      <c r="B44" t="str">
        <f>INDEX(Geography!C:C, MATCH(A44, Geography!B:B, 0))</f>
        <v>Vermont</v>
      </c>
      <c r="C44">
        <f>IF(ISNUMBER(SEARCH(", "&amp;B44&amp;",", ", "&amp;Keys!$C$61&amp;",")), V44*T44/(T44+U44), T44)</f>
        <v>164231</v>
      </c>
      <c r="D44">
        <f>INDEX(FHWA_MV1!G:G, MATCH(B44&amp;"*", FHWA_MV1!A:A, 0))</f>
        <v>2162</v>
      </c>
      <c r="E44">
        <f>IF(ISNUMBER(SEARCH(", "&amp;B44&amp;",", ", "&amp;Keys!$C$61&amp;",")), V44*U44/(T44+U44), U44)</f>
        <v>473556</v>
      </c>
      <c r="F44">
        <f>INDEX(FHWA_MV1!M:M, MATCH(B44&amp;"*", FHWA_MV1!A:A, 0))</f>
        <v>31427</v>
      </c>
      <c r="G44">
        <f>IFERROR(INDEX(AFDC_EV_state!C:C, MATCH(B44, AFDC_EV_state!B:B, 0)), 0)</f>
        <v>7816</v>
      </c>
      <c r="H44">
        <f>IFERROR(INDEX(State_shares_nonroad!K:K, MATCH(A44, State_shares_nonroad!J:J, 0)), 0)</f>
        <v>7.4001081281019072E-4</v>
      </c>
      <c r="I44">
        <f>IFERROR(INDEX(State_shares_nonroad!L:L, MATCH(A44, State_shares_nonroad!J:J, 0)), 0)</f>
        <v>0</v>
      </c>
      <c r="J44">
        <f>IFERROR(INDEX(State_shares_nonroad!AN:AN, MATCH(A44, State_shares_nonroad!O:O, 0)), 0)</f>
        <v>0</v>
      </c>
      <c r="K44">
        <f>IFERROR(INDEX(State_shares_nonroad!AO:AO, MATCH(A44, State_shares_nonroad!O:O, 0)), 0)</f>
        <v>0</v>
      </c>
      <c r="L44">
        <f>IFERROR(INDEX(State_shares_nonroad!AS:AS, MATCH(A44, State_shares_nonroad!AR:AR, 0)), 0)</f>
        <v>3.426568721531148E-4</v>
      </c>
      <c r="M44">
        <f>IFERROR(INDEX(State_shares_nonroad!AW:AW, MATCH(A44, State_shares_nonroad!AV:AV, 0)), 0)</f>
        <v>2.70956485966706E-3</v>
      </c>
      <c r="N44">
        <f>IFERROR(INDEX(State_shares_nonroad!BA:BA, MATCH(A44, State_shares_nonroad!AZ:AZ, 0)), 0)</f>
        <v>0</v>
      </c>
      <c r="O44">
        <f>C44 + E44*Keys!$C$32*Keys!$C$30</f>
        <v>599743.87873999996</v>
      </c>
      <c r="P44">
        <f t="shared" si="0"/>
        <v>2162</v>
      </c>
      <c r="Q44">
        <f>E44*Keys!$C$32*Keys!$C$29</f>
        <v>20521.549259999996</v>
      </c>
      <c r="R44">
        <f>E44*Keys!$C$31</f>
        <v>17521.572</v>
      </c>
      <c r="S44">
        <f t="shared" si="1"/>
        <v>31427</v>
      </c>
      <c r="T44">
        <f>INDEX(FHWA_MV1!D:D, MATCH(B44&amp;"*", FHWA_MV1!A:A, 0))</f>
        <v>164231</v>
      </c>
      <c r="U44">
        <f>INDEX(FHWA_MV1!J:J, MATCH(B44&amp;"*", FHWA_MV1!A:A, 0))</f>
        <v>473556</v>
      </c>
      <c r="V44">
        <f>IFERROR(SUM(INDEX(AFDC_state_fuel_2024!B:M, MATCH(B44, AFDC_state_fuel_2024!A:A, 0), 0)), 0)</f>
        <v>587100</v>
      </c>
      <c r="W44" t="str">
        <f>IF(ISNUMBER(SEARCH(", "&amp;B44&amp;",", ", "&amp;Keys!$C$61&amp;",")), "RE-ANCHORED to AFDC (see Keys / methodology 9.6)", "")</f>
        <v/>
      </c>
      <c r="X44">
        <v>14</v>
      </c>
    </row>
    <row r="45" spans="1:24" x14ac:dyDescent="0.45">
      <c r="A45" t="s">
        <v>142</v>
      </c>
      <c r="B45" t="str">
        <f>INDEX(Geography!C:C, MATCH(A45, Geography!B:B, 0))</f>
        <v>Virginia</v>
      </c>
      <c r="C45">
        <f>IF(ISNUMBER(SEARCH(", "&amp;B45&amp;",", ", "&amp;Keys!$C$61&amp;",")), V45*T45/(T45+U45), T45)</f>
        <v>2833864</v>
      </c>
      <c r="D45">
        <f>INDEX(FHWA_MV1!G:G, MATCH(B45&amp;"*", FHWA_MV1!A:A, 0))</f>
        <v>36579</v>
      </c>
      <c r="E45">
        <f>IF(ISNUMBER(SEARCH(", "&amp;B45&amp;",", ", "&amp;Keys!$C$61&amp;",")), V45*U45/(T45+U45), U45)</f>
        <v>4924472</v>
      </c>
      <c r="F45">
        <f>INDEX(FHWA_MV1!M:M, MATCH(B45&amp;"*", FHWA_MV1!A:A, 0))</f>
        <v>190615</v>
      </c>
      <c r="G45">
        <f>IFERROR(INDEX(AFDC_EV_state!C:C, MATCH(B45, AFDC_EV_state!B:B, 0)), 0)</f>
        <v>84936</v>
      </c>
      <c r="H45">
        <f>IFERROR(INDEX(State_shares_nonroad!K:K, MATCH(A45, State_shares_nonroad!J:J, 0)), 0)</f>
        <v>3.0714118906459972E-2</v>
      </c>
      <c r="I45">
        <f>IFERROR(INDEX(State_shares_nonroad!L:L, MATCH(A45, State_shares_nonroad!J:J, 0)), 0)</f>
        <v>7.4362200066146623E-3</v>
      </c>
      <c r="J45">
        <f>IFERROR(INDEX(State_shares_nonroad!AN:AN, MATCH(A45, State_shares_nonroad!O:O, 0)), 0)</f>
        <v>0.1098265895953757</v>
      </c>
      <c r="K45">
        <f>IFERROR(INDEX(State_shares_nonroad!AO:AO, MATCH(A45, State_shares_nonroad!O:O, 0)), 0)</f>
        <v>7.4102964118564754E-3</v>
      </c>
      <c r="L45">
        <f>IFERROR(INDEX(State_shares_nonroad!AS:AS, MATCH(A45, State_shares_nonroad!AR:AR, 0)), 0)</f>
        <v>2.5172787404790019E-2</v>
      </c>
      <c r="M45">
        <f>IFERROR(INDEX(State_shares_nonroad!AW:AW, MATCH(A45, State_shares_nonroad!AV:AV, 0)), 0)</f>
        <v>2.1034703793941598E-2</v>
      </c>
      <c r="N45">
        <f>IFERROR(INDEX(State_shares_nonroad!BA:BA, MATCH(A45, State_shares_nonroad!AZ:AZ, 0)), 0)</f>
        <v>2.6808151008024961E-2</v>
      </c>
      <c r="O45">
        <f>C45 + E45*Keys!$C$32*Keys!$C$30</f>
        <v>7362728.5418799995</v>
      </c>
      <c r="P45">
        <f t="shared" si="0"/>
        <v>36579</v>
      </c>
      <c r="Q45">
        <f>E45*Keys!$C$32*Keys!$C$29</f>
        <v>213401.99411999996</v>
      </c>
      <c r="R45">
        <f>E45*Keys!$C$31</f>
        <v>182205.46399999998</v>
      </c>
      <c r="S45">
        <f t="shared" si="1"/>
        <v>190615</v>
      </c>
      <c r="T45">
        <f>INDEX(FHWA_MV1!D:D, MATCH(B45&amp;"*", FHWA_MV1!A:A, 0))</f>
        <v>2833864</v>
      </c>
      <c r="U45">
        <f>INDEX(FHWA_MV1!J:J, MATCH(B45&amp;"*", FHWA_MV1!A:A, 0))</f>
        <v>4924472</v>
      </c>
      <c r="V45">
        <f>IFERROR(SUM(INDEX(AFDC_state_fuel_2024!B:M, MATCH(B45, AFDC_state_fuel_2024!A:A, 0), 0)), 0)</f>
        <v>7814000</v>
      </c>
      <c r="W45" t="str">
        <f>IF(ISNUMBER(SEARCH(", "&amp;B45&amp;",", ", "&amp;Keys!$C$61&amp;",")), "RE-ANCHORED to AFDC (see Keys / methodology 9.6)", "")</f>
        <v/>
      </c>
      <c r="X45">
        <v>2423</v>
      </c>
    </row>
    <row r="46" spans="1:24" x14ac:dyDescent="0.45">
      <c r="A46" t="s">
        <v>144</v>
      </c>
      <c r="B46" t="str">
        <f>INDEX(Geography!C:C, MATCH(A46, Geography!B:B, 0))</f>
        <v>Washington</v>
      </c>
      <c r="C46">
        <f>IF(ISNUMBER(SEARCH(", "&amp;B46&amp;",", ", "&amp;Keys!$C$61&amp;",")), V46*T46/(T46+U46), T46)</f>
        <v>2535919</v>
      </c>
      <c r="D46">
        <f>INDEX(FHWA_MV1!G:G, MATCH(B46&amp;"*", FHWA_MV1!A:A, 0))</f>
        <v>24254</v>
      </c>
      <c r="E46">
        <f>IF(ISNUMBER(SEARCH(", "&amp;B46&amp;",", ", "&amp;Keys!$C$61&amp;",")), V46*U46/(T46+U46), U46)</f>
        <v>4758579</v>
      </c>
      <c r="F46">
        <f>INDEX(FHWA_MV1!M:M, MATCH(B46&amp;"*", FHWA_MV1!A:A, 0))</f>
        <v>200298</v>
      </c>
      <c r="G46">
        <f>IFERROR(INDEX(AFDC_EV_state!C:C, MATCH(B46, AFDC_EV_state!B:B, 0)), 0)</f>
        <v>152101</v>
      </c>
      <c r="H46">
        <f>IFERROR(INDEX(State_shares_nonroad!K:K, MATCH(A46, State_shares_nonroad!J:J, 0)), 0)</f>
        <v>3.0383204198592039E-2</v>
      </c>
      <c r="I46">
        <f>IFERROR(INDEX(State_shares_nonroad!L:L, MATCH(A46, State_shares_nonroad!J:J, 0)), 0)</f>
        <v>2.1896522688595869E-2</v>
      </c>
      <c r="J46">
        <f>IFERROR(INDEX(State_shares_nonroad!AN:AN, MATCH(A46, State_shares_nonroad!O:O, 0)), 0)</f>
        <v>1.15606936416185E-2</v>
      </c>
      <c r="K46">
        <f>IFERROR(INDEX(State_shares_nonroad!AO:AO, MATCH(A46, State_shares_nonroad!O:O, 0)), 0)</f>
        <v>1.5600624024961001E-2</v>
      </c>
      <c r="L46">
        <f>IFERROR(INDEX(State_shares_nonroad!AS:AS, MATCH(A46, State_shares_nonroad!AR:AR, 0)), 0)</f>
        <v>3.5834413208137461E-2</v>
      </c>
      <c r="M46">
        <f>IFERROR(INDEX(State_shares_nonroad!AW:AW, MATCH(A46, State_shares_nonroad!AV:AV, 0)), 0)</f>
        <v>2.0713886546994222E-2</v>
      </c>
      <c r="N46">
        <f>IFERROR(INDEX(State_shares_nonroad!BA:BA, MATCH(A46, State_shares_nonroad!AZ:AZ, 0)), 0)</f>
        <v>3.8770051958964803E-2</v>
      </c>
      <c r="O46">
        <f>C46 + E46*Keys!$C$32*Keys!$C$30</f>
        <v>6912217.556034999</v>
      </c>
      <c r="P46">
        <f t="shared" si="0"/>
        <v>24254</v>
      </c>
      <c r="Q46">
        <f>E46*Keys!$C$32*Keys!$C$29</f>
        <v>206213.02096499997</v>
      </c>
      <c r="R46">
        <f>E46*Keys!$C$31</f>
        <v>176067.42299999998</v>
      </c>
      <c r="S46">
        <f t="shared" si="1"/>
        <v>200298</v>
      </c>
      <c r="T46">
        <f>INDEX(FHWA_MV1!D:D, MATCH(B46&amp;"*", FHWA_MV1!A:A, 0))</f>
        <v>2535919</v>
      </c>
      <c r="U46">
        <f>INDEX(FHWA_MV1!J:J, MATCH(B46&amp;"*", FHWA_MV1!A:A, 0))</f>
        <v>4758579</v>
      </c>
      <c r="V46">
        <f>IFERROR(SUM(INDEX(AFDC_state_fuel_2024!B:M, MATCH(B46, AFDC_state_fuel_2024!A:A, 0), 0)), 0)</f>
        <v>6831300</v>
      </c>
      <c r="W46" t="str">
        <f>IF(ISNUMBER(SEARCH(", "&amp;B46&amp;",", ", "&amp;Keys!$C$61&amp;",")), "RE-ANCHORED to AFDC (see Keys / methodology 9.6)", "")</f>
        <v/>
      </c>
      <c r="X46">
        <v>71286</v>
      </c>
    </row>
    <row r="47" spans="1:24" x14ac:dyDescent="0.45">
      <c r="A47" t="s">
        <v>146</v>
      </c>
      <c r="B47" t="str">
        <f>INDEX(Geography!C:C, MATCH(A47, Geography!B:B, 0))</f>
        <v>West Virginia</v>
      </c>
      <c r="C47">
        <f>IF(ISNUMBER(SEARCH(", "&amp;B47&amp;",", ", "&amp;Keys!$C$61&amp;",")), V47*T47/(T47+U47), T47)</f>
        <v>398614</v>
      </c>
      <c r="D47">
        <f>INDEX(FHWA_MV1!G:G, MATCH(B47&amp;"*", FHWA_MV1!A:A, 0))</f>
        <v>160</v>
      </c>
      <c r="E47">
        <f>IF(ISNUMBER(SEARCH(", "&amp;B47&amp;",", ", "&amp;Keys!$C$61&amp;",")), V47*U47/(T47+U47), U47)</f>
        <v>1032694</v>
      </c>
      <c r="F47">
        <f>INDEX(FHWA_MV1!M:M, MATCH(B47&amp;"*", FHWA_MV1!A:A, 0))</f>
        <v>47662</v>
      </c>
      <c r="G47">
        <f>IFERROR(INDEX(AFDC_EV_state!C:C, MATCH(B47, AFDC_EV_state!B:B, 0)), 0)</f>
        <v>2758</v>
      </c>
      <c r="H47">
        <f>IFERROR(INDEX(State_shares_nonroad!K:K, MATCH(A47, State_shares_nonroad!J:J, 0)), 0)</f>
        <v>4.3190190407517442E-4</v>
      </c>
      <c r="I47">
        <f>IFERROR(INDEX(State_shares_nonroad!L:L, MATCH(A47, State_shares_nonroad!J:J, 0)), 0)</f>
        <v>0</v>
      </c>
      <c r="J47">
        <f>IFERROR(INDEX(State_shares_nonroad!AN:AN, MATCH(A47, State_shares_nonroad!O:O, 0)), 0)</f>
        <v>0</v>
      </c>
      <c r="K47">
        <f>IFERROR(INDEX(State_shares_nonroad!AO:AO, MATCH(A47, State_shares_nonroad!O:O, 0)), 0)</f>
        <v>0</v>
      </c>
      <c r="L47">
        <f>IFERROR(INDEX(State_shares_nonroad!AS:AS, MATCH(A47, State_shares_nonroad!AR:AR, 0)), 0)</f>
        <v>9.7335967745994165E-3</v>
      </c>
      <c r="M47">
        <f>IFERROR(INDEX(State_shares_nonroad!AW:AW, MATCH(A47, State_shares_nonroad!AV:AV, 0)), 0)</f>
        <v>5.5947530081921718E-3</v>
      </c>
      <c r="N47">
        <f>IFERROR(INDEX(State_shares_nonroad!BA:BA, MATCH(A47, State_shares_nonroad!AZ:AZ, 0)), 0)</f>
        <v>2.201472972798723E-2</v>
      </c>
      <c r="O47">
        <f>C47 + E47*Keys!$C$32*Keys!$C$30</f>
        <v>1348346.5275099999</v>
      </c>
      <c r="P47">
        <f t="shared" si="0"/>
        <v>160</v>
      </c>
      <c r="Q47">
        <f>E47*Keys!$C$32*Keys!$C$29</f>
        <v>44751.794489999993</v>
      </c>
      <c r="R47">
        <f>E47*Keys!$C$31</f>
        <v>38209.678</v>
      </c>
      <c r="S47">
        <f t="shared" si="1"/>
        <v>47662</v>
      </c>
      <c r="T47">
        <f>INDEX(FHWA_MV1!D:D, MATCH(B47&amp;"*", FHWA_MV1!A:A, 0))</f>
        <v>398614</v>
      </c>
      <c r="U47">
        <f>INDEX(FHWA_MV1!J:J, MATCH(B47&amp;"*", FHWA_MV1!A:A, 0))</f>
        <v>1032694</v>
      </c>
      <c r="V47">
        <f>IFERROR(SUM(INDEX(AFDC_state_fuel_2024!B:M, MATCH(B47, AFDC_state_fuel_2024!A:A, 0), 0)), 0)</f>
        <v>1520900</v>
      </c>
      <c r="W47" t="str">
        <f>IF(ISNUMBER(SEARCH(", "&amp;B47&amp;",", ", "&amp;Keys!$C$61&amp;",")), "RE-ANCHORED to AFDC (see Keys / methodology 9.6)", "")</f>
        <v/>
      </c>
      <c r="X47">
        <v>0</v>
      </c>
    </row>
    <row r="48" spans="1:24" x14ac:dyDescent="0.45">
      <c r="A48" t="s">
        <v>148</v>
      </c>
      <c r="B48" t="str">
        <f>INDEX(Geography!C:C, MATCH(A48, Geography!B:B, 0))</f>
        <v>Wisconsin</v>
      </c>
      <c r="C48">
        <f>IF(ISNUMBER(SEARCH(", "&amp;B48&amp;",", ", "&amp;Keys!$C$61&amp;",")), V48*T48/(T48+U48), T48)</f>
        <v>1626951</v>
      </c>
      <c r="D48">
        <f>INDEX(FHWA_MV1!G:G, MATCH(B48&amp;"*", FHWA_MV1!A:A, 0))</f>
        <v>11536</v>
      </c>
      <c r="E48">
        <f>IF(ISNUMBER(SEARCH(", "&amp;B48&amp;",", ", "&amp;Keys!$C$61&amp;",")), V48*U48/(T48+U48), U48)</f>
        <v>3918981</v>
      </c>
      <c r="F48">
        <f>INDEX(FHWA_MV1!M:M, MATCH(B48&amp;"*", FHWA_MV1!A:A, 0))</f>
        <v>279308</v>
      </c>
      <c r="G48">
        <f>IFERROR(INDEX(AFDC_EV_state!C:C, MATCH(B48, AFDC_EV_state!B:B, 0)), 0)</f>
        <v>24943</v>
      </c>
      <c r="H48">
        <f>IFERROR(INDEX(State_shares_nonroad!K:K, MATCH(A48, State_shares_nonroad!J:J, 0)), 0)</f>
        <v>5.937079812359778E-3</v>
      </c>
      <c r="I48">
        <f>IFERROR(INDEX(State_shares_nonroad!L:L, MATCH(A48, State_shares_nonroad!J:J, 0)), 0)</f>
        <v>5.022903306707991E-3</v>
      </c>
      <c r="J48">
        <f>IFERROR(INDEX(State_shares_nonroad!AN:AN, MATCH(A48, State_shares_nonroad!O:O, 0)), 0)</f>
        <v>0</v>
      </c>
      <c r="K48">
        <f>IFERROR(INDEX(State_shares_nonroad!AO:AO, MATCH(A48, State_shares_nonroad!O:O, 0)), 0)</f>
        <v>1.5600624024960999E-3</v>
      </c>
      <c r="L48">
        <f>IFERROR(INDEX(State_shares_nonroad!AS:AS, MATCH(A48, State_shares_nonroad!AR:AR, 0)), 0)</f>
        <v>1.194837374513075E-2</v>
      </c>
      <c r="M48">
        <f>IFERROR(INDEX(State_shares_nonroad!AW:AW, MATCH(A48, State_shares_nonroad!AV:AV, 0)), 0)</f>
        <v>5.3102884276171547E-2</v>
      </c>
      <c r="N48">
        <f>IFERROR(INDEX(State_shares_nonroad!BA:BA, MATCH(A48, State_shares_nonroad!AZ:AZ, 0)), 0)</f>
        <v>5.7891832087338668E-3</v>
      </c>
      <c r="O48">
        <f>C48 + E48*Keys!$C$32*Keys!$C$30</f>
        <v>5231100.6613649996</v>
      </c>
      <c r="P48">
        <f t="shared" si="0"/>
        <v>11536</v>
      </c>
      <c r="Q48">
        <f>E48*Keys!$C$32*Keys!$C$29</f>
        <v>169829.04163499997</v>
      </c>
      <c r="R48">
        <f>E48*Keys!$C$31</f>
        <v>145002.29699999999</v>
      </c>
      <c r="S48">
        <f t="shared" si="1"/>
        <v>279308</v>
      </c>
      <c r="T48">
        <f>INDEX(FHWA_MV1!D:D, MATCH(B48&amp;"*", FHWA_MV1!A:A, 0))</f>
        <v>1626951</v>
      </c>
      <c r="U48">
        <f>INDEX(FHWA_MV1!J:J, MATCH(B48&amp;"*", FHWA_MV1!A:A, 0))</f>
        <v>3918981</v>
      </c>
      <c r="V48">
        <f>IFERROR(SUM(INDEX(AFDC_state_fuel_2024!B:M, MATCH(B48, AFDC_state_fuel_2024!A:A, 0), 0)), 0)</f>
        <v>5570100</v>
      </c>
      <c r="W48" t="str">
        <f>IF(ISNUMBER(SEARCH(", "&amp;B48&amp;",", ", "&amp;Keys!$C$61&amp;",")), "RE-ANCHORED to AFDC (see Keys / methodology 9.6)", "")</f>
        <v/>
      </c>
      <c r="X48">
        <v>19</v>
      </c>
    </row>
    <row r="49" spans="1:24" x14ac:dyDescent="0.45">
      <c r="A49" t="s">
        <v>150</v>
      </c>
      <c r="B49" t="str">
        <f>INDEX(Geography!C:C, MATCH(A49, Geography!B:B, 0))</f>
        <v>Wyoming</v>
      </c>
      <c r="C49">
        <f>IF(ISNUMBER(SEARCH(", "&amp;B49&amp;",", ", "&amp;Keys!$C$61&amp;",")), V49*T49/(T49+U49), T49)</f>
        <v>166107</v>
      </c>
      <c r="D49">
        <f>INDEX(FHWA_MV1!G:G, MATCH(B49&amp;"*", FHWA_MV1!A:A, 0))</f>
        <v>1953</v>
      </c>
      <c r="E49">
        <f>IF(ISNUMBER(SEARCH(", "&amp;B49&amp;",", ", "&amp;Keys!$C$61&amp;",")), V49*U49/(T49+U49), U49)</f>
        <v>680479</v>
      </c>
      <c r="F49">
        <f>INDEX(FHWA_MV1!M:M, MATCH(B49&amp;"*", FHWA_MV1!A:A, 0))</f>
        <v>28613</v>
      </c>
      <c r="G49">
        <f>IFERROR(INDEX(AFDC_EV_state!C:C, MATCH(B49, AFDC_EV_state!B:B, 0)), 0)</f>
        <v>1139</v>
      </c>
      <c r="H49">
        <f>IFERROR(INDEX(State_shares_nonroad!K:K, MATCH(A49, State_shares_nonroad!J:J, 0)), 0)</f>
        <v>7.3652481401950882E-4</v>
      </c>
      <c r="I49">
        <f>IFERROR(INDEX(State_shares_nonroad!L:L, MATCH(A49, State_shares_nonroad!J:J, 0)), 0)</f>
        <v>0</v>
      </c>
      <c r="J49">
        <f>IFERROR(INDEX(State_shares_nonroad!AN:AN, MATCH(A49, State_shares_nonroad!O:O, 0)), 0)</f>
        <v>0</v>
      </c>
      <c r="K49">
        <f>IFERROR(INDEX(State_shares_nonroad!AO:AO, MATCH(A49, State_shares_nonroad!O:O, 0)), 0)</f>
        <v>0</v>
      </c>
      <c r="L49">
        <f>IFERROR(INDEX(State_shares_nonroad!AS:AS, MATCH(A49, State_shares_nonroad!AR:AR, 0)), 0)</f>
        <v>3.7831460291154827E-2</v>
      </c>
      <c r="M49">
        <f>IFERROR(INDEX(State_shares_nonroad!AW:AW, MATCH(A49, State_shares_nonroad!AV:AV, 0)), 0)</f>
        <v>2.3916370447214551E-3</v>
      </c>
      <c r="N49">
        <f>IFERROR(INDEX(State_shares_nonroad!BA:BA, MATCH(A49, State_shares_nonroad!AZ:AZ, 0)), 0)</f>
        <v>0</v>
      </c>
      <c r="O49">
        <f>C49 + E49*Keys!$C$32*Keys!$C$30</f>
        <v>791919.71953499992</v>
      </c>
      <c r="P49">
        <f t="shared" si="0"/>
        <v>1953</v>
      </c>
      <c r="Q49">
        <f>E49*Keys!$C$32*Keys!$C$29</f>
        <v>29488.557464999998</v>
      </c>
      <c r="R49">
        <f>E49*Keys!$C$31</f>
        <v>25177.722999999998</v>
      </c>
      <c r="S49">
        <f t="shared" si="1"/>
        <v>28613</v>
      </c>
      <c r="T49">
        <f>INDEX(FHWA_MV1!D:D, MATCH(B49&amp;"*", FHWA_MV1!A:A, 0))</f>
        <v>166107</v>
      </c>
      <c r="U49">
        <f>INDEX(FHWA_MV1!J:J, MATCH(B49&amp;"*", FHWA_MV1!A:A, 0))</f>
        <v>680479</v>
      </c>
      <c r="V49">
        <f>IFERROR(SUM(INDEX(AFDC_state_fuel_2024!B:M, MATCH(B49, AFDC_state_fuel_2024!A:A, 0), 0)), 0)</f>
        <v>666900</v>
      </c>
      <c r="W49" t="str">
        <f>IF(ISNUMBER(SEARCH(", "&amp;B49&amp;",", ", "&amp;Keys!$C$61&amp;",")), "RE-ANCHORED to AFDC (see Keys / methodology 9.6)", "")</f>
        <v/>
      </c>
      <c r="X49">
        <v>0</v>
      </c>
    </row>
    <row r="50" spans="1:24" x14ac:dyDescent="0.45">
      <c r="A50" s="4" t="s">
        <v>373</v>
      </c>
      <c r="B50" s="4"/>
      <c r="C50" s="4">
        <f t="shared" ref="C50:V50" si="2">SUM(C2:C49)</f>
        <v>93833515.428622678</v>
      </c>
      <c r="D50" s="4">
        <f t="shared" si="2"/>
        <v>1079964</v>
      </c>
      <c r="E50" s="4">
        <f t="shared" si="2"/>
        <v>181997685.57137734</v>
      </c>
      <c r="F50" s="4">
        <f t="shared" si="2"/>
        <v>9207532</v>
      </c>
      <c r="G50" s="4">
        <f t="shared" si="2"/>
        <v>3519117</v>
      </c>
      <c r="H50" s="4">
        <f t="shared" si="2"/>
        <v>0.96582808953166388</v>
      </c>
      <c r="I50" s="4">
        <f t="shared" si="2"/>
        <v>0.86712943904230255</v>
      </c>
      <c r="J50" s="4">
        <f t="shared" si="2"/>
        <v>1.23121387283237</v>
      </c>
      <c r="K50" s="4">
        <f t="shared" si="2"/>
        <v>1.1166146645865838</v>
      </c>
      <c r="L50" s="4">
        <f t="shared" si="2"/>
        <v>0.99993396716526217</v>
      </c>
      <c r="M50" s="4">
        <f t="shared" si="2"/>
        <v>0.99421535713244102</v>
      </c>
      <c r="N50" s="4">
        <f t="shared" si="2"/>
        <v>0.98273955960695425</v>
      </c>
      <c r="O50" s="4">
        <f t="shared" si="2"/>
        <v>261210416.9296234</v>
      </c>
      <c r="P50" s="4">
        <f t="shared" si="2"/>
        <v>1079964</v>
      </c>
      <c r="Q50" s="4">
        <f t="shared" si="2"/>
        <v>7886869.7042356357</v>
      </c>
      <c r="R50" s="4">
        <f t="shared" si="2"/>
        <v>6733914.3661409607</v>
      </c>
      <c r="S50" s="4">
        <f t="shared" si="2"/>
        <v>9207532</v>
      </c>
      <c r="T50" s="4">
        <f t="shared" si="2"/>
        <v>96717875</v>
      </c>
      <c r="U50" s="4">
        <f t="shared" si="2"/>
        <v>188264643</v>
      </c>
      <c r="V50" s="4">
        <f t="shared" si="2"/>
        <v>287716900</v>
      </c>
      <c r="X50" s="4">
        <f>SUM(X2:X49)</f>
        <v>559233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15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2" width="12" customWidth="1"/>
    <col min="3" max="9" width="18" customWidth="1"/>
  </cols>
  <sheetData>
    <row r="1" spans="1:9" x14ac:dyDescent="0.45">
      <c r="A1" s="4" t="s">
        <v>178</v>
      </c>
      <c r="B1" s="4" t="s">
        <v>183</v>
      </c>
      <c r="C1" s="4" t="s">
        <v>198</v>
      </c>
      <c r="D1" s="4" t="s">
        <v>201</v>
      </c>
      <c r="E1" s="4" t="s">
        <v>204</v>
      </c>
      <c r="F1" s="4" t="s">
        <v>207</v>
      </c>
      <c r="G1" s="4" t="s">
        <v>210</v>
      </c>
      <c r="H1" s="4" t="s">
        <v>213</v>
      </c>
      <c r="I1" s="4" t="s">
        <v>216</v>
      </c>
    </row>
    <row r="2" spans="1:9" x14ac:dyDescent="0.45">
      <c r="A2" t="s">
        <v>179</v>
      </c>
      <c r="B2" t="s">
        <v>184</v>
      </c>
      <c r="C2">
        <f>INDEX(US_syvbt_psgr_totals!B:B, Keys!$C$45)</f>
        <v>4769953</v>
      </c>
      <c r="D2">
        <f>INDEX(US_syvbt_psgr_totals!C:C, Keys!$C$45)</f>
        <v>14506</v>
      </c>
      <c r="E2">
        <f>INDEX(US_syvbt_psgr_totals!D:D, Keys!$C$45)</f>
        <v>257649823</v>
      </c>
      <c r="F2">
        <f>INDEX(US_syvbt_psgr_totals!E:E, Keys!$C$45)</f>
        <v>1553093</v>
      </c>
      <c r="G2">
        <f>INDEX(US_syvbt_psgr_totals!F:F, Keys!$C$45)</f>
        <v>1417825</v>
      </c>
      <c r="H2">
        <f>INDEX(US_syvbt_psgr_totals!G:G, Keys!$C$45)</f>
        <v>13525</v>
      </c>
      <c r="I2">
        <f>INDEX(US_syvbt_psgr_totals!H:H, Keys!$C$45)</f>
        <v>17094</v>
      </c>
    </row>
    <row r="3" spans="1:9" x14ac:dyDescent="0.45">
      <c r="A3" t="s">
        <v>179</v>
      </c>
      <c r="B3" t="s">
        <v>186</v>
      </c>
      <c r="C3">
        <f>INDEX(US_syvbt_psgr_totals!B:B, Keys!$C$46)</f>
        <v>300</v>
      </c>
      <c r="D3">
        <f>INDEX(US_syvbt_psgr_totals!C:C, Keys!$C$46)</f>
        <v>128402</v>
      </c>
      <c r="E3">
        <f>INDEX(US_syvbt_psgr_totals!D:D, Keys!$C$46)</f>
        <v>101051</v>
      </c>
      <c r="F3">
        <f>INDEX(US_syvbt_psgr_totals!E:E, Keys!$C$46)</f>
        <v>802832</v>
      </c>
      <c r="G3">
        <f>INDEX(US_syvbt_psgr_totals!F:F, Keys!$C$46)</f>
        <v>0</v>
      </c>
      <c r="H3">
        <f>INDEX(US_syvbt_psgr_totals!G:G, Keys!$C$46)</f>
        <v>47038</v>
      </c>
      <c r="I3">
        <f>INDEX(US_syvbt_psgr_totals!H:H, Keys!$C$46)</f>
        <v>174</v>
      </c>
    </row>
    <row r="4" spans="1:9" x14ac:dyDescent="0.45">
      <c r="A4" t="s">
        <v>179</v>
      </c>
      <c r="B4" t="s">
        <v>188</v>
      </c>
      <c r="C4">
        <f>INDEX(US_syvbt_psgr_totals!B:B, Keys!$C$47)</f>
        <v>0</v>
      </c>
      <c r="D4">
        <f>INDEX(US_syvbt_psgr_totals!C:C, Keys!$C$47)</f>
        <v>0</v>
      </c>
      <c r="E4">
        <f>INDEX(US_syvbt_psgr_totals!D:D, Keys!$C$47)</f>
        <v>0</v>
      </c>
      <c r="F4">
        <f>INDEX(US_syvbt_psgr_totals!E:E, Keys!$C$47)</f>
        <v>6767</v>
      </c>
      <c r="G4">
        <f>INDEX(US_syvbt_psgr_totals!F:F, Keys!$C$47)</f>
        <v>0</v>
      </c>
      <c r="H4">
        <f>INDEX(US_syvbt_psgr_totals!G:G, Keys!$C$47)</f>
        <v>0</v>
      </c>
      <c r="I4">
        <f>INDEX(US_syvbt_psgr_totals!H:H, Keys!$C$47)</f>
        <v>0</v>
      </c>
    </row>
    <row r="5" spans="1:9" x14ac:dyDescent="0.45">
      <c r="A5" t="s">
        <v>179</v>
      </c>
      <c r="B5" t="s">
        <v>190</v>
      </c>
      <c r="C5">
        <f>INDEX(US_syvbt_psgr_totals!B:B, Keys!$C$48)</f>
        <v>2564</v>
      </c>
      <c r="D5">
        <f>INDEX(US_syvbt_psgr_totals!C:C, Keys!$C$48)</f>
        <v>0</v>
      </c>
      <c r="E5">
        <f>INDEX(US_syvbt_psgr_totals!D:D, Keys!$C$48)</f>
        <v>0</v>
      </c>
      <c r="F5">
        <f>INDEX(US_syvbt_psgr_totals!E:E, Keys!$C$48)</f>
        <v>173</v>
      </c>
      <c r="G5">
        <f>INDEX(US_syvbt_psgr_totals!F:F, Keys!$C$48)</f>
        <v>0</v>
      </c>
      <c r="H5">
        <f>INDEX(US_syvbt_psgr_totals!G:G, Keys!$C$48)</f>
        <v>0</v>
      </c>
      <c r="I5">
        <f>INDEX(US_syvbt_psgr_totals!H:H, Keys!$C$48)</f>
        <v>0</v>
      </c>
    </row>
    <row r="6" spans="1:9" x14ac:dyDescent="0.45">
      <c r="A6" t="s">
        <v>179</v>
      </c>
      <c r="B6" t="s">
        <v>192</v>
      </c>
      <c r="C6">
        <f>INDEX(US_syvbt_psgr_totals!B:B, Keys!$C$49)</f>
        <v>0</v>
      </c>
      <c r="D6">
        <f>INDEX(US_syvbt_psgr_totals!C:C, Keys!$C$49)</f>
        <v>0</v>
      </c>
      <c r="E6">
        <f>INDEX(US_syvbt_psgr_totals!D:D, Keys!$C$49)</f>
        <v>10214830</v>
      </c>
      <c r="F6">
        <f>INDEX(US_syvbt_psgr_totals!E:E, Keys!$C$49)</f>
        <v>2490170</v>
      </c>
      <c r="G6">
        <f>INDEX(US_syvbt_psgr_totals!F:F, Keys!$C$49)</f>
        <v>0</v>
      </c>
      <c r="H6">
        <f>INDEX(US_syvbt_psgr_totals!G:G, Keys!$C$49)</f>
        <v>0</v>
      </c>
      <c r="I6">
        <f>INDEX(US_syvbt_psgr_totals!H:H, Keys!$C$49)</f>
        <v>0</v>
      </c>
    </row>
    <row r="7" spans="1:9" x14ac:dyDescent="0.45">
      <c r="A7" t="s">
        <v>179</v>
      </c>
      <c r="B7" t="s">
        <v>194</v>
      </c>
      <c r="C7">
        <f>INDEX(US_syvbt_psgr_totals!B:B, Keys!$C$50)</f>
        <v>0</v>
      </c>
      <c r="D7">
        <f>INDEX(US_syvbt_psgr_totals!C:C, Keys!$C$50)</f>
        <v>0</v>
      </c>
      <c r="E7">
        <f>INDEX(US_syvbt_psgr_totals!D:D, Keys!$C$50)</f>
        <v>9261249</v>
      </c>
      <c r="F7">
        <f>INDEX(US_syvbt_psgr_totals!E:E, Keys!$C$50)</f>
        <v>0</v>
      </c>
      <c r="G7">
        <f>INDEX(US_syvbt_psgr_totals!F:F, Keys!$C$50)</f>
        <v>0</v>
      </c>
      <c r="H7">
        <f>INDEX(US_syvbt_psgr_totals!G:G, Keys!$C$50)</f>
        <v>0</v>
      </c>
      <c r="I7">
        <f>INDEX(US_syvbt_psgr_totals!H:H, Keys!$C$50)</f>
        <v>0</v>
      </c>
    </row>
    <row r="8" spans="1:9" x14ac:dyDescent="0.45">
      <c r="A8" t="s">
        <v>181</v>
      </c>
      <c r="B8" t="s">
        <v>184</v>
      </c>
      <c r="C8">
        <f>INDEX(US_syvbt_frgt_totals!B:B, Keys!$C$45)</f>
        <v>138292</v>
      </c>
      <c r="D8">
        <f>INDEX(US_syvbt_frgt_totals!C:C, Keys!$C$45)</f>
        <v>25267</v>
      </c>
      <c r="E8">
        <f>INDEX(US_syvbt_frgt_totals!D:D, Keys!$C$45)</f>
        <v>12833715</v>
      </c>
      <c r="F8">
        <f>INDEX(US_syvbt_frgt_totals!E:E, Keys!$C$45)</f>
        <v>10968619</v>
      </c>
      <c r="G8">
        <f>INDEX(US_syvbt_frgt_totals!F:F, Keys!$C$45)</f>
        <v>493</v>
      </c>
      <c r="H8">
        <f>INDEX(US_syvbt_frgt_totals!G:G, Keys!$C$45)</f>
        <v>2238</v>
      </c>
      <c r="I8">
        <f>INDEX(US_syvbt_frgt_totals!H:H, Keys!$C$45)</f>
        <v>0</v>
      </c>
    </row>
    <row r="9" spans="1:9" x14ac:dyDescent="0.45">
      <c r="A9" t="s">
        <v>181</v>
      </c>
      <c r="B9" t="s">
        <v>186</v>
      </c>
      <c r="C9">
        <f>INDEX(US_syvbt_frgt_totals!B:B, Keys!$C$46)</f>
        <v>2114</v>
      </c>
      <c r="D9">
        <f>INDEX(US_syvbt_frgt_totals!C:C, Keys!$C$46)</f>
        <v>57392</v>
      </c>
      <c r="E9">
        <f>INDEX(US_syvbt_frgt_totals!D:D, Keys!$C$46)</f>
        <v>38136</v>
      </c>
      <c r="F9">
        <f>INDEX(US_syvbt_frgt_totals!E:E, Keys!$C$46)</f>
        <v>5453223</v>
      </c>
      <c r="G9">
        <f>INDEX(US_syvbt_frgt_totals!F:F, Keys!$C$46)</f>
        <v>0</v>
      </c>
      <c r="H9">
        <f>INDEX(US_syvbt_frgt_totals!G:G, Keys!$C$46)</f>
        <v>3057</v>
      </c>
      <c r="I9">
        <f>INDEX(US_syvbt_frgt_totals!H:H, Keys!$C$46)</f>
        <v>0</v>
      </c>
    </row>
    <row r="10" spans="1:9" x14ac:dyDescent="0.45">
      <c r="A10" t="s">
        <v>181</v>
      </c>
      <c r="B10" t="s">
        <v>188</v>
      </c>
      <c r="C10">
        <f>INDEX(US_syvbt_frgt_totals!B:B, Keys!$C$47)</f>
        <v>0</v>
      </c>
      <c r="D10">
        <f>INDEX(US_syvbt_frgt_totals!C:C, Keys!$C$47)</f>
        <v>0</v>
      </c>
      <c r="E10">
        <f>INDEX(US_syvbt_frgt_totals!D:D, Keys!$C$47)</f>
        <v>0</v>
      </c>
      <c r="F10">
        <f>INDEX(US_syvbt_frgt_totals!E:E, Keys!$C$47)</f>
        <v>925</v>
      </c>
      <c r="G10">
        <f>INDEX(US_syvbt_frgt_totals!F:F, Keys!$C$47)</f>
        <v>0</v>
      </c>
      <c r="H10">
        <f>INDEX(US_syvbt_frgt_totals!G:G, Keys!$C$47)</f>
        <v>0</v>
      </c>
      <c r="I10">
        <f>INDEX(US_syvbt_frgt_totals!H:H, Keys!$C$47)</f>
        <v>0</v>
      </c>
    </row>
    <row r="11" spans="1:9" x14ac:dyDescent="0.45">
      <c r="A11" t="s">
        <v>181</v>
      </c>
      <c r="B11" t="s">
        <v>190</v>
      </c>
      <c r="C11">
        <f>INDEX(US_syvbt_frgt_totals!B:B, Keys!$C$48)</f>
        <v>0</v>
      </c>
      <c r="D11">
        <f>INDEX(US_syvbt_frgt_totals!C:C, Keys!$C$48)</f>
        <v>0</v>
      </c>
      <c r="E11">
        <f>INDEX(US_syvbt_frgt_totals!D:D, Keys!$C$48)</f>
        <v>0</v>
      </c>
      <c r="F11">
        <f>INDEX(US_syvbt_frgt_totals!E:E, Keys!$C$48)</f>
        <v>24526</v>
      </c>
      <c r="G11">
        <f>INDEX(US_syvbt_frgt_totals!F:F, Keys!$C$48)</f>
        <v>0</v>
      </c>
      <c r="H11">
        <f>INDEX(US_syvbt_frgt_totals!G:G, Keys!$C$48)</f>
        <v>0</v>
      </c>
      <c r="I11">
        <f>INDEX(US_syvbt_frgt_totals!H:H, Keys!$C$48)</f>
        <v>0</v>
      </c>
    </row>
    <row r="12" spans="1:9" x14ac:dyDescent="0.45">
      <c r="A12" t="s">
        <v>181</v>
      </c>
      <c r="B12" t="s">
        <v>192</v>
      </c>
      <c r="C12">
        <f>INDEX(US_syvbt_frgt_totals!B:B, Keys!$C$49)</f>
        <v>0</v>
      </c>
      <c r="D12">
        <f>INDEX(US_syvbt_frgt_totals!C:C, Keys!$C$49)</f>
        <v>0</v>
      </c>
      <c r="E12">
        <f>INDEX(US_syvbt_frgt_totals!D:D, Keys!$C$49)</f>
        <v>0</v>
      </c>
      <c r="F12">
        <f>INDEX(US_syvbt_frgt_totals!E:E, Keys!$C$49)</f>
        <v>164</v>
      </c>
      <c r="G12">
        <f>INDEX(US_syvbt_frgt_totals!F:F, Keys!$C$49)</f>
        <v>0</v>
      </c>
      <c r="H12">
        <f>INDEX(US_syvbt_frgt_totals!G:G, Keys!$C$49)</f>
        <v>0</v>
      </c>
      <c r="I12">
        <f>INDEX(US_syvbt_frgt_totals!H:H, Keys!$C$49)</f>
        <v>0</v>
      </c>
    </row>
    <row r="13" spans="1:9" x14ac:dyDescent="0.45">
      <c r="A13" t="s">
        <v>181</v>
      </c>
      <c r="B13" t="s">
        <v>194</v>
      </c>
      <c r="C13">
        <f>INDEX(US_syvbt_frgt_totals!B:B, Keys!$C$50)</f>
        <v>0</v>
      </c>
      <c r="D13">
        <f>INDEX(US_syvbt_frgt_totals!C:C, Keys!$C$50)</f>
        <v>0</v>
      </c>
      <c r="E13">
        <f>INDEX(US_syvbt_frgt_totals!D:D, Keys!$C$50)</f>
        <v>0</v>
      </c>
      <c r="F13">
        <f>INDEX(US_syvbt_frgt_totals!E:E, Keys!$C$50)</f>
        <v>0</v>
      </c>
      <c r="G13">
        <f>INDEX(US_syvbt_frgt_totals!F:F, Keys!$C$50)</f>
        <v>0</v>
      </c>
      <c r="H13">
        <f>INDEX(US_syvbt_frgt_totals!G:G, Keys!$C$50)</f>
        <v>0</v>
      </c>
      <c r="I13">
        <f>INDEX(US_syvbt_frgt_totals!H:H, Keys!$C$50)</f>
        <v>0</v>
      </c>
    </row>
    <row r="15" spans="1:9" x14ac:dyDescent="0.45">
      <c r="A15" s="4" t="s">
        <v>374</v>
      </c>
      <c r="B15" s="4" t="s">
        <v>375</v>
      </c>
      <c r="C15" s="4">
        <f t="shared" ref="C15:I15" si="0">SUM(C2:C14)</f>
        <v>4913223</v>
      </c>
      <c r="D15" s="4">
        <f t="shared" si="0"/>
        <v>225567</v>
      </c>
      <c r="E15" s="4">
        <f t="shared" si="0"/>
        <v>290098804</v>
      </c>
      <c r="F15" s="4">
        <f t="shared" si="0"/>
        <v>21300492</v>
      </c>
      <c r="G15" s="4">
        <f t="shared" si="0"/>
        <v>1418318</v>
      </c>
      <c r="H15" s="4">
        <f t="shared" si="0"/>
        <v>65858</v>
      </c>
      <c r="I15" s="4">
        <f t="shared" si="0"/>
        <v>17268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M51"/>
  <sheetViews>
    <sheetView workbookViewId="0">
      <pane xSplit="2" ySplit="2" topLeftCell="C3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6" customWidth="1"/>
    <col min="2" max="2" width="22" customWidth="1"/>
    <col min="3" max="11" width="14" customWidth="1"/>
  </cols>
  <sheetData>
    <row r="1" spans="1:13" ht="45" customHeight="1" x14ac:dyDescent="0.45">
      <c r="A1" s="2" t="s">
        <v>376</v>
      </c>
    </row>
    <row r="2" spans="1:13" x14ac:dyDescent="0.45">
      <c r="A2" s="4" t="s">
        <v>349</v>
      </c>
      <c r="B2" s="4" t="s">
        <v>350</v>
      </c>
      <c r="C2" s="4" t="s">
        <v>197</v>
      </c>
      <c r="D2" s="4" t="s">
        <v>209</v>
      </c>
      <c r="E2" s="4" t="s">
        <v>200</v>
      </c>
      <c r="F2" s="4" t="s">
        <v>203</v>
      </c>
      <c r="G2" s="4" t="s">
        <v>206</v>
      </c>
      <c r="H2" s="4" t="s">
        <v>212</v>
      </c>
      <c r="I2" s="4" t="s">
        <v>215</v>
      </c>
      <c r="J2" s="4" t="s">
        <v>377</v>
      </c>
      <c r="K2" s="4" t="s">
        <v>378</v>
      </c>
      <c r="L2" s="4" t="s">
        <v>379</v>
      </c>
      <c r="M2" s="4" t="s">
        <v>380</v>
      </c>
    </row>
    <row r="3" spans="1:13" x14ac:dyDescent="0.45">
      <c r="A3" t="s">
        <v>39</v>
      </c>
      <c r="B3" t="str">
        <f>INDEX(Geography!C:C, MATCH(A3, Geography!B:B, 0))</f>
        <v>Alabama</v>
      </c>
      <c r="C3">
        <f>IFERROR(INDEX(AFDC_state_fuel_2024!B:B, MATCH(B3, AFDC_state_fuel_2024!A:A, 0)), 0)</f>
        <v>17500</v>
      </c>
      <c r="D3">
        <f>IF($B3=Keys!$C$62,C3*(IFERROR(INDEX(AFDC_state_fuel_2024!C:C, MATCH(Keys!$C$63, AFDC_state_fuel_2024!A:A, 0)), 0))/(IFERROR(INDEX(AFDC_state_fuel_2024!B:B, MATCH(Keys!$C$63, AFDC_state_fuel_2024!A:A, 0)), 0)),L3)</f>
        <v>6800</v>
      </c>
      <c r="E3">
        <f>IFERROR(INDEX(AFDC_state_fuel_2024!G:G, MATCH(B3, AFDC_state_fuel_2024!A:A, 0)), 0)</f>
        <v>100</v>
      </c>
      <c r="F3">
        <f>(IFERROR(INDEX(AFDC_state_fuel_2024!K:K, MATCH(B3, AFDC_state_fuel_2024!A:A, 0)), 0) + IFERROR(INDEX(AFDC_state_fuel_2024!D:D, MATCH(B3, AFDC_state_fuel_2024!A:A, 0)), 0) + IFERROR(INDEX(AFDC_state_fuel_2024!F:F, MATCH(B3, AFDC_state_fuel_2024!A:A, 0)), 0) + IFERROR(INDEX(AFDC_state_fuel_2024!J:J, MATCH(B3, AFDC_state_fuel_2024!A:A, 0)), 0)) + (IFERROR(INDEX(AFDC_state_fuel_2024!M:M, MATCH(B3, AFDC_state_fuel_2024!A:A, 0)), 0))*(IFERROR(INDEX(AFDC_state_fuel_2024!K:K, MATCH(B3, AFDC_state_fuel_2024!A:A, 0)), 0) + IFERROR(INDEX(AFDC_state_fuel_2024!D:D, MATCH(B3, AFDC_state_fuel_2024!A:A, 0)), 0) + IFERROR(INDEX(AFDC_state_fuel_2024!F:F, MATCH(B3, AFDC_state_fuel_2024!A:A, 0)), 0) + IFERROR(INDEX(AFDC_state_fuel_2024!J:J, MATCH(B3, AFDC_state_fuel_2024!A:A, 0)), 0))/((IFERROR(INDEX(AFDC_state_fuel_2024!K:K, MATCH(B3, AFDC_state_fuel_2024!A:A, 0)), 0) + IFERROR(INDEX(AFDC_state_fuel_2024!D:D, MATCH(B3, AFDC_state_fuel_2024!A:A, 0)), 0) + IFERROR(INDEX(AFDC_state_fuel_2024!F:F, MATCH(B3, AFDC_state_fuel_2024!A:A, 0)), 0) + IFERROR(INDEX(AFDC_state_fuel_2024!J:J, MATCH(B3, AFDC_state_fuel_2024!A:A, 0)), 0))+(IFERROR(INDEX(AFDC_state_fuel_2024!L:L, MATCH(B3, AFDC_state_fuel_2024!A:A, 0)), 0) + IFERROR(INDEX(AFDC_state_fuel_2024!E:E, MATCH(B3, AFDC_state_fuel_2024!A:A, 0)), 0)))</f>
        <v>4669216.3422513045</v>
      </c>
      <c r="G3">
        <f>National_totals!$F$2*K3/SUM(K3:K50)</f>
        <v>28594.467525828575</v>
      </c>
      <c r="H3">
        <f>IFERROR(INDEX(AFDC_state_fuel_2024!H:H, MATCH(B3, AFDC_state_fuel_2024!A:A, 0)), 0)</f>
        <v>100</v>
      </c>
      <c r="I3">
        <f>IFERROR(INDEX(AFDC_state_fuel_2024!I:I, MATCH(B3, AFDC_state_fuel_2024!A:A, 0)), 0)</f>
        <v>0</v>
      </c>
      <c r="J3">
        <f>IFERROR(INDEX(AFDC_state_fuel_2024!M:M, MATCH(B3, AFDC_state_fuel_2024!A:A, 0)), 0)</f>
        <v>28000</v>
      </c>
      <c r="K3">
        <f>(IFERROR(INDEX(AFDC_state_fuel_2024!L:L, MATCH(B3, AFDC_state_fuel_2024!A:A, 0)), 0) + IFERROR(INDEX(AFDC_state_fuel_2024!E:E, MATCH(B3, AFDC_state_fuel_2024!A:A, 0)), 0)) + (IFERROR(INDEX(AFDC_state_fuel_2024!M:M, MATCH(B3, AFDC_state_fuel_2024!A:A, 0)), 0))*(IFERROR(INDEX(AFDC_state_fuel_2024!L:L, MATCH(B3, AFDC_state_fuel_2024!A:A, 0)), 0) + IFERROR(INDEX(AFDC_state_fuel_2024!E:E, MATCH(B3, AFDC_state_fuel_2024!A:A, 0)), 0))/((IFERROR(INDEX(AFDC_state_fuel_2024!K:K, MATCH(B3, AFDC_state_fuel_2024!A:A, 0)), 0) + IFERROR(INDEX(AFDC_state_fuel_2024!D:D, MATCH(B3, AFDC_state_fuel_2024!A:A, 0)), 0) + IFERROR(INDEX(AFDC_state_fuel_2024!F:F, MATCH(B3, AFDC_state_fuel_2024!A:A, 0)), 0) + IFERROR(INDEX(AFDC_state_fuel_2024!J:J, MATCH(B3, AFDC_state_fuel_2024!A:A, 0)), 0))+(IFERROR(INDEX(AFDC_state_fuel_2024!L:L, MATCH(B3, AFDC_state_fuel_2024!A:A, 0)), 0) + IFERROR(INDEX(AFDC_state_fuel_2024!E:E, MATCH(B3, AFDC_state_fuel_2024!A:A, 0)), 0)))</f>
        <v>187983.65774869543</v>
      </c>
      <c r="L3">
        <f>IFERROR(INDEX(AFDC_state_fuel_2024!C:C, MATCH(B3, AFDC_state_fuel_2024!A:A, 0)), 0)</f>
        <v>6800</v>
      </c>
      <c r="M3" t="str">
        <f>IF($B3=Keys!$C$62,"OVERRIDDEN (see Keys / methodology 9.5)","")</f>
        <v/>
      </c>
    </row>
    <row r="4" spans="1:13" x14ac:dyDescent="0.45">
      <c r="A4" t="s">
        <v>41</v>
      </c>
      <c r="B4" t="str">
        <f>INDEX(Geography!C:C, MATCH(A4, Geography!B:B, 0))</f>
        <v>Arizona</v>
      </c>
      <c r="C4">
        <f>IFERROR(INDEX(AFDC_state_fuel_2024!B:B, MATCH(B4, AFDC_state_fuel_2024!A:A, 0)), 0)</f>
        <v>111200</v>
      </c>
      <c r="D4">
        <f>IF($B4=Keys!$C$62,C4*(IFERROR(INDEX(AFDC_state_fuel_2024!C:C, MATCH(Keys!$C$63, AFDC_state_fuel_2024!A:A, 0)), 0))/(IFERROR(INDEX(AFDC_state_fuel_2024!B:B, MATCH(Keys!$C$63, AFDC_state_fuel_2024!A:A, 0)), 0)),L4)</f>
        <v>29300</v>
      </c>
      <c r="E4">
        <f>IFERROR(INDEX(AFDC_state_fuel_2024!G:G, MATCH(B4, AFDC_state_fuel_2024!A:A, 0)), 0)</f>
        <v>500</v>
      </c>
      <c r="F4">
        <f>(IFERROR(INDEX(AFDC_state_fuel_2024!K:K, MATCH(B4, AFDC_state_fuel_2024!A:A, 0)), 0) + IFERROR(INDEX(AFDC_state_fuel_2024!D:D, MATCH(B4, AFDC_state_fuel_2024!A:A, 0)), 0) + IFERROR(INDEX(AFDC_state_fuel_2024!F:F, MATCH(B4, AFDC_state_fuel_2024!A:A, 0)), 0) + IFERROR(INDEX(AFDC_state_fuel_2024!J:J, MATCH(B4, AFDC_state_fuel_2024!A:A, 0)), 0)) + (IFERROR(INDEX(AFDC_state_fuel_2024!M:M, MATCH(B4, AFDC_state_fuel_2024!A:A, 0)), 0))*(IFERROR(INDEX(AFDC_state_fuel_2024!K:K, MATCH(B4, AFDC_state_fuel_2024!A:A, 0)), 0) + IFERROR(INDEX(AFDC_state_fuel_2024!D:D, MATCH(B4, AFDC_state_fuel_2024!A:A, 0)), 0) + IFERROR(INDEX(AFDC_state_fuel_2024!F:F, MATCH(B4, AFDC_state_fuel_2024!A:A, 0)), 0) + IFERROR(INDEX(AFDC_state_fuel_2024!J:J, MATCH(B4, AFDC_state_fuel_2024!A:A, 0)), 0))/((IFERROR(INDEX(AFDC_state_fuel_2024!K:K, MATCH(B4, AFDC_state_fuel_2024!A:A, 0)), 0) + IFERROR(INDEX(AFDC_state_fuel_2024!D:D, MATCH(B4, AFDC_state_fuel_2024!A:A, 0)), 0) + IFERROR(INDEX(AFDC_state_fuel_2024!F:F, MATCH(B4, AFDC_state_fuel_2024!A:A, 0)), 0) + IFERROR(INDEX(AFDC_state_fuel_2024!J:J, MATCH(B4, AFDC_state_fuel_2024!A:A, 0)), 0))+(IFERROR(INDEX(AFDC_state_fuel_2024!L:L, MATCH(B4, AFDC_state_fuel_2024!A:A, 0)), 0) + IFERROR(INDEX(AFDC_state_fuel_2024!E:E, MATCH(B4, AFDC_state_fuel_2024!A:A, 0)), 0)))</f>
        <v>6168717.5755677372</v>
      </c>
      <c r="G4">
        <f>National_totals!$F$2*K4/SUM(K3:K50)</f>
        <v>42056.143611481384</v>
      </c>
      <c r="H4">
        <f>IFERROR(INDEX(AFDC_state_fuel_2024!H:H, MATCH(B4, AFDC_state_fuel_2024!A:A, 0)), 0)</f>
        <v>700</v>
      </c>
      <c r="I4">
        <f>IFERROR(INDEX(AFDC_state_fuel_2024!I:I, MATCH(B4, AFDC_state_fuel_2024!A:A, 0)), 0)</f>
        <v>0</v>
      </c>
      <c r="J4">
        <f>IFERROR(INDEX(AFDC_state_fuel_2024!M:M, MATCH(B4, AFDC_state_fuel_2024!A:A, 0)), 0)</f>
        <v>60200</v>
      </c>
      <c r="K4">
        <f>(IFERROR(INDEX(AFDC_state_fuel_2024!L:L, MATCH(B4, AFDC_state_fuel_2024!A:A, 0)), 0) + IFERROR(INDEX(AFDC_state_fuel_2024!E:E, MATCH(B4, AFDC_state_fuel_2024!A:A, 0)), 0)) + (IFERROR(INDEX(AFDC_state_fuel_2024!M:M, MATCH(B4, AFDC_state_fuel_2024!A:A, 0)), 0))*(IFERROR(INDEX(AFDC_state_fuel_2024!L:L, MATCH(B4, AFDC_state_fuel_2024!A:A, 0)), 0) + IFERROR(INDEX(AFDC_state_fuel_2024!E:E, MATCH(B4, AFDC_state_fuel_2024!A:A, 0)), 0))/((IFERROR(INDEX(AFDC_state_fuel_2024!K:K, MATCH(B4, AFDC_state_fuel_2024!A:A, 0)), 0) + IFERROR(INDEX(AFDC_state_fuel_2024!D:D, MATCH(B4, AFDC_state_fuel_2024!A:A, 0)), 0) + IFERROR(INDEX(AFDC_state_fuel_2024!F:F, MATCH(B4, AFDC_state_fuel_2024!A:A, 0)), 0) + IFERROR(INDEX(AFDC_state_fuel_2024!J:J, MATCH(B4, AFDC_state_fuel_2024!A:A, 0)), 0))+(IFERROR(INDEX(AFDC_state_fuel_2024!L:L, MATCH(B4, AFDC_state_fuel_2024!A:A, 0)), 0) + IFERROR(INDEX(AFDC_state_fuel_2024!E:E, MATCH(B4, AFDC_state_fuel_2024!A:A, 0)), 0)))</f>
        <v>276482.42443226313</v>
      </c>
      <c r="L4">
        <f>IFERROR(INDEX(AFDC_state_fuel_2024!C:C, MATCH(B4, AFDC_state_fuel_2024!A:A, 0)), 0)</f>
        <v>29300</v>
      </c>
      <c r="M4" t="str">
        <f>IF($B4=Keys!$C$62,"OVERRIDDEN (see Keys / methodology 9.5)","")</f>
        <v/>
      </c>
    </row>
    <row r="5" spans="1:13" x14ac:dyDescent="0.45">
      <c r="A5" t="s">
        <v>45</v>
      </c>
      <c r="B5" t="str">
        <f>INDEX(Geography!C:C, MATCH(A5, Geography!B:B, 0))</f>
        <v>Arkansas</v>
      </c>
      <c r="C5">
        <f>IFERROR(INDEX(AFDC_state_fuel_2024!B:B, MATCH(B5, AFDC_state_fuel_2024!A:A, 0)), 0)</f>
        <v>9500</v>
      </c>
      <c r="D5">
        <f>IF($B5=Keys!$C$62,C5*(IFERROR(INDEX(AFDC_state_fuel_2024!C:C, MATCH(Keys!$C$63, AFDC_state_fuel_2024!A:A, 0)), 0))/(IFERROR(INDEX(AFDC_state_fuel_2024!B:B, MATCH(Keys!$C$63, AFDC_state_fuel_2024!A:A, 0)), 0)),L5)</f>
        <v>3800</v>
      </c>
      <c r="E5">
        <f>IFERROR(INDEX(AFDC_state_fuel_2024!G:G, MATCH(B5, AFDC_state_fuel_2024!A:A, 0)), 0)</f>
        <v>200</v>
      </c>
      <c r="F5">
        <f>(IFERROR(INDEX(AFDC_state_fuel_2024!K:K, MATCH(B5, AFDC_state_fuel_2024!A:A, 0)), 0) + IFERROR(INDEX(AFDC_state_fuel_2024!D:D, MATCH(B5, AFDC_state_fuel_2024!A:A, 0)), 0) + IFERROR(INDEX(AFDC_state_fuel_2024!F:F, MATCH(B5, AFDC_state_fuel_2024!A:A, 0)), 0) + IFERROR(INDEX(AFDC_state_fuel_2024!J:J, MATCH(B5, AFDC_state_fuel_2024!A:A, 0)), 0)) + (IFERROR(INDEX(AFDC_state_fuel_2024!M:M, MATCH(B5, AFDC_state_fuel_2024!A:A, 0)), 0))*(IFERROR(INDEX(AFDC_state_fuel_2024!K:K, MATCH(B5, AFDC_state_fuel_2024!A:A, 0)), 0) + IFERROR(INDEX(AFDC_state_fuel_2024!D:D, MATCH(B5, AFDC_state_fuel_2024!A:A, 0)), 0) + IFERROR(INDEX(AFDC_state_fuel_2024!F:F, MATCH(B5, AFDC_state_fuel_2024!A:A, 0)), 0) + IFERROR(INDEX(AFDC_state_fuel_2024!J:J, MATCH(B5, AFDC_state_fuel_2024!A:A, 0)), 0))/((IFERROR(INDEX(AFDC_state_fuel_2024!K:K, MATCH(B5, AFDC_state_fuel_2024!A:A, 0)), 0) + IFERROR(INDEX(AFDC_state_fuel_2024!D:D, MATCH(B5, AFDC_state_fuel_2024!A:A, 0)), 0) + IFERROR(INDEX(AFDC_state_fuel_2024!F:F, MATCH(B5, AFDC_state_fuel_2024!A:A, 0)), 0) + IFERROR(INDEX(AFDC_state_fuel_2024!J:J, MATCH(B5, AFDC_state_fuel_2024!A:A, 0)), 0))+(IFERROR(INDEX(AFDC_state_fuel_2024!L:L, MATCH(B5, AFDC_state_fuel_2024!A:A, 0)), 0) + IFERROR(INDEX(AFDC_state_fuel_2024!E:E, MATCH(B5, AFDC_state_fuel_2024!A:A, 0)), 0)))</f>
        <v>2592116.8957511885</v>
      </c>
      <c r="G5">
        <f>National_totals!$F$2*K5/SUM(K3:K50)</f>
        <v>20015.297321325103</v>
      </c>
      <c r="H5">
        <f>IFERROR(INDEX(AFDC_state_fuel_2024!H:H, MATCH(B5, AFDC_state_fuel_2024!A:A, 0)), 0)</f>
        <v>0</v>
      </c>
      <c r="I5">
        <f>IFERROR(INDEX(AFDC_state_fuel_2024!I:I, MATCH(B5, AFDC_state_fuel_2024!A:A, 0)), 0)</f>
        <v>0</v>
      </c>
      <c r="J5">
        <f>IFERROR(INDEX(AFDC_state_fuel_2024!M:M, MATCH(B5, AFDC_state_fuel_2024!A:A, 0)), 0)</f>
        <v>10000</v>
      </c>
      <c r="K5">
        <f>(IFERROR(INDEX(AFDC_state_fuel_2024!L:L, MATCH(B5, AFDC_state_fuel_2024!A:A, 0)), 0) + IFERROR(INDEX(AFDC_state_fuel_2024!E:E, MATCH(B5, AFDC_state_fuel_2024!A:A, 0)), 0)) + (IFERROR(INDEX(AFDC_state_fuel_2024!M:M, MATCH(B5, AFDC_state_fuel_2024!A:A, 0)), 0))*(IFERROR(INDEX(AFDC_state_fuel_2024!L:L, MATCH(B5, AFDC_state_fuel_2024!A:A, 0)), 0) + IFERROR(INDEX(AFDC_state_fuel_2024!E:E, MATCH(B5, AFDC_state_fuel_2024!A:A, 0)), 0))/((IFERROR(INDEX(AFDC_state_fuel_2024!K:K, MATCH(B5, AFDC_state_fuel_2024!A:A, 0)), 0) + IFERROR(INDEX(AFDC_state_fuel_2024!D:D, MATCH(B5, AFDC_state_fuel_2024!A:A, 0)), 0) + IFERROR(INDEX(AFDC_state_fuel_2024!F:F, MATCH(B5, AFDC_state_fuel_2024!A:A, 0)), 0) + IFERROR(INDEX(AFDC_state_fuel_2024!J:J, MATCH(B5, AFDC_state_fuel_2024!A:A, 0)), 0))+(IFERROR(INDEX(AFDC_state_fuel_2024!L:L, MATCH(B5, AFDC_state_fuel_2024!A:A, 0)), 0) + IFERROR(INDEX(AFDC_state_fuel_2024!E:E, MATCH(B5, AFDC_state_fuel_2024!A:A, 0)), 0)))</f>
        <v>131583.10424881158</v>
      </c>
      <c r="L5">
        <f>IFERROR(INDEX(AFDC_state_fuel_2024!C:C, MATCH(B5, AFDC_state_fuel_2024!A:A, 0)), 0)</f>
        <v>3800</v>
      </c>
      <c r="M5" t="str">
        <f>IF($B5=Keys!$C$62,"OVERRIDDEN (see Keys / methodology 9.5)","")</f>
        <v/>
      </c>
    </row>
    <row r="6" spans="1:13" x14ac:dyDescent="0.45">
      <c r="A6" t="s">
        <v>48</v>
      </c>
      <c r="B6" t="str">
        <f>INDEX(Geography!C:C, MATCH(A6, Geography!B:B, 0))</f>
        <v>California</v>
      </c>
      <c r="C6">
        <f>IFERROR(INDEX(AFDC_state_fuel_2024!B:B, MATCH(B6, AFDC_state_fuel_2024!A:A, 0)), 0)</f>
        <v>1533900</v>
      </c>
      <c r="D6">
        <f>IF($B6=Keys!$C$62,C6*(IFERROR(INDEX(AFDC_state_fuel_2024!C:C, MATCH(Keys!$C$63, AFDC_state_fuel_2024!A:A, 0)), 0))/(IFERROR(INDEX(AFDC_state_fuel_2024!B:B, MATCH(Keys!$C$63, AFDC_state_fuel_2024!A:A, 0)), 0)),L6)</f>
        <v>447100</v>
      </c>
      <c r="E6">
        <f>IFERROR(INDEX(AFDC_state_fuel_2024!G:G, MATCH(B6, AFDC_state_fuel_2024!A:A, 0)), 0)</f>
        <v>10000</v>
      </c>
      <c r="F6">
        <f>(IFERROR(INDEX(AFDC_state_fuel_2024!K:K, MATCH(B6, AFDC_state_fuel_2024!A:A, 0)), 0) + IFERROR(INDEX(AFDC_state_fuel_2024!D:D, MATCH(B6, AFDC_state_fuel_2024!A:A, 0)), 0) + IFERROR(INDEX(AFDC_state_fuel_2024!F:F, MATCH(B6, AFDC_state_fuel_2024!A:A, 0)), 0) + IFERROR(INDEX(AFDC_state_fuel_2024!J:J, MATCH(B6, AFDC_state_fuel_2024!A:A, 0)), 0)) + (IFERROR(INDEX(AFDC_state_fuel_2024!M:M, MATCH(B6, AFDC_state_fuel_2024!A:A, 0)), 0))*(IFERROR(INDEX(AFDC_state_fuel_2024!K:K, MATCH(B6, AFDC_state_fuel_2024!A:A, 0)), 0) + IFERROR(INDEX(AFDC_state_fuel_2024!D:D, MATCH(B6, AFDC_state_fuel_2024!A:A, 0)), 0) + IFERROR(INDEX(AFDC_state_fuel_2024!F:F, MATCH(B6, AFDC_state_fuel_2024!A:A, 0)), 0) + IFERROR(INDEX(AFDC_state_fuel_2024!J:J, MATCH(B6, AFDC_state_fuel_2024!A:A, 0)), 0))/((IFERROR(INDEX(AFDC_state_fuel_2024!K:K, MATCH(B6, AFDC_state_fuel_2024!A:A, 0)), 0) + IFERROR(INDEX(AFDC_state_fuel_2024!D:D, MATCH(B6, AFDC_state_fuel_2024!A:A, 0)), 0) + IFERROR(INDEX(AFDC_state_fuel_2024!F:F, MATCH(B6, AFDC_state_fuel_2024!A:A, 0)), 0) + IFERROR(INDEX(AFDC_state_fuel_2024!J:J, MATCH(B6, AFDC_state_fuel_2024!A:A, 0)), 0))+(IFERROR(INDEX(AFDC_state_fuel_2024!L:L, MATCH(B6, AFDC_state_fuel_2024!A:A, 0)), 0) + IFERROR(INDEX(AFDC_state_fuel_2024!E:E, MATCH(B6, AFDC_state_fuel_2024!A:A, 0)), 0)))</f>
        <v>34464186.969450518</v>
      </c>
      <c r="G6">
        <f>National_totals!$F$2*K6/SUM(K3:K50)</f>
        <v>145283.63189981855</v>
      </c>
      <c r="H6">
        <f>IFERROR(INDEX(AFDC_state_fuel_2024!H:H, MATCH(B6, AFDC_state_fuel_2024!A:A, 0)), 0)</f>
        <v>1500</v>
      </c>
      <c r="I6">
        <f>IFERROR(INDEX(AFDC_state_fuel_2024!I:I, MATCH(B6, AFDC_state_fuel_2024!A:A, 0)), 0)</f>
        <v>16900</v>
      </c>
      <c r="J6">
        <f>IFERROR(INDEX(AFDC_state_fuel_2024!M:M, MATCH(B6, AFDC_state_fuel_2024!A:A, 0)), 0)</f>
        <v>7900</v>
      </c>
      <c r="K6">
        <f>(IFERROR(INDEX(AFDC_state_fuel_2024!L:L, MATCH(B6, AFDC_state_fuel_2024!A:A, 0)), 0) + IFERROR(INDEX(AFDC_state_fuel_2024!E:E, MATCH(B6, AFDC_state_fuel_2024!A:A, 0)), 0)) + (IFERROR(INDEX(AFDC_state_fuel_2024!M:M, MATCH(B6, AFDC_state_fuel_2024!A:A, 0)), 0))*(IFERROR(INDEX(AFDC_state_fuel_2024!L:L, MATCH(B6, AFDC_state_fuel_2024!A:A, 0)), 0) + IFERROR(INDEX(AFDC_state_fuel_2024!E:E, MATCH(B6, AFDC_state_fuel_2024!A:A, 0)), 0))/((IFERROR(INDEX(AFDC_state_fuel_2024!K:K, MATCH(B6, AFDC_state_fuel_2024!A:A, 0)), 0) + IFERROR(INDEX(AFDC_state_fuel_2024!D:D, MATCH(B6, AFDC_state_fuel_2024!A:A, 0)), 0) + IFERROR(INDEX(AFDC_state_fuel_2024!F:F, MATCH(B6, AFDC_state_fuel_2024!A:A, 0)), 0) + IFERROR(INDEX(AFDC_state_fuel_2024!J:J, MATCH(B6, AFDC_state_fuel_2024!A:A, 0)), 0))+(IFERROR(INDEX(AFDC_state_fuel_2024!L:L, MATCH(B6, AFDC_state_fuel_2024!A:A, 0)), 0) + IFERROR(INDEX(AFDC_state_fuel_2024!E:E, MATCH(B6, AFDC_state_fuel_2024!A:A, 0)), 0)))</f>
        <v>955113.03054948407</v>
      </c>
      <c r="L6">
        <f>IFERROR(INDEX(AFDC_state_fuel_2024!C:C, MATCH(B6, AFDC_state_fuel_2024!A:A, 0)), 0)</f>
        <v>447100</v>
      </c>
      <c r="M6" t="str">
        <f>IF($B6=Keys!$C$62,"OVERRIDDEN (see Keys / methodology 9.5)","")</f>
        <v/>
      </c>
    </row>
    <row r="7" spans="1:13" x14ac:dyDescent="0.45">
      <c r="A7" t="s">
        <v>52</v>
      </c>
      <c r="B7" t="str">
        <f>INDEX(Geography!C:C, MATCH(A7, Geography!B:B, 0))</f>
        <v>Colorado</v>
      </c>
      <c r="C7">
        <f>IFERROR(INDEX(AFDC_state_fuel_2024!B:B, MATCH(B7, AFDC_state_fuel_2024!A:A, 0)), 0)</f>
        <v>127000</v>
      </c>
      <c r="D7">
        <f>IF($B7=Keys!$C$62,C7*(IFERROR(INDEX(AFDC_state_fuel_2024!C:C, MATCH(Keys!$C$63, AFDC_state_fuel_2024!A:A, 0)), 0))/(IFERROR(INDEX(AFDC_state_fuel_2024!B:B, MATCH(Keys!$C$63, AFDC_state_fuel_2024!A:A, 0)), 0)),L7)</f>
        <v>48700</v>
      </c>
      <c r="E7">
        <f>IFERROR(INDEX(AFDC_state_fuel_2024!G:G, MATCH(B7, AFDC_state_fuel_2024!A:A, 0)), 0)</f>
        <v>300</v>
      </c>
      <c r="F7">
        <f>(IFERROR(INDEX(AFDC_state_fuel_2024!K:K, MATCH(B7, AFDC_state_fuel_2024!A:A, 0)), 0) + IFERROR(INDEX(AFDC_state_fuel_2024!D:D, MATCH(B7, AFDC_state_fuel_2024!A:A, 0)), 0) + IFERROR(INDEX(AFDC_state_fuel_2024!F:F, MATCH(B7, AFDC_state_fuel_2024!A:A, 0)), 0) + IFERROR(INDEX(AFDC_state_fuel_2024!J:J, MATCH(B7, AFDC_state_fuel_2024!A:A, 0)), 0)) + (IFERROR(INDEX(AFDC_state_fuel_2024!M:M, MATCH(B7, AFDC_state_fuel_2024!A:A, 0)), 0))*(IFERROR(INDEX(AFDC_state_fuel_2024!K:K, MATCH(B7, AFDC_state_fuel_2024!A:A, 0)), 0) + IFERROR(INDEX(AFDC_state_fuel_2024!D:D, MATCH(B7, AFDC_state_fuel_2024!A:A, 0)), 0) + IFERROR(INDEX(AFDC_state_fuel_2024!F:F, MATCH(B7, AFDC_state_fuel_2024!A:A, 0)), 0) + IFERROR(INDEX(AFDC_state_fuel_2024!J:J, MATCH(B7, AFDC_state_fuel_2024!A:A, 0)), 0))/((IFERROR(INDEX(AFDC_state_fuel_2024!K:K, MATCH(B7, AFDC_state_fuel_2024!A:A, 0)), 0) + IFERROR(INDEX(AFDC_state_fuel_2024!D:D, MATCH(B7, AFDC_state_fuel_2024!A:A, 0)), 0) + IFERROR(INDEX(AFDC_state_fuel_2024!F:F, MATCH(B7, AFDC_state_fuel_2024!A:A, 0)), 0) + IFERROR(INDEX(AFDC_state_fuel_2024!J:J, MATCH(B7, AFDC_state_fuel_2024!A:A, 0)), 0))+(IFERROR(INDEX(AFDC_state_fuel_2024!L:L, MATCH(B7, AFDC_state_fuel_2024!A:A, 0)), 0) + IFERROR(INDEX(AFDC_state_fuel_2024!E:E, MATCH(B7, AFDC_state_fuel_2024!A:A, 0)), 0)))</f>
        <v>5042342.3260754114</v>
      </c>
      <c r="G7">
        <f>National_totals!$F$2*K7/SUM(K3:K50)</f>
        <v>41915.478467085974</v>
      </c>
      <c r="H7">
        <f>IFERROR(INDEX(AFDC_state_fuel_2024!H:H, MATCH(B7, AFDC_state_fuel_2024!A:A, 0)), 0)</f>
        <v>100</v>
      </c>
      <c r="I7">
        <f>IFERROR(INDEX(AFDC_state_fuel_2024!I:I, MATCH(B7, AFDC_state_fuel_2024!A:A, 0)), 0)</f>
        <v>0</v>
      </c>
      <c r="J7">
        <f>IFERROR(INDEX(AFDC_state_fuel_2024!M:M, MATCH(B7, AFDC_state_fuel_2024!A:A, 0)), 0)</f>
        <v>45500</v>
      </c>
      <c r="K7">
        <f>(IFERROR(INDEX(AFDC_state_fuel_2024!L:L, MATCH(B7, AFDC_state_fuel_2024!A:A, 0)), 0) + IFERROR(INDEX(AFDC_state_fuel_2024!E:E, MATCH(B7, AFDC_state_fuel_2024!A:A, 0)), 0)) + (IFERROR(INDEX(AFDC_state_fuel_2024!M:M, MATCH(B7, AFDC_state_fuel_2024!A:A, 0)), 0))*(IFERROR(INDEX(AFDC_state_fuel_2024!L:L, MATCH(B7, AFDC_state_fuel_2024!A:A, 0)), 0) + IFERROR(INDEX(AFDC_state_fuel_2024!E:E, MATCH(B7, AFDC_state_fuel_2024!A:A, 0)), 0))/((IFERROR(INDEX(AFDC_state_fuel_2024!K:K, MATCH(B7, AFDC_state_fuel_2024!A:A, 0)), 0) + IFERROR(INDEX(AFDC_state_fuel_2024!D:D, MATCH(B7, AFDC_state_fuel_2024!A:A, 0)), 0) + IFERROR(INDEX(AFDC_state_fuel_2024!F:F, MATCH(B7, AFDC_state_fuel_2024!A:A, 0)), 0) + IFERROR(INDEX(AFDC_state_fuel_2024!J:J, MATCH(B7, AFDC_state_fuel_2024!A:A, 0)), 0))+(IFERROR(INDEX(AFDC_state_fuel_2024!L:L, MATCH(B7, AFDC_state_fuel_2024!A:A, 0)), 0) + IFERROR(INDEX(AFDC_state_fuel_2024!E:E, MATCH(B7, AFDC_state_fuel_2024!A:A, 0)), 0)))</f>
        <v>275557.67392458842</v>
      </c>
      <c r="L7">
        <f>IFERROR(INDEX(AFDC_state_fuel_2024!C:C, MATCH(B7, AFDC_state_fuel_2024!A:A, 0)), 0)</f>
        <v>48700</v>
      </c>
      <c r="M7" t="str">
        <f>IF($B7=Keys!$C$62,"OVERRIDDEN (see Keys / methodology 9.5)","")</f>
        <v/>
      </c>
    </row>
    <row r="8" spans="1:13" x14ac:dyDescent="0.45">
      <c r="A8" t="s">
        <v>55</v>
      </c>
      <c r="B8" t="str">
        <f>INDEX(Geography!C:C, MATCH(A8, Geography!B:B, 0))</f>
        <v>Connecticut</v>
      </c>
      <c r="C8">
        <f>IFERROR(INDEX(AFDC_state_fuel_2024!B:B, MATCH(B8, AFDC_state_fuel_2024!A:A, 0)), 0)</f>
        <v>39400</v>
      </c>
      <c r="D8">
        <f>IF($B8=Keys!$C$62,C8*(IFERROR(INDEX(AFDC_state_fuel_2024!C:C, MATCH(Keys!$C$63, AFDC_state_fuel_2024!A:A, 0)), 0))/(IFERROR(INDEX(AFDC_state_fuel_2024!B:B, MATCH(Keys!$C$63, AFDC_state_fuel_2024!A:A, 0)), 0)),L8)</f>
        <v>22500</v>
      </c>
      <c r="E8">
        <f>IFERROR(INDEX(AFDC_state_fuel_2024!G:G, MATCH(B8, AFDC_state_fuel_2024!A:A, 0)), 0)</f>
        <v>100</v>
      </c>
      <c r="F8">
        <f>(IFERROR(INDEX(AFDC_state_fuel_2024!K:K, MATCH(B8, AFDC_state_fuel_2024!A:A, 0)), 0) + IFERROR(INDEX(AFDC_state_fuel_2024!D:D, MATCH(B8, AFDC_state_fuel_2024!A:A, 0)), 0) + IFERROR(INDEX(AFDC_state_fuel_2024!F:F, MATCH(B8, AFDC_state_fuel_2024!A:A, 0)), 0) + IFERROR(INDEX(AFDC_state_fuel_2024!J:J, MATCH(B8, AFDC_state_fuel_2024!A:A, 0)), 0)) + (IFERROR(INDEX(AFDC_state_fuel_2024!M:M, MATCH(B8, AFDC_state_fuel_2024!A:A, 0)), 0))*(IFERROR(INDEX(AFDC_state_fuel_2024!K:K, MATCH(B8, AFDC_state_fuel_2024!A:A, 0)), 0) + IFERROR(INDEX(AFDC_state_fuel_2024!D:D, MATCH(B8, AFDC_state_fuel_2024!A:A, 0)), 0) + IFERROR(INDEX(AFDC_state_fuel_2024!F:F, MATCH(B8, AFDC_state_fuel_2024!A:A, 0)), 0) + IFERROR(INDEX(AFDC_state_fuel_2024!J:J, MATCH(B8, AFDC_state_fuel_2024!A:A, 0)), 0))/((IFERROR(INDEX(AFDC_state_fuel_2024!K:K, MATCH(B8, AFDC_state_fuel_2024!A:A, 0)), 0) + IFERROR(INDEX(AFDC_state_fuel_2024!D:D, MATCH(B8, AFDC_state_fuel_2024!A:A, 0)), 0) + IFERROR(INDEX(AFDC_state_fuel_2024!F:F, MATCH(B8, AFDC_state_fuel_2024!A:A, 0)), 0) + IFERROR(INDEX(AFDC_state_fuel_2024!J:J, MATCH(B8, AFDC_state_fuel_2024!A:A, 0)), 0))+(IFERROR(INDEX(AFDC_state_fuel_2024!L:L, MATCH(B8, AFDC_state_fuel_2024!A:A, 0)), 0) + IFERROR(INDEX(AFDC_state_fuel_2024!E:E, MATCH(B8, AFDC_state_fuel_2024!A:A, 0)), 0)))</f>
        <v>2807927.3613800388</v>
      </c>
      <c r="G8">
        <f>National_totals!$F$2*K8/SUM(K3:K50)</f>
        <v>8027.32279679371</v>
      </c>
      <c r="H8">
        <f>IFERROR(INDEX(AFDC_state_fuel_2024!H:H, MATCH(B8, AFDC_state_fuel_2024!A:A, 0)), 0)</f>
        <v>0</v>
      </c>
      <c r="I8">
        <f>IFERROR(INDEX(AFDC_state_fuel_2024!I:I, MATCH(B8, AFDC_state_fuel_2024!A:A, 0)), 0)</f>
        <v>0</v>
      </c>
      <c r="J8">
        <f>IFERROR(INDEX(AFDC_state_fuel_2024!M:M, MATCH(B8, AFDC_state_fuel_2024!A:A, 0)), 0)</f>
        <v>20200</v>
      </c>
      <c r="K8">
        <f>(IFERROR(INDEX(AFDC_state_fuel_2024!L:L, MATCH(B8, AFDC_state_fuel_2024!A:A, 0)), 0) + IFERROR(INDEX(AFDC_state_fuel_2024!E:E, MATCH(B8, AFDC_state_fuel_2024!A:A, 0)), 0)) + (IFERROR(INDEX(AFDC_state_fuel_2024!M:M, MATCH(B8, AFDC_state_fuel_2024!A:A, 0)), 0))*(IFERROR(INDEX(AFDC_state_fuel_2024!L:L, MATCH(B8, AFDC_state_fuel_2024!A:A, 0)), 0) + IFERROR(INDEX(AFDC_state_fuel_2024!E:E, MATCH(B8, AFDC_state_fuel_2024!A:A, 0)), 0))/((IFERROR(INDEX(AFDC_state_fuel_2024!K:K, MATCH(B8, AFDC_state_fuel_2024!A:A, 0)), 0) + IFERROR(INDEX(AFDC_state_fuel_2024!D:D, MATCH(B8, AFDC_state_fuel_2024!A:A, 0)), 0) + IFERROR(INDEX(AFDC_state_fuel_2024!F:F, MATCH(B8, AFDC_state_fuel_2024!A:A, 0)), 0) + IFERROR(INDEX(AFDC_state_fuel_2024!J:J, MATCH(B8, AFDC_state_fuel_2024!A:A, 0)), 0))+(IFERROR(INDEX(AFDC_state_fuel_2024!L:L, MATCH(B8, AFDC_state_fuel_2024!A:A, 0)), 0) + IFERROR(INDEX(AFDC_state_fuel_2024!E:E, MATCH(B8, AFDC_state_fuel_2024!A:A, 0)), 0)))</f>
        <v>52772.638619961275</v>
      </c>
      <c r="L8">
        <f>IFERROR(INDEX(AFDC_state_fuel_2024!C:C, MATCH(B8, AFDC_state_fuel_2024!A:A, 0)), 0)</f>
        <v>22500</v>
      </c>
      <c r="M8" t="str">
        <f>IF($B8=Keys!$C$62,"OVERRIDDEN (see Keys / methodology 9.5)","")</f>
        <v/>
      </c>
    </row>
    <row r="9" spans="1:13" x14ac:dyDescent="0.45">
      <c r="A9" t="s">
        <v>57</v>
      </c>
      <c r="B9" t="str">
        <f>INDEX(Geography!C:C, MATCH(A9, Geography!B:B, 0))</f>
        <v>Delaware</v>
      </c>
      <c r="C9">
        <f>IFERROR(INDEX(AFDC_state_fuel_2024!B:B, MATCH(B9, AFDC_state_fuel_2024!A:A, 0)), 0)</f>
        <v>11100</v>
      </c>
      <c r="D9">
        <f>IF($B9=Keys!$C$62,C9*(IFERROR(INDEX(AFDC_state_fuel_2024!C:C, MATCH(Keys!$C$63, AFDC_state_fuel_2024!A:A, 0)), 0))/(IFERROR(INDEX(AFDC_state_fuel_2024!B:B, MATCH(Keys!$C$63, AFDC_state_fuel_2024!A:A, 0)), 0)),L9)</f>
        <v>4600</v>
      </c>
      <c r="E9">
        <f>IFERROR(INDEX(AFDC_state_fuel_2024!G:G, MATCH(B9, AFDC_state_fuel_2024!A:A, 0)), 0)</f>
        <v>0</v>
      </c>
      <c r="F9">
        <f>(IFERROR(INDEX(AFDC_state_fuel_2024!K:K, MATCH(B9, AFDC_state_fuel_2024!A:A, 0)), 0) + IFERROR(INDEX(AFDC_state_fuel_2024!D:D, MATCH(B9, AFDC_state_fuel_2024!A:A, 0)), 0) + IFERROR(INDEX(AFDC_state_fuel_2024!F:F, MATCH(B9, AFDC_state_fuel_2024!A:A, 0)), 0) + IFERROR(INDEX(AFDC_state_fuel_2024!J:J, MATCH(B9, AFDC_state_fuel_2024!A:A, 0)), 0)) + (IFERROR(INDEX(AFDC_state_fuel_2024!M:M, MATCH(B9, AFDC_state_fuel_2024!A:A, 0)), 0))*(IFERROR(INDEX(AFDC_state_fuel_2024!K:K, MATCH(B9, AFDC_state_fuel_2024!A:A, 0)), 0) + IFERROR(INDEX(AFDC_state_fuel_2024!D:D, MATCH(B9, AFDC_state_fuel_2024!A:A, 0)), 0) + IFERROR(INDEX(AFDC_state_fuel_2024!F:F, MATCH(B9, AFDC_state_fuel_2024!A:A, 0)), 0) + IFERROR(INDEX(AFDC_state_fuel_2024!J:J, MATCH(B9, AFDC_state_fuel_2024!A:A, 0)), 0))/((IFERROR(INDEX(AFDC_state_fuel_2024!K:K, MATCH(B9, AFDC_state_fuel_2024!A:A, 0)), 0) + IFERROR(INDEX(AFDC_state_fuel_2024!D:D, MATCH(B9, AFDC_state_fuel_2024!A:A, 0)), 0) + IFERROR(INDEX(AFDC_state_fuel_2024!F:F, MATCH(B9, AFDC_state_fuel_2024!A:A, 0)), 0) + IFERROR(INDEX(AFDC_state_fuel_2024!J:J, MATCH(B9, AFDC_state_fuel_2024!A:A, 0)), 0))+(IFERROR(INDEX(AFDC_state_fuel_2024!L:L, MATCH(B9, AFDC_state_fuel_2024!A:A, 0)), 0) + IFERROR(INDEX(AFDC_state_fuel_2024!E:E, MATCH(B9, AFDC_state_fuel_2024!A:A, 0)), 0)))</f>
        <v>884792.13832981209</v>
      </c>
      <c r="G9">
        <f>National_totals!$F$2*K9/SUM(K3:K50)</f>
        <v>2967.3692048925764</v>
      </c>
      <c r="H9">
        <f>IFERROR(INDEX(AFDC_state_fuel_2024!H:H, MATCH(B9, AFDC_state_fuel_2024!A:A, 0)), 0)</f>
        <v>0</v>
      </c>
      <c r="I9">
        <f>IFERROR(INDEX(AFDC_state_fuel_2024!I:I, MATCH(B9, AFDC_state_fuel_2024!A:A, 0)), 0)</f>
        <v>0</v>
      </c>
      <c r="J9">
        <f>IFERROR(INDEX(AFDC_state_fuel_2024!M:M, MATCH(B9, AFDC_state_fuel_2024!A:A, 0)), 0)</f>
        <v>5000</v>
      </c>
      <c r="K9">
        <f>(IFERROR(INDEX(AFDC_state_fuel_2024!L:L, MATCH(B9, AFDC_state_fuel_2024!A:A, 0)), 0) + IFERROR(INDEX(AFDC_state_fuel_2024!E:E, MATCH(B9, AFDC_state_fuel_2024!A:A, 0)), 0)) + (IFERROR(INDEX(AFDC_state_fuel_2024!M:M, MATCH(B9, AFDC_state_fuel_2024!A:A, 0)), 0))*(IFERROR(INDEX(AFDC_state_fuel_2024!L:L, MATCH(B9, AFDC_state_fuel_2024!A:A, 0)), 0) + IFERROR(INDEX(AFDC_state_fuel_2024!E:E, MATCH(B9, AFDC_state_fuel_2024!A:A, 0)), 0))/((IFERROR(INDEX(AFDC_state_fuel_2024!K:K, MATCH(B9, AFDC_state_fuel_2024!A:A, 0)), 0) + IFERROR(INDEX(AFDC_state_fuel_2024!D:D, MATCH(B9, AFDC_state_fuel_2024!A:A, 0)), 0) + IFERROR(INDEX(AFDC_state_fuel_2024!F:F, MATCH(B9, AFDC_state_fuel_2024!A:A, 0)), 0) + IFERROR(INDEX(AFDC_state_fuel_2024!J:J, MATCH(B9, AFDC_state_fuel_2024!A:A, 0)), 0))+(IFERROR(INDEX(AFDC_state_fuel_2024!L:L, MATCH(B9, AFDC_state_fuel_2024!A:A, 0)), 0) + IFERROR(INDEX(AFDC_state_fuel_2024!E:E, MATCH(B9, AFDC_state_fuel_2024!A:A, 0)), 0)))</f>
        <v>19507.861670187925</v>
      </c>
      <c r="L9">
        <f>IFERROR(INDEX(AFDC_state_fuel_2024!C:C, MATCH(B9, AFDC_state_fuel_2024!A:A, 0)), 0)</f>
        <v>4600</v>
      </c>
      <c r="M9" t="str">
        <f>IF($B9=Keys!$C$62,"OVERRIDDEN (see Keys / methodology 9.5)","")</f>
        <v/>
      </c>
    </row>
    <row r="10" spans="1:13" x14ac:dyDescent="0.45">
      <c r="A10" t="s">
        <v>60</v>
      </c>
      <c r="B10" t="str">
        <f>INDEX(Geography!C:C, MATCH(A10, Geography!B:B, 0))</f>
        <v>Florida</v>
      </c>
      <c r="C10">
        <f>IFERROR(INDEX(AFDC_state_fuel_2024!B:B, MATCH(B10, AFDC_state_fuel_2024!A:A, 0)), 0)</f>
        <v>334800</v>
      </c>
      <c r="D10">
        <f>IF($B10=Keys!$C$62,C10*(IFERROR(INDEX(AFDC_state_fuel_2024!C:C, MATCH(Keys!$C$63, AFDC_state_fuel_2024!A:A, 0)), 0))/(IFERROR(INDEX(AFDC_state_fuel_2024!B:B, MATCH(Keys!$C$63, AFDC_state_fuel_2024!A:A, 0)), 0)),L10)</f>
        <v>70400</v>
      </c>
      <c r="E10">
        <f>IFERROR(INDEX(AFDC_state_fuel_2024!G:G, MATCH(B10, AFDC_state_fuel_2024!A:A, 0)), 0)</f>
        <v>400</v>
      </c>
      <c r="F10">
        <f>(IFERROR(INDEX(AFDC_state_fuel_2024!K:K, MATCH(B10, AFDC_state_fuel_2024!A:A, 0)), 0) + IFERROR(INDEX(AFDC_state_fuel_2024!D:D, MATCH(B10, AFDC_state_fuel_2024!A:A, 0)), 0) + IFERROR(INDEX(AFDC_state_fuel_2024!F:F, MATCH(B10, AFDC_state_fuel_2024!A:A, 0)), 0) + IFERROR(INDEX(AFDC_state_fuel_2024!J:J, MATCH(B10, AFDC_state_fuel_2024!A:A, 0)), 0)) + (IFERROR(INDEX(AFDC_state_fuel_2024!M:M, MATCH(B10, AFDC_state_fuel_2024!A:A, 0)), 0))*(IFERROR(INDEX(AFDC_state_fuel_2024!K:K, MATCH(B10, AFDC_state_fuel_2024!A:A, 0)), 0) + IFERROR(INDEX(AFDC_state_fuel_2024!D:D, MATCH(B10, AFDC_state_fuel_2024!A:A, 0)), 0) + IFERROR(INDEX(AFDC_state_fuel_2024!F:F, MATCH(B10, AFDC_state_fuel_2024!A:A, 0)), 0) + IFERROR(INDEX(AFDC_state_fuel_2024!J:J, MATCH(B10, AFDC_state_fuel_2024!A:A, 0)), 0))/((IFERROR(INDEX(AFDC_state_fuel_2024!K:K, MATCH(B10, AFDC_state_fuel_2024!A:A, 0)), 0) + IFERROR(INDEX(AFDC_state_fuel_2024!D:D, MATCH(B10, AFDC_state_fuel_2024!A:A, 0)), 0) + IFERROR(INDEX(AFDC_state_fuel_2024!F:F, MATCH(B10, AFDC_state_fuel_2024!A:A, 0)), 0) + IFERROR(INDEX(AFDC_state_fuel_2024!J:J, MATCH(B10, AFDC_state_fuel_2024!A:A, 0)), 0))+(IFERROR(INDEX(AFDC_state_fuel_2024!L:L, MATCH(B10, AFDC_state_fuel_2024!A:A, 0)), 0) + IFERROR(INDEX(AFDC_state_fuel_2024!E:E, MATCH(B10, AFDC_state_fuel_2024!A:A, 0)), 0)))</f>
        <v>17793100.973556112</v>
      </c>
      <c r="G10">
        <f>National_totals!$F$2*K10/SUM(K3:K50)</f>
        <v>82702.849501194403</v>
      </c>
      <c r="H10">
        <f>IFERROR(INDEX(AFDC_state_fuel_2024!H:H, MATCH(B10, AFDC_state_fuel_2024!A:A, 0)), 0)</f>
        <v>100</v>
      </c>
      <c r="I10">
        <f>IFERROR(INDEX(AFDC_state_fuel_2024!I:I, MATCH(B10, AFDC_state_fuel_2024!A:A, 0)), 0)</f>
        <v>0</v>
      </c>
      <c r="J10">
        <f>IFERROR(INDEX(AFDC_state_fuel_2024!M:M, MATCH(B10, AFDC_state_fuel_2024!A:A, 0)), 0)</f>
        <v>94400</v>
      </c>
      <c r="K10">
        <f>(IFERROR(INDEX(AFDC_state_fuel_2024!L:L, MATCH(B10, AFDC_state_fuel_2024!A:A, 0)), 0) + IFERROR(INDEX(AFDC_state_fuel_2024!E:E, MATCH(B10, AFDC_state_fuel_2024!A:A, 0)), 0)) + (IFERROR(INDEX(AFDC_state_fuel_2024!M:M, MATCH(B10, AFDC_state_fuel_2024!A:A, 0)), 0))*(IFERROR(INDEX(AFDC_state_fuel_2024!L:L, MATCH(B10, AFDC_state_fuel_2024!A:A, 0)), 0) + IFERROR(INDEX(AFDC_state_fuel_2024!E:E, MATCH(B10, AFDC_state_fuel_2024!A:A, 0)), 0))/((IFERROR(INDEX(AFDC_state_fuel_2024!K:K, MATCH(B10, AFDC_state_fuel_2024!A:A, 0)), 0) + IFERROR(INDEX(AFDC_state_fuel_2024!D:D, MATCH(B10, AFDC_state_fuel_2024!A:A, 0)), 0) + IFERROR(INDEX(AFDC_state_fuel_2024!F:F, MATCH(B10, AFDC_state_fuel_2024!A:A, 0)), 0) + IFERROR(INDEX(AFDC_state_fuel_2024!J:J, MATCH(B10, AFDC_state_fuel_2024!A:A, 0)), 0))+(IFERROR(INDEX(AFDC_state_fuel_2024!L:L, MATCH(B10, AFDC_state_fuel_2024!A:A, 0)), 0) + IFERROR(INDEX(AFDC_state_fuel_2024!E:E, MATCH(B10, AFDC_state_fuel_2024!A:A, 0)), 0)))</f>
        <v>543699.02644388902</v>
      </c>
      <c r="L10">
        <f>IFERROR(INDEX(AFDC_state_fuel_2024!C:C, MATCH(B10, AFDC_state_fuel_2024!A:A, 0)), 0)</f>
        <v>70400</v>
      </c>
      <c r="M10" t="str">
        <f>IF($B10=Keys!$C$62,"OVERRIDDEN (see Keys / methodology 9.5)","")</f>
        <v/>
      </c>
    </row>
    <row r="11" spans="1:13" x14ac:dyDescent="0.45">
      <c r="A11" t="s">
        <v>63</v>
      </c>
      <c r="B11" t="str">
        <f>INDEX(Geography!C:C, MATCH(A11, Geography!B:B, 0))</f>
        <v>Georgia</v>
      </c>
      <c r="C11">
        <f>IFERROR(INDEX(AFDC_state_fuel_2024!B:B, MATCH(B11, AFDC_state_fuel_2024!A:A, 0)), 0)</f>
        <v>120000</v>
      </c>
      <c r="D11">
        <f>IF($B11=Keys!$C$62,C11*(IFERROR(INDEX(AFDC_state_fuel_2024!C:C, MATCH(Keys!$C$63, AFDC_state_fuel_2024!A:A, 0)), 0))/(IFERROR(INDEX(AFDC_state_fuel_2024!B:B, MATCH(Keys!$C$63, AFDC_state_fuel_2024!A:A, 0)), 0)),L11)</f>
        <v>26400</v>
      </c>
      <c r="E11">
        <f>IFERROR(INDEX(AFDC_state_fuel_2024!G:G, MATCH(B11, AFDC_state_fuel_2024!A:A, 0)), 0)</f>
        <v>300</v>
      </c>
      <c r="F11">
        <f>(IFERROR(INDEX(AFDC_state_fuel_2024!K:K, MATCH(B11, AFDC_state_fuel_2024!A:A, 0)), 0) + IFERROR(INDEX(AFDC_state_fuel_2024!D:D, MATCH(B11, AFDC_state_fuel_2024!A:A, 0)), 0) + IFERROR(INDEX(AFDC_state_fuel_2024!F:F, MATCH(B11, AFDC_state_fuel_2024!A:A, 0)), 0) + IFERROR(INDEX(AFDC_state_fuel_2024!J:J, MATCH(B11, AFDC_state_fuel_2024!A:A, 0)), 0)) + (IFERROR(INDEX(AFDC_state_fuel_2024!M:M, MATCH(B11, AFDC_state_fuel_2024!A:A, 0)), 0))*(IFERROR(INDEX(AFDC_state_fuel_2024!K:K, MATCH(B11, AFDC_state_fuel_2024!A:A, 0)), 0) + IFERROR(INDEX(AFDC_state_fuel_2024!D:D, MATCH(B11, AFDC_state_fuel_2024!A:A, 0)), 0) + IFERROR(INDEX(AFDC_state_fuel_2024!F:F, MATCH(B11, AFDC_state_fuel_2024!A:A, 0)), 0) + IFERROR(INDEX(AFDC_state_fuel_2024!J:J, MATCH(B11, AFDC_state_fuel_2024!A:A, 0)), 0))/((IFERROR(INDEX(AFDC_state_fuel_2024!K:K, MATCH(B11, AFDC_state_fuel_2024!A:A, 0)), 0) + IFERROR(INDEX(AFDC_state_fuel_2024!D:D, MATCH(B11, AFDC_state_fuel_2024!A:A, 0)), 0) + IFERROR(INDEX(AFDC_state_fuel_2024!F:F, MATCH(B11, AFDC_state_fuel_2024!A:A, 0)), 0) + IFERROR(INDEX(AFDC_state_fuel_2024!J:J, MATCH(B11, AFDC_state_fuel_2024!A:A, 0)), 0))+(IFERROR(INDEX(AFDC_state_fuel_2024!L:L, MATCH(B11, AFDC_state_fuel_2024!A:A, 0)), 0) + IFERROR(INDEX(AFDC_state_fuel_2024!E:E, MATCH(B11, AFDC_state_fuel_2024!A:A, 0)), 0)))</f>
        <v>9245671.434297407</v>
      </c>
      <c r="G11">
        <f>National_totals!$F$2*K11/SUM(K3:K50)</f>
        <v>47128.473648493593</v>
      </c>
      <c r="H11">
        <f>IFERROR(INDEX(AFDC_state_fuel_2024!H:H, MATCH(B11, AFDC_state_fuel_2024!A:A, 0)), 0)</f>
        <v>200</v>
      </c>
      <c r="I11">
        <f>IFERROR(INDEX(AFDC_state_fuel_2024!I:I, MATCH(B11, AFDC_state_fuel_2024!A:A, 0)), 0)</f>
        <v>0</v>
      </c>
      <c r="J11">
        <f>IFERROR(INDEX(AFDC_state_fuel_2024!M:M, MATCH(B11, AFDC_state_fuel_2024!A:A, 0)), 0)</f>
        <v>74900</v>
      </c>
      <c r="K11">
        <f>(IFERROR(INDEX(AFDC_state_fuel_2024!L:L, MATCH(B11, AFDC_state_fuel_2024!A:A, 0)), 0) + IFERROR(INDEX(AFDC_state_fuel_2024!E:E, MATCH(B11, AFDC_state_fuel_2024!A:A, 0)), 0)) + (IFERROR(INDEX(AFDC_state_fuel_2024!M:M, MATCH(B11, AFDC_state_fuel_2024!A:A, 0)), 0))*(IFERROR(INDEX(AFDC_state_fuel_2024!L:L, MATCH(B11, AFDC_state_fuel_2024!A:A, 0)), 0) + IFERROR(INDEX(AFDC_state_fuel_2024!E:E, MATCH(B11, AFDC_state_fuel_2024!A:A, 0)), 0))/((IFERROR(INDEX(AFDC_state_fuel_2024!K:K, MATCH(B11, AFDC_state_fuel_2024!A:A, 0)), 0) + IFERROR(INDEX(AFDC_state_fuel_2024!D:D, MATCH(B11, AFDC_state_fuel_2024!A:A, 0)), 0) + IFERROR(INDEX(AFDC_state_fuel_2024!F:F, MATCH(B11, AFDC_state_fuel_2024!A:A, 0)), 0) + IFERROR(INDEX(AFDC_state_fuel_2024!J:J, MATCH(B11, AFDC_state_fuel_2024!A:A, 0)), 0))+(IFERROR(INDEX(AFDC_state_fuel_2024!L:L, MATCH(B11, AFDC_state_fuel_2024!A:A, 0)), 0) + IFERROR(INDEX(AFDC_state_fuel_2024!E:E, MATCH(B11, AFDC_state_fuel_2024!A:A, 0)), 0)))</f>
        <v>309828.56570259266</v>
      </c>
      <c r="L11">
        <f>IFERROR(INDEX(AFDC_state_fuel_2024!C:C, MATCH(B11, AFDC_state_fuel_2024!A:A, 0)), 0)</f>
        <v>26400</v>
      </c>
      <c r="M11" t="str">
        <f>IF($B11=Keys!$C$62,"OVERRIDDEN (see Keys / methodology 9.5)","")</f>
        <v/>
      </c>
    </row>
    <row r="12" spans="1:13" x14ac:dyDescent="0.45">
      <c r="A12" t="s">
        <v>66</v>
      </c>
      <c r="B12" t="str">
        <f>INDEX(Geography!C:C, MATCH(A12, Geography!B:B, 0))</f>
        <v>Idaho</v>
      </c>
      <c r="C12">
        <f>IFERROR(INDEX(AFDC_state_fuel_2024!B:B, MATCH(B12, AFDC_state_fuel_2024!A:A, 0)), 0)</f>
        <v>11000</v>
      </c>
      <c r="D12">
        <f>IF($B12=Keys!$C$62,C12*(IFERROR(INDEX(AFDC_state_fuel_2024!C:C, MATCH(Keys!$C$63, AFDC_state_fuel_2024!A:A, 0)), 0))/(IFERROR(INDEX(AFDC_state_fuel_2024!B:B, MATCH(Keys!$C$63, AFDC_state_fuel_2024!A:A, 0)), 0)),L12)</f>
        <v>5600</v>
      </c>
      <c r="E12">
        <f>IFERROR(INDEX(AFDC_state_fuel_2024!G:G, MATCH(B12, AFDC_state_fuel_2024!A:A, 0)), 0)</f>
        <v>100</v>
      </c>
      <c r="F12">
        <f>(IFERROR(INDEX(AFDC_state_fuel_2024!K:K, MATCH(B12, AFDC_state_fuel_2024!A:A, 0)), 0) + IFERROR(INDEX(AFDC_state_fuel_2024!D:D, MATCH(B12, AFDC_state_fuel_2024!A:A, 0)), 0) + IFERROR(INDEX(AFDC_state_fuel_2024!F:F, MATCH(B12, AFDC_state_fuel_2024!A:A, 0)), 0) + IFERROR(INDEX(AFDC_state_fuel_2024!J:J, MATCH(B12, AFDC_state_fuel_2024!A:A, 0)), 0)) + (IFERROR(INDEX(AFDC_state_fuel_2024!M:M, MATCH(B12, AFDC_state_fuel_2024!A:A, 0)), 0))*(IFERROR(INDEX(AFDC_state_fuel_2024!K:K, MATCH(B12, AFDC_state_fuel_2024!A:A, 0)), 0) + IFERROR(INDEX(AFDC_state_fuel_2024!D:D, MATCH(B12, AFDC_state_fuel_2024!A:A, 0)), 0) + IFERROR(INDEX(AFDC_state_fuel_2024!F:F, MATCH(B12, AFDC_state_fuel_2024!A:A, 0)), 0) + IFERROR(INDEX(AFDC_state_fuel_2024!J:J, MATCH(B12, AFDC_state_fuel_2024!A:A, 0)), 0))/((IFERROR(INDEX(AFDC_state_fuel_2024!K:K, MATCH(B12, AFDC_state_fuel_2024!A:A, 0)), 0) + IFERROR(INDEX(AFDC_state_fuel_2024!D:D, MATCH(B12, AFDC_state_fuel_2024!A:A, 0)), 0) + IFERROR(INDEX(AFDC_state_fuel_2024!F:F, MATCH(B12, AFDC_state_fuel_2024!A:A, 0)), 0) + IFERROR(INDEX(AFDC_state_fuel_2024!J:J, MATCH(B12, AFDC_state_fuel_2024!A:A, 0)), 0))+(IFERROR(INDEX(AFDC_state_fuel_2024!L:L, MATCH(B12, AFDC_state_fuel_2024!A:A, 0)), 0) + IFERROR(INDEX(AFDC_state_fuel_2024!E:E, MATCH(B12, AFDC_state_fuel_2024!A:A, 0)), 0)))</f>
        <v>1806936.6282903079</v>
      </c>
      <c r="G12">
        <f>National_totals!$F$2*K12/SUM(K3:K50)</f>
        <v>29686.584256405826</v>
      </c>
      <c r="H12">
        <f>IFERROR(INDEX(AFDC_state_fuel_2024!H:H, MATCH(B12, AFDC_state_fuel_2024!A:A, 0)), 0)</f>
        <v>100</v>
      </c>
      <c r="I12">
        <f>IFERROR(INDEX(AFDC_state_fuel_2024!I:I, MATCH(B12, AFDC_state_fuel_2024!A:A, 0)), 0)</f>
        <v>0</v>
      </c>
      <c r="J12">
        <f>IFERROR(INDEX(AFDC_state_fuel_2024!M:M, MATCH(B12, AFDC_state_fuel_2024!A:A, 0)), 0)</f>
        <v>30400</v>
      </c>
      <c r="K12">
        <f>(IFERROR(INDEX(AFDC_state_fuel_2024!L:L, MATCH(B12, AFDC_state_fuel_2024!A:A, 0)), 0) + IFERROR(INDEX(AFDC_state_fuel_2024!E:E, MATCH(B12, AFDC_state_fuel_2024!A:A, 0)), 0)) + (IFERROR(INDEX(AFDC_state_fuel_2024!M:M, MATCH(B12, AFDC_state_fuel_2024!A:A, 0)), 0))*(IFERROR(INDEX(AFDC_state_fuel_2024!L:L, MATCH(B12, AFDC_state_fuel_2024!A:A, 0)), 0) + IFERROR(INDEX(AFDC_state_fuel_2024!E:E, MATCH(B12, AFDC_state_fuel_2024!A:A, 0)), 0))/((IFERROR(INDEX(AFDC_state_fuel_2024!K:K, MATCH(B12, AFDC_state_fuel_2024!A:A, 0)), 0) + IFERROR(INDEX(AFDC_state_fuel_2024!D:D, MATCH(B12, AFDC_state_fuel_2024!A:A, 0)), 0) + IFERROR(INDEX(AFDC_state_fuel_2024!F:F, MATCH(B12, AFDC_state_fuel_2024!A:A, 0)), 0) + IFERROR(INDEX(AFDC_state_fuel_2024!J:J, MATCH(B12, AFDC_state_fuel_2024!A:A, 0)), 0))+(IFERROR(INDEX(AFDC_state_fuel_2024!L:L, MATCH(B12, AFDC_state_fuel_2024!A:A, 0)), 0) + IFERROR(INDEX(AFDC_state_fuel_2024!E:E, MATCH(B12, AFDC_state_fuel_2024!A:A, 0)), 0)))</f>
        <v>195163.37170969215</v>
      </c>
      <c r="L12">
        <f>IFERROR(INDEX(AFDC_state_fuel_2024!C:C, MATCH(B12, AFDC_state_fuel_2024!A:A, 0)), 0)</f>
        <v>5600</v>
      </c>
      <c r="M12" t="str">
        <f>IF($B12=Keys!$C$62,"OVERRIDDEN (see Keys / methodology 9.5)","")</f>
        <v/>
      </c>
    </row>
    <row r="13" spans="1:13" x14ac:dyDescent="0.45">
      <c r="A13" t="s">
        <v>68</v>
      </c>
      <c r="B13" t="str">
        <f>INDEX(Geography!C:C, MATCH(A13, Geography!B:B, 0))</f>
        <v>Illinois</v>
      </c>
      <c r="C13">
        <f>IFERROR(INDEX(AFDC_state_fuel_2024!B:B, MATCH(B13, AFDC_state_fuel_2024!A:A, 0)), 0)</f>
        <v>125500</v>
      </c>
      <c r="D13">
        <f>IF($B13=Keys!$C$62,C13*(IFERROR(INDEX(AFDC_state_fuel_2024!C:C, MATCH(Keys!$C$63, AFDC_state_fuel_2024!A:A, 0)), 0))/(IFERROR(INDEX(AFDC_state_fuel_2024!B:B, MATCH(Keys!$C$63, AFDC_state_fuel_2024!A:A, 0)), 0)),L13)</f>
        <v>40400</v>
      </c>
      <c r="E13">
        <f>IFERROR(INDEX(AFDC_state_fuel_2024!G:G, MATCH(B13, AFDC_state_fuel_2024!A:A, 0)), 0)</f>
        <v>300</v>
      </c>
      <c r="F13">
        <f>(IFERROR(INDEX(AFDC_state_fuel_2024!K:K, MATCH(B13, AFDC_state_fuel_2024!A:A, 0)), 0) + IFERROR(INDEX(AFDC_state_fuel_2024!D:D, MATCH(B13, AFDC_state_fuel_2024!A:A, 0)), 0) + IFERROR(INDEX(AFDC_state_fuel_2024!F:F, MATCH(B13, AFDC_state_fuel_2024!A:A, 0)), 0) + IFERROR(INDEX(AFDC_state_fuel_2024!J:J, MATCH(B13, AFDC_state_fuel_2024!A:A, 0)), 0)) + (IFERROR(INDEX(AFDC_state_fuel_2024!M:M, MATCH(B13, AFDC_state_fuel_2024!A:A, 0)), 0))*(IFERROR(INDEX(AFDC_state_fuel_2024!K:K, MATCH(B13, AFDC_state_fuel_2024!A:A, 0)), 0) + IFERROR(INDEX(AFDC_state_fuel_2024!D:D, MATCH(B13, AFDC_state_fuel_2024!A:A, 0)), 0) + IFERROR(INDEX(AFDC_state_fuel_2024!F:F, MATCH(B13, AFDC_state_fuel_2024!A:A, 0)), 0) + IFERROR(INDEX(AFDC_state_fuel_2024!J:J, MATCH(B13, AFDC_state_fuel_2024!A:A, 0)), 0))/((IFERROR(INDEX(AFDC_state_fuel_2024!K:K, MATCH(B13, AFDC_state_fuel_2024!A:A, 0)), 0) + IFERROR(INDEX(AFDC_state_fuel_2024!D:D, MATCH(B13, AFDC_state_fuel_2024!A:A, 0)), 0) + IFERROR(INDEX(AFDC_state_fuel_2024!F:F, MATCH(B13, AFDC_state_fuel_2024!A:A, 0)), 0) + IFERROR(INDEX(AFDC_state_fuel_2024!J:J, MATCH(B13, AFDC_state_fuel_2024!A:A, 0)), 0))+(IFERROR(INDEX(AFDC_state_fuel_2024!L:L, MATCH(B13, AFDC_state_fuel_2024!A:A, 0)), 0) + IFERROR(INDEX(AFDC_state_fuel_2024!E:E, MATCH(B13, AFDC_state_fuel_2024!A:A, 0)), 0)))</f>
        <v>9722486.5139460359</v>
      </c>
      <c r="G13">
        <f>National_totals!$F$2*K13/SUM(K3:K50)</f>
        <v>36052.466003261092</v>
      </c>
      <c r="H13">
        <f>IFERROR(INDEX(AFDC_state_fuel_2024!H:H, MATCH(B13, AFDC_state_fuel_2024!A:A, 0)), 0)</f>
        <v>0</v>
      </c>
      <c r="I13">
        <f>IFERROR(INDEX(AFDC_state_fuel_2024!I:I, MATCH(B13, AFDC_state_fuel_2024!A:A, 0)), 0)</f>
        <v>0</v>
      </c>
      <c r="J13">
        <f>IFERROR(INDEX(AFDC_state_fuel_2024!M:M, MATCH(B13, AFDC_state_fuel_2024!A:A, 0)), 0)</f>
        <v>67800</v>
      </c>
      <c r="K13">
        <f>(IFERROR(INDEX(AFDC_state_fuel_2024!L:L, MATCH(B13, AFDC_state_fuel_2024!A:A, 0)), 0) + IFERROR(INDEX(AFDC_state_fuel_2024!E:E, MATCH(B13, AFDC_state_fuel_2024!A:A, 0)), 0)) + (IFERROR(INDEX(AFDC_state_fuel_2024!M:M, MATCH(B13, AFDC_state_fuel_2024!A:A, 0)), 0))*(IFERROR(INDEX(AFDC_state_fuel_2024!L:L, MATCH(B13, AFDC_state_fuel_2024!A:A, 0)), 0) + IFERROR(INDEX(AFDC_state_fuel_2024!E:E, MATCH(B13, AFDC_state_fuel_2024!A:A, 0)), 0))/((IFERROR(INDEX(AFDC_state_fuel_2024!K:K, MATCH(B13, AFDC_state_fuel_2024!A:A, 0)), 0) + IFERROR(INDEX(AFDC_state_fuel_2024!D:D, MATCH(B13, AFDC_state_fuel_2024!A:A, 0)), 0) + IFERROR(INDEX(AFDC_state_fuel_2024!F:F, MATCH(B13, AFDC_state_fuel_2024!A:A, 0)), 0) + IFERROR(INDEX(AFDC_state_fuel_2024!J:J, MATCH(B13, AFDC_state_fuel_2024!A:A, 0)), 0))+(IFERROR(INDEX(AFDC_state_fuel_2024!L:L, MATCH(B13, AFDC_state_fuel_2024!A:A, 0)), 0) + IFERROR(INDEX(AFDC_state_fuel_2024!E:E, MATCH(B13, AFDC_state_fuel_2024!A:A, 0)), 0)))</f>
        <v>237013.48605396444</v>
      </c>
      <c r="L13">
        <f>IFERROR(INDEX(AFDC_state_fuel_2024!C:C, MATCH(B13, AFDC_state_fuel_2024!A:A, 0)), 0)</f>
        <v>40400</v>
      </c>
      <c r="M13" t="str">
        <f>IF($B13=Keys!$C$62,"OVERRIDDEN (see Keys / methodology 9.5)","")</f>
        <v/>
      </c>
    </row>
    <row r="14" spans="1:13" x14ac:dyDescent="0.45">
      <c r="A14" t="s">
        <v>71</v>
      </c>
      <c r="B14" t="str">
        <f>INDEX(Geography!C:C, MATCH(A14, Geography!B:B, 0))</f>
        <v>Indiana</v>
      </c>
      <c r="C14">
        <f>IFERROR(INDEX(AFDC_state_fuel_2024!B:B, MATCH(B14, AFDC_state_fuel_2024!A:A, 0)), 0)</f>
        <v>34600</v>
      </c>
      <c r="D14">
        <f>IF($B14=Keys!$C$62,C14*(IFERROR(INDEX(AFDC_state_fuel_2024!C:C, MATCH(Keys!$C$63, AFDC_state_fuel_2024!A:A, 0)), 0))/(IFERROR(INDEX(AFDC_state_fuel_2024!B:B, MATCH(Keys!$C$63, AFDC_state_fuel_2024!A:A, 0)), 0)),L14)</f>
        <v>15300</v>
      </c>
      <c r="E14">
        <f>IFERROR(INDEX(AFDC_state_fuel_2024!G:G, MATCH(B14, AFDC_state_fuel_2024!A:A, 0)), 0)</f>
        <v>300</v>
      </c>
      <c r="F14">
        <f>(IFERROR(INDEX(AFDC_state_fuel_2024!K:K, MATCH(B14, AFDC_state_fuel_2024!A:A, 0)), 0) + IFERROR(INDEX(AFDC_state_fuel_2024!D:D, MATCH(B14, AFDC_state_fuel_2024!A:A, 0)), 0) + IFERROR(INDEX(AFDC_state_fuel_2024!F:F, MATCH(B14, AFDC_state_fuel_2024!A:A, 0)), 0) + IFERROR(INDEX(AFDC_state_fuel_2024!J:J, MATCH(B14, AFDC_state_fuel_2024!A:A, 0)), 0)) + (IFERROR(INDEX(AFDC_state_fuel_2024!M:M, MATCH(B14, AFDC_state_fuel_2024!A:A, 0)), 0))*(IFERROR(INDEX(AFDC_state_fuel_2024!K:K, MATCH(B14, AFDC_state_fuel_2024!A:A, 0)), 0) + IFERROR(INDEX(AFDC_state_fuel_2024!D:D, MATCH(B14, AFDC_state_fuel_2024!A:A, 0)), 0) + IFERROR(INDEX(AFDC_state_fuel_2024!F:F, MATCH(B14, AFDC_state_fuel_2024!A:A, 0)), 0) + IFERROR(INDEX(AFDC_state_fuel_2024!J:J, MATCH(B14, AFDC_state_fuel_2024!A:A, 0)), 0))/((IFERROR(INDEX(AFDC_state_fuel_2024!K:K, MATCH(B14, AFDC_state_fuel_2024!A:A, 0)), 0) + IFERROR(INDEX(AFDC_state_fuel_2024!D:D, MATCH(B14, AFDC_state_fuel_2024!A:A, 0)), 0) + IFERROR(INDEX(AFDC_state_fuel_2024!F:F, MATCH(B14, AFDC_state_fuel_2024!A:A, 0)), 0) + IFERROR(INDEX(AFDC_state_fuel_2024!J:J, MATCH(B14, AFDC_state_fuel_2024!A:A, 0)), 0))+(IFERROR(INDEX(AFDC_state_fuel_2024!L:L, MATCH(B14, AFDC_state_fuel_2024!A:A, 0)), 0) + IFERROR(INDEX(AFDC_state_fuel_2024!E:E, MATCH(B14, AFDC_state_fuel_2024!A:A, 0)), 0)))</f>
        <v>5947271.1534682652</v>
      </c>
      <c r="G14">
        <f>National_totals!$F$2*K14/SUM(K3:K50)</f>
        <v>33027.784571424549</v>
      </c>
      <c r="H14">
        <f>IFERROR(INDEX(AFDC_state_fuel_2024!H:H, MATCH(B14, AFDC_state_fuel_2024!A:A, 0)), 0)</f>
        <v>0</v>
      </c>
      <c r="I14">
        <f>IFERROR(INDEX(AFDC_state_fuel_2024!I:I, MATCH(B14, AFDC_state_fuel_2024!A:A, 0)), 0)</f>
        <v>0</v>
      </c>
      <c r="J14">
        <f>IFERROR(INDEX(AFDC_state_fuel_2024!M:M, MATCH(B14, AFDC_state_fuel_2024!A:A, 0)), 0)</f>
        <v>57600</v>
      </c>
      <c r="K14">
        <f>(IFERROR(INDEX(AFDC_state_fuel_2024!L:L, MATCH(B14, AFDC_state_fuel_2024!A:A, 0)), 0) + IFERROR(INDEX(AFDC_state_fuel_2024!E:E, MATCH(B14, AFDC_state_fuel_2024!A:A, 0)), 0)) + (IFERROR(INDEX(AFDC_state_fuel_2024!M:M, MATCH(B14, AFDC_state_fuel_2024!A:A, 0)), 0))*(IFERROR(INDEX(AFDC_state_fuel_2024!L:L, MATCH(B14, AFDC_state_fuel_2024!A:A, 0)), 0) + IFERROR(INDEX(AFDC_state_fuel_2024!E:E, MATCH(B14, AFDC_state_fuel_2024!A:A, 0)), 0))/((IFERROR(INDEX(AFDC_state_fuel_2024!K:K, MATCH(B14, AFDC_state_fuel_2024!A:A, 0)), 0) + IFERROR(INDEX(AFDC_state_fuel_2024!D:D, MATCH(B14, AFDC_state_fuel_2024!A:A, 0)), 0) + IFERROR(INDEX(AFDC_state_fuel_2024!F:F, MATCH(B14, AFDC_state_fuel_2024!A:A, 0)), 0) + IFERROR(INDEX(AFDC_state_fuel_2024!J:J, MATCH(B14, AFDC_state_fuel_2024!A:A, 0)), 0))+(IFERROR(INDEX(AFDC_state_fuel_2024!L:L, MATCH(B14, AFDC_state_fuel_2024!A:A, 0)), 0) + IFERROR(INDEX(AFDC_state_fuel_2024!E:E, MATCH(B14, AFDC_state_fuel_2024!A:A, 0)), 0)))</f>
        <v>217128.84653173512</v>
      </c>
      <c r="L14">
        <f>IFERROR(INDEX(AFDC_state_fuel_2024!C:C, MATCH(B14, AFDC_state_fuel_2024!A:A, 0)), 0)</f>
        <v>15300</v>
      </c>
      <c r="M14" t="str">
        <f>IF($B14=Keys!$C$62,"OVERRIDDEN (see Keys / methodology 9.5)","")</f>
        <v/>
      </c>
    </row>
    <row r="15" spans="1:13" x14ac:dyDescent="0.45">
      <c r="A15" t="s">
        <v>74</v>
      </c>
      <c r="B15" t="str">
        <f>INDEX(Geography!C:C, MATCH(A15, Geography!B:B, 0))</f>
        <v>Iowa</v>
      </c>
      <c r="C15">
        <f>IFERROR(INDEX(AFDC_state_fuel_2024!B:B, MATCH(B15, AFDC_state_fuel_2024!A:A, 0)), 0)</f>
        <v>11700</v>
      </c>
      <c r="D15">
        <f>IF($B15=Keys!$C$62,C15*(IFERROR(INDEX(AFDC_state_fuel_2024!C:C, MATCH(Keys!$C$63, AFDC_state_fuel_2024!A:A, 0)), 0))/(IFERROR(INDEX(AFDC_state_fuel_2024!B:B, MATCH(Keys!$C$63, AFDC_state_fuel_2024!A:A, 0)), 0)),L15)</f>
        <v>7300</v>
      </c>
      <c r="E15">
        <f>IFERROR(INDEX(AFDC_state_fuel_2024!G:G, MATCH(B15, AFDC_state_fuel_2024!A:A, 0)), 0)</f>
        <v>100</v>
      </c>
      <c r="F15">
        <f>(IFERROR(INDEX(AFDC_state_fuel_2024!K:K, MATCH(B15, AFDC_state_fuel_2024!A:A, 0)), 0) + IFERROR(INDEX(AFDC_state_fuel_2024!D:D, MATCH(B15, AFDC_state_fuel_2024!A:A, 0)), 0) + IFERROR(INDEX(AFDC_state_fuel_2024!F:F, MATCH(B15, AFDC_state_fuel_2024!A:A, 0)), 0) + IFERROR(INDEX(AFDC_state_fuel_2024!J:J, MATCH(B15, AFDC_state_fuel_2024!A:A, 0)), 0)) + (IFERROR(INDEX(AFDC_state_fuel_2024!M:M, MATCH(B15, AFDC_state_fuel_2024!A:A, 0)), 0))*(IFERROR(INDEX(AFDC_state_fuel_2024!K:K, MATCH(B15, AFDC_state_fuel_2024!A:A, 0)), 0) + IFERROR(INDEX(AFDC_state_fuel_2024!D:D, MATCH(B15, AFDC_state_fuel_2024!A:A, 0)), 0) + IFERROR(INDEX(AFDC_state_fuel_2024!F:F, MATCH(B15, AFDC_state_fuel_2024!A:A, 0)), 0) + IFERROR(INDEX(AFDC_state_fuel_2024!J:J, MATCH(B15, AFDC_state_fuel_2024!A:A, 0)), 0))/((IFERROR(INDEX(AFDC_state_fuel_2024!K:K, MATCH(B15, AFDC_state_fuel_2024!A:A, 0)), 0) + IFERROR(INDEX(AFDC_state_fuel_2024!D:D, MATCH(B15, AFDC_state_fuel_2024!A:A, 0)), 0) + IFERROR(INDEX(AFDC_state_fuel_2024!F:F, MATCH(B15, AFDC_state_fuel_2024!A:A, 0)), 0) + IFERROR(INDEX(AFDC_state_fuel_2024!J:J, MATCH(B15, AFDC_state_fuel_2024!A:A, 0)), 0))+(IFERROR(INDEX(AFDC_state_fuel_2024!L:L, MATCH(B15, AFDC_state_fuel_2024!A:A, 0)), 0) + IFERROR(INDEX(AFDC_state_fuel_2024!E:E, MATCH(B15, AFDC_state_fuel_2024!A:A, 0)), 0)))</f>
        <v>3002752.2042212612</v>
      </c>
      <c r="G15">
        <f>National_totals!$F$2*K15/SUM(K3:K50)</f>
        <v>23219.478179957638</v>
      </c>
      <c r="H15">
        <f>IFERROR(INDEX(AFDC_state_fuel_2024!H:H, MATCH(B15, AFDC_state_fuel_2024!A:A, 0)), 0)</f>
        <v>0</v>
      </c>
      <c r="I15">
        <f>IFERROR(INDEX(AFDC_state_fuel_2024!I:I, MATCH(B15, AFDC_state_fuel_2024!A:A, 0)), 0)</f>
        <v>0</v>
      </c>
      <c r="J15">
        <f>IFERROR(INDEX(AFDC_state_fuel_2024!M:M, MATCH(B15, AFDC_state_fuel_2024!A:A, 0)), 0)</f>
        <v>56800</v>
      </c>
      <c r="K15">
        <f>(IFERROR(INDEX(AFDC_state_fuel_2024!L:L, MATCH(B15, AFDC_state_fuel_2024!A:A, 0)), 0) + IFERROR(INDEX(AFDC_state_fuel_2024!E:E, MATCH(B15, AFDC_state_fuel_2024!A:A, 0)), 0)) + (IFERROR(INDEX(AFDC_state_fuel_2024!M:M, MATCH(B15, AFDC_state_fuel_2024!A:A, 0)), 0))*(IFERROR(INDEX(AFDC_state_fuel_2024!L:L, MATCH(B15, AFDC_state_fuel_2024!A:A, 0)), 0) + IFERROR(INDEX(AFDC_state_fuel_2024!E:E, MATCH(B15, AFDC_state_fuel_2024!A:A, 0)), 0))/((IFERROR(INDEX(AFDC_state_fuel_2024!K:K, MATCH(B15, AFDC_state_fuel_2024!A:A, 0)), 0) + IFERROR(INDEX(AFDC_state_fuel_2024!D:D, MATCH(B15, AFDC_state_fuel_2024!A:A, 0)), 0) + IFERROR(INDEX(AFDC_state_fuel_2024!F:F, MATCH(B15, AFDC_state_fuel_2024!A:A, 0)), 0) + IFERROR(INDEX(AFDC_state_fuel_2024!J:J, MATCH(B15, AFDC_state_fuel_2024!A:A, 0)), 0))+(IFERROR(INDEX(AFDC_state_fuel_2024!L:L, MATCH(B15, AFDC_state_fuel_2024!A:A, 0)), 0) + IFERROR(INDEX(AFDC_state_fuel_2024!E:E, MATCH(B15, AFDC_state_fuel_2024!A:A, 0)), 0)))</f>
        <v>152647.79577873877</v>
      </c>
      <c r="L15">
        <f>IFERROR(INDEX(AFDC_state_fuel_2024!C:C, MATCH(B15, AFDC_state_fuel_2024!A:A, 0)), 0)</f>
        <v>7300</v>
      </c>
      <c r="M15" t="str">
        <f>IF($B15=Keys!$C$62,"OVERRIDDEN (see Keys / methodology 9.5)","")</f>
        <v/>
      </c>
    </row>
    <row r="16" spans="1:13" x14ac:dyDescent="0.45">
      <c r="A16" t="s">
        <v>76</v>
      </c>
      <c r="B16" t="str">
        <f>INDEX(Geography!C:C, MATCH(A16, Geography!B:B, 0))</f>
        <v>Kansas</v>
      </c>
      <c r="C16">
        <f>IFERROR(INDEX(AFDC_state_fuel_2024!B:B, MATCH(B16, AFDC_state_fuel_2024!A:A, 0)), 0)</f>
        <v>14500</v>
      </c>
      <c r="D16">
        <f>IF($B16=Keys!$C$62,C16*(IFERROR(INDEX(AFDC_state_fuel_2024!C:C, MATCH(Keys!$C$63, AFDC_state_fuel_2024!A:A, 0)), 0))/(IFERROR(INDEX(AFDC_state_fuel_2024!B:B, MATCH(Keys!$C$63, AFDC_state_fuel_2024!A:A, 0)), 0)),L16)</f>
        <v>6600</v>
      </c>
      <c r="E16">
        <f>IFERROR(INDEX(AFDC_state_fuel_2024!G:G, MATCH(B16, AFDC_state_fuel_2024!A:A, 0)), 0)</f>
        <v>200</v>
      </c>
      <c r="F16">
        <f>(IFERROR(INDEX(AFDC_state_fuel_2024!K:K, MATCH(B16, AFDC_state_fuel_2024!A:A, 0)), 0) + IFERROR(INDEX(AFDC_state_fuel_2024!D:D, MATCH(B16, AFDC_state_fuel_2024!A:A, 0)), 0) + IFERROR(INDEX(AFDC_state_fuel_2024!F:F, MATCH(B16, AFDC_state_fuel_2024!A:A, 0)), 0) + IFERROR(INDEX(AFDC_state_fuel_2024!J:J, MATCH(B16, AFDC_state_fuel_2024!A:A, 0)), 0)) + (IFERROR(INDEX(AFDC_state_fuel_2024!M:M, MATCH(B16, AFDC_state_fuel_2024!A:A, 0)), 0))*(IFERROR(INDEX(AFDC_state_fuel_2024!K:K, MATCH(B16, AFDC_state_fuel_2024!A:A, 0)), 0) + IFERROR(INDEX(AFDC_state_fuel_2024!D:D, MATCH(B16, AFDC_state_fuel_2024!A:A, 0)), 0) + IFERROR(INDEX(AFDC_state_fuel_2024!F:F, MATCH(B16, AFDC_state_fuel_2024!A:A, 0)), 0) + IFERROR(INDEX(AFDC_state_fuel_2024!J:J, MATCH(B16, AFDC_state_fuel_2024!A:A, 0)), 0))/((IFERROR(INDEX(AFDC_state_fuel_2024!K:K, MATCH(B16, AFDC_state_fuel_2024!A:A, 0)), 0) + IFERROR(INDEX(AFDC_state_fuel_2024!D:D, MATCH(B16, AFDC_state_fuel_2024!A:A, 0)), 0) + IFERROR(INDEX(AFDC_state_fuel_2024!F:F, MATCH(B16, AFDC_state_fuel_2024!A:A, 0)), 0) + IFERROR(INDEX(AFDC_state_fuel_2024!J:J, MATCH(B16, AFDC_state_fuel_2024!A:A, 0)), 0))+(IFERROR(INDEX(AFDC_state_fuel_2024!L:L, MATCH(B16, AFDC_state_fuel_2024!A:A, 0)), 0) + IFERROR(INDEX(AFDC_state_fuel_2024!E:E, MATCH(B16, AFDC_state_fuel_2024!A:A, 0)), 0)))</f>
        <v>2509009.4705814798</v>
      </c>
      <c r="G16">
        <f>National_totals!$F$2*K16/SUM(K3:K50)</f>
        <v>18038.977871480551</v>
      </c>
      <c r="H16">
        <f>IFERROR(INDEX(AFDC_state_fuel_2024!H:H, MATCH(B16, AFDC_state_fuel_2024!A:A, 0)), 0)</f>
        <v>100</v>
      </c>
      <c r="I16">
        <f>IFERROR(INDEX(AFDC_state_fuel_2024!I:I, MATCH(B16, AFDC_state_fuel_2024!A:A, 0)), 0)</f>
        <v>0</v>
      </c>
      <c r="J16">
        <f>IFERROR(INDEX(AFDC_state_fuel_2024!M:M, MATCH(B16, AFDC_state_fuel_2024!A:A, 0)), 0)</f>
        <v>15300</v>
      </c>
      <c r="K16">
        <f>(IFERROR(INDEX(AFDC_state_fuel_2024!L:L, MATCH(B16, AFDC_state_fuel_2024!A:A, 0)), 0) + IFERROR(INDEX(AFDC_state_fuel_2024!E:E, MATCH(B16, AFDC_state_fuel_2024!A:A, 0)), 0)) + (IFERROR(INDEX(AFDC_state_fuel_2024!M:M, MATCH(B16, AFDC_state_fuel_2024!A:A, 0)), 0))*(IFERROR(INDEX(AFDC_state_fuel_2024!L:L, MATCH(B16, AFDC_state_fuel_2024!A:A, 0)), 0) + IFERROR(INDEX(AFDC_state_fuel_2024!E:E, MATCH(B16, AFDC_state_fuel_2024!A:A, 0)), 0))/((IFERROR(INDEX(AFDC_state_fuel_2024!K:K, MATCH(B16, AFDC_state_fuel_2024!A:A, 0)), 0) + IFERROR(INDEX(AFDC_state_fuel_2024!D:D, MATCH(B16, AFDC_state_fuel_2024!A:A, 0)), 0) + IFERROR(INDEX(AFDC_state_fuel_2024!F:F, MATCH(B16, AFDC_state_fuel_2024!A:A, 0)), 0) + IFERROR(INDEX(AFDC_state_fuel_2024!J:J, MATCH(B16, AFDC_state_fuel_2024!A:A, 0)), 0))+(IFERROR(INDEX(AFDC_state_fuel_2024!L:L, MATCH(B16, AFDC_state_fuel_2024!A:A, 0)), 0) + IFERROR(INDEX(AFDC_state_fuel_2024!E:E, MATCH(B16, AFDC_state_fuel_2024!A:A, 0)), 0)))</f>
        <v>118590.52941852008</v>
      </c>
      <c r="L16">
        <f>IFERROR(INDEX(AFDC_state_fuel_2024!C:C, MATCH(B16, AFDC_state_fuel_2024!A:A, 0)), 0)</f>
        <v>6600</v>
      </c>
      <c r="M16" t="str">
        <f>IF($B16=Keys!$C$62,"OVERRIDDEN (see Keys / methodology 9.5)","")</f>
        <v/>
      </c>
    </row>
    <row r="17" spans="1:13" x14ac:dyDescent="0.45">
      <c r="A17" t="s">
        <v>79</v>
      </c>
      <c r="B17" t="str">
        <f>INDEX(Geography!C:C, MATCH(A17, Geography!B:B, 0))</f>
        <v>Kentucky</v>
      </c>
      <c r="C17">
        <f>IFERROR(INDEX(AFDC_state_fuel_2024!B:B, MATCH(B17, AFDC_state_fuel_2024!A:A, 0)), 0)</f>
        <v>15000</v>
      </c>
      <c r="D17">
        <f>IF($B17=Keys!$C$62,C17*(IFERROR(INDEX(AFDC_state_fuel_2024!C:C, MATCH(Keys!$C$63, AFDC_state_fuel_2024!A:A, 0)), 0))/(IFERROR(INDEX(AFDC_state_fuel_2024!B:B, MATCH(Keys!$C$63, AFDC_state_fuel_2024!A:A, 0)), 0)),L17)</f>
        <v>6400</v>
      </c>
      <c r="E17">
        <f>IFERROR(INDEX(AFDC_state_fuel_2024!G:G, MATCH(B17, AFDC_state_fuel_2024!A:A, 0)), 0)</f>
        <v>300</v>
      </c>
      <c r="F17">
        <f>(IFERROR(INDEX(AFDC_state_fuel_2024!K:K, MATCH(B17, AFDC_state_fuel_2024!A:A, 0)), 0) + IFERROR(INDEX(AFDC_state_fuel_2024!D:D, MATCH(B17, AFDC_state_fuel_2024!A:A, 0)), 0) + IFERROR(INDEX(AFDC_state_fuel_2024!F:F, MATCH(B17, AFDC_state_fuel_2024!A:A, 0)), 0) + IFERROR(INDEX(AFDC_state_fuel_2024!J:J, MATCH(B17, AFDC_state_fuel_2024!A:A, 0)), 0)) + (IFERROR(INDEX(AFDC_state_fuel_2024!M:M, MATCH(B17, AFDC_state_fuel_2024!A:A, 0)), 0))*(IFERROR(INDEX(AFDC_state_fuel_2024!K:K, MATCH(B17, AFDC_state_fuel_2024!A:A, 0)), 0) + IFERROR(INDEX(AFDC_state_fuel_2024!D:D, MATCH(B17, AFDC_state_fuel_2024!A:A, 0)), 0) + IFERROR(INDEX(AFDC_state_fuel_2024!F:F, MATCH(B17, AFDC_state_fuel_2024!A:A, 0)), 0) + IFERROR(INDEX(AFDC_state_fuel_2024!J:J, MATCH(B17, AFDC_state_fuel_2024!A:A, 0)), 0))/((IFERROR(INDEX(AFDC_state_fuel_2024!K:K, MATCH(B17, AFDC_state_fuel_2024!A:A, 0)), 0) + IFERROR(INDEX(AFDC_state_fuel_2024!D:D, MATCH(B17, AFDC_state_fuel_2024!A:A, 0)), 0) + IFERROR(INDEX(AFDC_state_fuel_2024!F:F, MATCH(B17, AFDC_state_fuel_2024!A:A, 0)), 0) + IFERROR(INDEX(AFDC_state_fuel_2024!J:J, MATCH(B17, AFDC_state_fuel_2024!A:A, 0)), 0))+(IFERROR(INDEX(AFDC_state_fuel_2024!L:L, MATCH(B17, AFDC_state_fuel_2024!A:A, 0)), 0) + IFERROR(INDEX(AFDC_state_fuel_2024!E:E, MATCH(B17, AFDC_state_fuel_2024!A:A, 0)), 0)))</f>
        <v>3806926.4290244831</v>
      </c>
      <c r="G17">
        <f>National_totals!$F$2*K17/SUM(K3:K50)</f>
        <v>23831.844698990102</v>
      </c>
      <c r="H17">
        <f>IFERROR(INDEX(AFDC_state_fuel_2024!H:H, MATCH(B17, AFDC_state_fuel_2024!A:A, 0)), 0)</f>
        <v>0</v>
      </c>
      <c r="I17">
        <f>IFERROR(INDEX(AFDC_state_fuel_2024!I:I, MATCH(B17, AFDC_state_fuel_2024!A:A, 0)), 0)</f>
        <v>0</v>
      </c>
      <c r="J17">
        <f>IFERROR(INDEX(AFDC_state_fuel_2024!M:M, MATCH(B17, AFDC_state_fuel_2024!A:A, 0)), 0)</f>
        <v>22100</v>
      </c>
      <c r="K17">
        <f>(IFERROR(INDEX(AFDC_state_fuel_2024!L:L, MATCH(B17, AFDC_state_fuel_2024!A:A, 0)), 0) + IFERROR(INDEX(AFDC_state_fuel_2024!E:E, MATCH(B17, AFDC_state_fuel_2024!A:A, 0)), 0)) + (IFERROR(INDEX(AFDC_state_fuel_2024!M:M, MATCH(B17, AFDC_state_fuel_2024!A:A, 0)), 0))*(IFERROR(INDEX(AFDC_state_fuel_2024!L:L, MATCH(B17, AFDC_state_fuel_2024!A:A, 0)), 0) + IFERROR(INDEX(AFDC_state_fuel_2024!E:E, MATCH(B17, AFDC_state_fuel_2024!A:A, 0)), 0))/((IFERROR(INDEX(AFDC_state_fuel_2024!K:K, MATCH(B17, AFDC_state_fuel_2024!A:A, 0)), 0) + IFERROR(INDEX(AFDC_state_fuel_2024!D:D, MATCH(B17, AFDC_state_fuel_2024!A:A, 0)), 0) + IFERROR(INDEX(AFDC_state_fuel_2024!F:F, MATCH(B17, AFDC_state_fuel_2024!A:A, 0)), 0) + IFERROR(INDEX(AFDC_state_fuel_2024!J:J, MATCH(B17, AFDC_state_fuel_2024!A:A, 0)), 0))+(IFERROR(INDEX(AFDC_state_fuel_2024!L:L, MATCH(B17, AFDC_state_fuel_2024!A:A, 0)), 0) + IFERROR(INDEX(AFDC_state_fuel_2024!E:E, MATCH(B17, AFDC_state_fuel_2024!A:A, 0)), 0)))</f>
        <v>156673.57097551692</v>
      </c>
      <c r="L17">
        <f>IFERROR(INDEX(AFDC_state_fuel_2024!C:C, MATCH(B17, AFDC_state_fuel_2024!A:A, 0)), 0)</f>
        <v>6400</v>
      </c>
      <c r="M17" t="str">
        <f>IF($B17=Keys!$C$62,"OVERRIDDEN (see Keys / methodology 9.5)","")</f>
        <v/>
      </c>
    </row>
    <row r="18" spans="1:13" x14ac:dyDescent="0.45">
      <c r="A18" t="s">
        <v>82</v>
      </c>
      <c r="B18" t="str">
        <f>INDEX(Geography!C:C, MATCH(A18, Geography!B:B, 0))</f>
        <v>Louisiana</v>
      </c>
      <c r="C18">
        <f>IFERROR(INDEX(AFDC_state_fuel_2024!B:B, MATCH(B18, AFDC_state_fuel_2024!A:A, 0)), 0)</f>
        <v>11600</v>
      </c>
      <c r="D18">
        <f>IF($B18=Keys!$C$62,C18*(IFERROR(INDEX(AFDC_state_fuel_2024!C:C, MATCH(Keys!$C$63, AFDC_state_fuel_2024!A:A, 0)), 0))/(IFERROR(INDEX(AFDC_state_fuel_2024!B:B, MATCH(Keys!$C$63, AFDC_state_fuel_2024!A:A, 0)), 0)),L18)</f>
        <v>4600</v>
      </c>
      <c r="E18">
        <f>IFERROR(INDEX(AFDC_state_fuel_2024!G:G, MATCH(B18, AFDC_state_fuel_2024!A:A, 0)), 0)</f>
        <v>100</v>
      </c>
      <c r="F18">
        <f>(IFERROR(INDEX(AFDC_state_fuel_2024!K:K, MATCH(B18, AFDC_state_fuel_2024!A:A, 0)), 0) + IFERROR(INDEX(AFDC_state_fuel_2024!D:D, MATCH(B18, AFDC_state_fuel_2024!A:A, 0)), 0) + IFERROR(INDEX(AFDC_state_fuel_2024!F:F, MATCH(B18, AFDC_state_fuel_2024!A:A, 0)), 0) + IFERROR(INDEX(AFDC_state_fuel_2024!J:J, MATCH(B18, AFDC_state_fuel_2024!A:A, 0)), 0)) + (IFERROR(INDEX(AFDC_state_fuel_2024!M:M, MATCH(B18, AFDC_state_fuel_2024!A:A, 0)), 0))*(IFERROR(INDEX(AFDC_state_fuel_2024!K:K, MATCH(B18, AFDC_state_fuel_2024!A:A, 0)), 0) + IFERROR(INDEX(AFDC_state_fuel_2024!D:D, MATCH(B18, AFDC_state_fuel_2024!A:A, 0)), 0) + IFERROR(INDEX(AFDC_state_fuel_2024!F:F, MATCH(B18, AFDC_state_fuel_2024!A:A, 0)), 0) + IFERROR(INDEX(AFDC_state_fuel_2024!J:J, MATCH(B18, AFDC_state_fuel_2024!A:A, 0)), 0))/((IFERROR(INDEX(AFDC_state_fuel_2024!K:K, MATCH(B18, AFDC_state_fuel_2024!A:A, 0)), 0) + IFERROR(INDEX(AFDC_state_fuel_2024!D:D, MATCH(B18, AFDC_state_fuel_2024!A:A, 0)), 0) + IFERROR(INDEX(AFDC_state_fuel_2024!F:F, MATCH(B18, AFDC_state_fuel_2024!A:A, 0)), 0) + IFERROR(INDEX(AFDC_state_fuel_2024!J:J, MATCH(B18, AFDC_state_fuel_2024!A:A, 0)), 0))+(IFERROR(INDEX(AFDC_state_fuel_2024!L:L, MATCH(B18, AFDC_state_fuel_2024!A:A, 0)), 0) + IFERROR(INDEX(AFDC_state_fuel_2024!E:E, MATCH(B18, AFDC_state_fuel_2024!A:A, 0)), 0)))</f>
        <v>3581294.5264337757</v>
      </c>
      <c r="G18">
        <f>National_totals!$F$2*K18/SUM(K3:K50)</f>
        <v>28034.973581411959</v>
      </c>
      <c r="H18">
        <f>IFERROR(INDEX(AFDC_state_fuel_2024!H:H, MATCH(B18, AFDC_state_fuel_2024!A:A, 0)), 0)</f>
        <v>0</v>
      </c>
      <c r="I18">
        <f>IFERROR(INDEX(AFDC_state_fuel_2024!I:I, MATCH(B18, AFDC_state_fuel_2024!A:A, 0)), 0)</f>
        <v>0</v>
      </c>
      <c r="J18">
        <f>IFERROR(INDEX(AFDC_state_fuel_2024!M:M, MATCH(B18, AFDC_state_fuel_2024!A:A, 0)), 0)</f>
        <v>18500</v>
      </c>
      <c r="K18">
        <f>(IFERROR(INDEX(AFDC_state_fuel_2024!L:L, MATCH(B18, AFDC_state_fuel_2024!A:A, 0)), 0) + IFERROR(INDEX(AFDC_state_fuel_2024!E:E, MATCH(B18, AFDC_state_fuel_2024!A:A, 0)), 0)) + (IFERROR(INDEX(AFDC_state_fuel_2024!M:M, MATCH(B18, AFDC_state_fuel_2024!A:A, 0)), 0))*(IFERROR(INDEX(AFDC_state_fuel_2024!L:L, MATCH(B18, AFDC_state_fuel_2024!A:A, 0)), 0) + IFERROR(INDEX(AFDC_state_fuel_2024!E:E, MATCH(B18, AFDC_state_fuel_2024!A:A, 0)), 0))/((IFERROR(INDEX(AFDC_state_fuel_2024!K:K, MATCH(B18, AFDC_state_fuel_2024!A:A, 0)), 0) + IFERROR(INDEX(AFDC_state_fuel_2024!D:D, MATCH(B18, AFDC_state_fuel_2024!A:A, 0)), 0) + IFERROR(INDEX(AFDC_state_fuel_2024!F:F, MATCH(B18, AFDC_state_fuel_2024!A:A, 0)), 0) + IFERROR(INDEX(AFDC_state_fuel_2024!J:J, MATCH(B18, AFDC_state_fuel_2024!A:A, 0)), 0))+(IFERROR(INDEX(AFDC_state_fuel_2024!L:L, MATCH(B18, AFDC_state_fuel_2024!A:A, 0)), 0) + IFERROR(INDEX(AFDC_state_fuel_2024!E:E, MATCH(B18, AFDC_state_fuel_2024!A:A, 0)), 0)))</f>
        <v>184305.47356622454</v>
      </c>
      <c r="L18">
        <f>IFERROR(INDEX(AFDC_state_fuel_2024!C:C, MATCH(B18, AFDC_state_fuel_2024!A:A, 0)), 0)</f>
        <v>4600</v>
      </c>
      <c r="M18" t="str">
        <f>IF($B18=Keys!$C$62,"OVERRIDDEN (see Keys / methodology 9.5)","")</f>
        <v/>
      </c>
    </row>
    <row r="19" spans="1:13" x14ac:dyDescent="0.45">
      <c r="A19" t="s">
        <v>84</v>
      </c>
      <c r="B19" t="str">
        <f>INDEX(Geography!C:C, MATCH(A19, Geography!B:B, 0))</f>
        <v>Maine</v>
      </c>
      <c r="C19">
        <f>IFERROR(INDEX(AFDC_state_fuel_2024!B:B, MATCH(B19, AFDC_state_fuel_2024!A:A, 0)), 0)</f>
        <v>9700</v>
      </c>
      <c r="D19">
        <f>IF($B19=Keys!$C$62,C19*(IFERROR(INDEX(AFDC_state_fuel_2024!C:C, MATCH(Keys!$C$63, AFDC_state_fuel_2024!A:A, 0)), 0))/(IFERROR(INDEX(AFDC_state_fuel_2024!B:B, MATCH(Keys!$C$63, AFDC_state_fuel_2024!A:A, 0)), 0)),L19)</f>
        <v>9200</v>
      </c>
      <c r="E19">
        <f>IFERROR(INDEX(AFDC_state_fuel_2024!G:G, MATCH(B19, AFDC_state_fuel_2024!A:A, 0)), 0)</f>
        <v>0</v>
      </c>
      <c r="F19">
        <f>(IFERROR(INDEX(AFDC_state_fuel_2024!K:K, MATCH(B19, AFDC_state_fuel_2024!A:A, 0)), 0) + IFERROR(INDEX(AFDC_state_fuel_2024!D:D, MATCH(B19, AFDC_state_fuel_2024!A:A, 0)), 0) + IFERROR(INDEX(AFDC_state_fuel_2024!F:F, MATCH(B19, AFDC_state_fuel_2024!A:A, 0)), 0) + IFERROR(INDEX(AFDC_state_fuel_2024!J:J, MATCH(B19, AFDC_state_fuel_2024!A:A, 0)), 0)) + (IFERROR(INDEX(AFDC_state_fuel_2024!M:M, MATCH(B19, AFDC_state_fuel_2024!A:A, 0)), 0))*(IFERROR(INDEX(AFDC_state_fuel_2024!K:K, MATCH(B19, AFDC_state_fuel_2024!A:A, 0)), 0) + IFERROR(INDEX(AFDC_state_fuel_2024!D:D, MATCH(B19, AFDC_state_fuel_2024!A:A, 0)), 0) + IFERROR(INDEX(AFDC_state_fuel_2024!F:F, MATCH(B19, AFDC_state_fuel_2024!A:A, 0)), 0) + IFERROR(INDEX(AFDC_state_fuel_2024!J:J, MATCH(B19, AFDC_state_fuel_2024!A:A, 0)), 0))/((IFERROR(INDEX(AFDC_state_fuel_2024!K:K, MATCH(B19, AFDC_state_fuel_2024!A:A, 0)), 0) + IFERROR(INDEX(AFDC_state_fuel_2024!D:D, MATCH(B19, AFDC_state_fuel_2024!A:A, 0)), 0) + IFERROR(INDEX(AFDC_state_fuel_2024!F:F, MATCH(B19, AFDC_state_fuel_2024!A:A, 0)), 0) + IFERROR(INDEX(AFDC_state_fuel_2024!J:J, MATCH(B19, AFDC_state_fuel_2024!A:A, 0)), 0))+(IFERROR(INDEX(AFDC_state_fuel_2024!L:L, MATCH(B19, AFDC_state_fuel_2024!A:A, 0)), 0) + IFERROR(INDEX(AFDC_state_fuel_2024!E:E, MATCH(B19, AFDC_state_fuel_2024!A:A, 0)), 0)))</f>
        <v>1196722.5704053394</v>
      </c>
      <c r="G19">
        <f>National_totals!$F$2*K19/SUM(K3:K50)</f>
        <v>6141.8695281716018</v>
      </c>
      <c r="H19">
        <f>IFERROR(INDEX(AFDC_state_fuel_2024!H:H, MATCH(B19, AFDC_state_fuel_2024!A:A, 0)), 0)</f>
        <v>0</v>
      </c>
      <c r="I19">
        <f>IFERROR(INDEX(AFDC_state_fuel_2024!I:I, MATCH(B19, AFDC_state_fuel_2024!A:A, 0)), 0)</f>
        <v>0</v>
      </c>
      <c r="J19">
        <f>IFERROR(INDEX(AFDC_state_fuel_2024!M:M, MATCH(B19, AFDC_state_fuel_2024!A:A, 0)), 0)</f>
        <v>8500</v>
      </c>
      <c r="K19">
        <f>(IFERROR(INDEX(AFDC_state_fuel_2024!L:L, MATCH(B19, AFDC_state_fuel_2024!A:A, 0)), 0) + IFERROR(INDEX(AFDC_state_fuel_2024!E:E, MATCH(B19, AFDC_state_fuel_2024!A:A, 0)), 0)) + (IFERROR(INDEX(AFDC_state_fuel_2024!M:M, MATCH(B19, AFDC_state_fuel_2024!A:A, 0)), 0))*(IFERROR(INDEX(AFDC_state_fuel_2024!L:L, MATCH(B19, AFDC_state_fuel_2024!A:A, 0)), 0) + IFERROR(INDEX(AFDC_state_fuel_2024!E:E, MATCH(B19, AFDC_state_fuel_2024!A:A, 0)), 0))/((IFERROR(INDEX(AFDC_state_fuel_2024!K:K, MATCH(B19, AFDC_state_fuel_2024!A:A, 0)), 0) + IFERROR(INDEX(AFDC_state_fuel_2024!D:D, MATCH(B19, AFDC_state_fuel_2024!A:A, 0)), 0) + IFERROR(INDEX(AFDC_state_fuel_2024!F:F, MATCH(B19, AFDC_state_fuel_2024!A:A, 0)), 0) + IFERROR(INDEX(AFDC_state_fuel_2024!J:J, MATCH(B19, AFDC_state_fuel_2024!A:A, 0)), 0))+(IFERROR(INDEX(AFDC_state_fuel_2024!L:L, MATCH(B19, AFDC_state_fuel_2024!A:A, 0)), 0) + IFERROR(INDEX(AFDC_state_fuel_2024!E:E, MATCH(B19, AFDC_state_fuel_2024!A:A, 0)), 0)))</f>
        <v>40377.429594660593</v>
      </c>
      <c r="L19">
        <f>IFERROR(INDEX(AFDC_state_fuel_2024!C:C, MATCH(B19, AFDC_state_fuel_2024!A:A, 0)), 0)</f>
        <v>9200</v>
      </c>
      <c r="M19" t="str">
        <f>IF($B19=Keys!$C$62,"OVERRIDDEN (see Keys / methodology 9.5)","")</f>
        <v/>
      </c>
    </row>
    <row r="20" spans="1:13" x14ac:dyDescent="0.45">
      <c r="A20" t="s">
        <v>87</v>
      </c>
      <c r="B20" t="str">
        <f>INDEX(Geography!C:C, MATCH(A20, Geography!B:B, 0))</f>
        <v>Maryland</v>
      </c>
      <c r="C20">
        <f>IFERROR(INDEX(AFDC_state_fuel_2024!B:B, MATCH(B20, AFDC_state_fuel_2024!A:A, 0)), 0)</f>
        <v>94900</v>
      </c>
      <c r="D20">
        <f>IF($B20=Keys!$C$62,C20*(IFERROR(INDEX(AFDC_state_fuel_2024!C:C, MATCH(Keys!$C$63, AFDC_state_fuel_2024!A:A, 0)), 0))/(IFERROR(INDEX(AFDC_state_fuel_2024!B:B, MATCH(Keys!$C$63, AFDC_state_fuel_2024!A:A, 0)), 0)),L20)</f>
        <v>36600</v>
      </c>
      <c r="E20">
        <f>IFERROR(INDEX(AFDC_state_fuel_2024!G:G, MATCH(B20, AFDC_state_fuel_2024!A:A, 0)), 0)</f>
        <v>200</v>
      </c>
      <c r="F20">
        <f>(IFERROR(INDEX(AFDC_state_fuel_2024!K:K, MATCH(B20, AFDC_state_fuel_2024!A:A, 0)), 0) + IFERROR(INDEX(AFDC_state_fuel_2024!D:D, MATCH(B20, AFDC_state_fuel_2024!A:A, 0)), 0) + IFERROR(INDEX(AFDC_state_fuel_2024!F:F, MATCH(B20, AFDC_state_fuel_2024!A:A, 0)), 0) + IFERROR(INDEX(AFDC_state_fuel_2024!J:J, MATCH(B20, AFDC_state_fuel_2024!A:A, 0)), 0)) + (IFERROR(INDEX(AFDC_state_fuel_2024!M:M, MATCH(B20, AFDC_state_fuel_2024!A:A, 0)), 0))*(IFERROR(INDEX(AFDC_state_fuel_2024!K:K, MATCH(B20, AFDC_state_fuel_2024!A:A, 0)), 0) + IFERROR(INDEX(AFDC_state_fuel_2024!D:D, MATCH(B20, AFDC_state_fuel_2024!A:A, 0)), 0) + IFERROR(INDEX(AFDC_state_fuel_2024!F:F, MATCH(B20, AFDC_state_fuel_2024!A:A, 0)), 0) + IFERROR(INDEX(AFDC_state_fuel_2024!J:J, MATCH(B20, AFDC_state_fuel_2024!A:A, 0)), 0))/((IFERROR(INDEX(AFDC_state_fuel_2024!K:K, MATCH(B20, AFDC_state_fuel_2024!A:A, 0)), 0) + IFERROR(INDEX(AFDC_state_fuel_2024!D:D, MATCH(B20, AFDC_state_fuel_2024!A:A, 0)), 0) + IFERROR(INDEX(AFDC_state_fuel_2024!F:F, MATCH(B20, AFDC_state_fuel_2024!A:A, 0)), 0) + IFERROR(INDEX(AFDC_state_fuel_2024!J:J, MATCH(B20, AFDC_state_fuel_2024!A:A, 0)), 0))+(IFERROR(INDEX(AFDC_state_fuel_2024!L:L, MATCH(B20, AFDC_state_fuel_2024!A:A, 0)), 0) + IFERROR(INDEX(AFDC_state_fuel_2024!E:E, MATCH(B20, AFDC_state_fuel_2024!A:A, 0)), 0)))</f>
        <v>4781046.2006079024</v>
      </c>
      <c r="G20">
        <f>National_totals!$F$2*K20/SUM(K3:K50)</f>
        <v>18124.657686208164</v>
      </c>
      <c r="H20">
        <f>IFERROR(INDEX(AFDC_state_fuel_2024!H:H, MATCH(B20, AFDC_state_fuel_2024!A:A, 0)), 0)</f>
        <v>0</v>
      </c>
      <c r="I20">
        <f>IFERROR(INDEX(AFDC_state_fuel_2024!I:I, MATCH(B20, AFDC_state_fuel_2024!A:A, 0)), 0)</f>
        <v>0</v>
      </c>
      <c r="J20">
        <f>IFERROR(INDEX(AFDC_state_fuel_2024!M:M, MATCH(B20, AFDC_state_fuel_2024!A:A, 0)), 0)</f>
        <v>31000</v>
      </c>
      <c r="K20">
        <f>(IFERROR(INDEX(AFDC_state_fuel_2024!L:L, MATCH(B20, AFDC_state_fuel_2024!A:A, 0)), 0) + IFERROR(INDEX(AFDC_state_fuel_2024!E:E, MATCH(B20, AFDC_state_fuel_2024!A:A, 0)), 0)) + (IFERROR(INDEX(AFDC_state_fuel_2024!M:M, MATCH(B20, AFDC_state_fuel_2024!A:A, 0)), 0))*(IFERROR(INDEX(AFDC_state_fuel_2024!L:L, MATCH(B20, AFDC_state_fuel_2024!A:A, 0)), 0) + IFERROR(INDEX(AFDC_state_fuel_2024!E:E, MATCH(B20, AFDC_state_fuel_2024!A:A, 0)), 0))/((IFERROR(INDEX(AFDC_state_fuel_2024!K:K, MATCH(B20, AFDC_state_fuel_2024!A:A, 0)), 0) + IFERROR(INDEX(AFDC_state_fuel_2024!D:D, MATCH(B20, AFDC_state_fuel_2024!A:A, 0)), 0) + IFERROR(INDEX(AFDC_state_fuel_2024!F:F, MATCH(B20, AFDC_state_fuel_2024!A:A, 0)), 0) + IFERROR(INDEX(AFDC_state_fuel_2024!J:J, MATCH(B20, AFDC_state_fuel_2024!A:A, 0)), 0))+(IFERROR(INDEX(AFDC_state_fuel_2024!L:L, MATCH(B20, AFDC_state_fuel_2024!A:A, 0)), 0) + IFERROR(INDEX(AFDC_state_fuel_2024!E:E, MATCH(B20, AFDC_state_fuel_2024!A:A, 0)), 0)))</f>
        <v>119153.79939209727</v>
      </c>
      <c r="L20">
        <f>IFERROR(INDEX(AFDC_state_fuel_2024!C:C, MATCH(B20, AFDC_state_fuel_2024!A:A, 0)), 0)</f>
        <v>36600</v>
      </c>
      <c r="M20" t="str">
        <f>IF($B20=Keys!$C$62,"OVERRIDDEN (see Keys / methodology 9.5)","")</f>
        <v/>
      </c>
    </row>
    <row r="21" spans="1:13" x14ac:dyDescent="0.45">
      <c r="A21" t="s">
        <v>90</v>
      </c>
      <c r="B21" t="str">
        <f>INDEX(Geography!C:C, MATCH(A21, Geography!B:B, 0))</f>
        <v>Massachusetts</v>
      </c>
      <c r="C21">
        <f>IFERROR(INDEX(AFDC_state_fuel_2024!B:B, MATCH(B21, AFDC_state_fuel_2024!A:A, 0)), 0)</f>
        <v>91100</v>
      </c>
      <c r="D21">
        <f>IF($B21=Keys!$C$62,C21*(IFERROR(INDEX(AFDC_state_fuel_2024!C:C, MATCH(Keys!$C$63, AFDC_state_fuel_2024!A:A, 0)), 0))/(IFERROR(INDEX(AFDC_state_fuel_2024!B:B, MATCH(Keys!$C$63, AFDC_state_fuel_2024!A:A, 0)), 0)),L21)</f>
        <v>52200</v>
      </c>
      <c r="E21">
        <f>IFERROR(INDEX(AFDC_state_fuel_2024!G:G, MATCH(B21, AFDC_state_fuel_2024!A:A, 0)), 0)</f>
        <v>200</v>
      </c>
      <c r="F21">
        <f>(IFERROR(INDEX(AFDC_state_fuel_2024!K:K, MATCH(B21, AFDC_state_fuel_2024!A:A, 0)), 0) + IFERROR(INDEX(AFDC_state_fuel_2024!D:D, MATCH(B21, AFDC_state_fuel_2024!A:A, 0)), 0) + IFERROR(INDEX(AFDC_state_fuel_2024!F:F, MATCH(B21, AFDC_state_fuel_2024!A:A, 0)), 0) + IFERROR(INDEX(AFDC_state_fuel_2024!J:J, MATCH(B21, AFDC_state_fuel_2024!A:A, 0)), 0)) + (IFERROR(INDEX(AFDC_state_fuel_2024!M:M, MATCH(B21, AFDC_state_fuel_2024!A:A, 0)), 0))*(IFERROR(INDEX(AFDC_state_fuel_2024!K:K, MATCH(B21, AFDC_state_fuel_2024!A:A, 0)), 0) + IFERROR(INDEX(AFDC_state_fuel_2024!D:D, MATCH(B21, AFDC_state_fuel_2024!A:A, 0)), 0) + IFERROR(INDEX(AFDC_state_fuel_2024!F:F, MATCH(B21, AFDC_state_fuel_2024!A:A, 0)), 0) + IFERROR(INDEX(AFDC_state_fuel_2024!J:J, MATCH(B21, AFDC_state_fuel_2024!A:A, 0)), 0))/((IFERROR(INDEX(AFDC_state_fuel_2024!K:K, MATCH(B21, AFDC_state_fuel_2024!A:A, 0)), 0) + IFERROR(INDEX(AFDC_state_fuel_2024!D:D, MATCH(B21, AFDC_state_fuel_2024!A:A, 0)), 0) + IFERROR(INDEX(AFDC_state_fuel_2024!F:F, MATCH(B21, AFDC_state_fuel_2024!A:A, 0)), 0) + IFERROR(INDEX(AFDC_state_fuel_2024!J:J, MATCH(B21, AFDC_state_fuel_2024!A:A, 0)), 0))+(IFERROR(INDEX(AFDC_state_fuel_2024!L:L, MATCH(B21, AFDC_state_fuel_2024!A:A, 0)), 0) + IFERROR(INDEX(AFDC_state_fuel_2024!E:E, MATCH(B21, AFDC_state_fuel_2024!A:A, 0)), 0)))</f>
        <v>5311256.0786361769</v>
      </c>
      <c r="G21">
        <f>National_totals!$F$2*K21/SUM(K3:K50)</f>
        <v>12175.597269937116</v>
      </c>
      <c r="H21">
        <f>IFERROR(INDEX(AFDC_state_fuel_2024!H:H, MATCH(B21, AFDC_state_fuel_2024!A:A, 0)), 0)</f>
        <v>0</v>
      </c>
      <c r="I21">
        <f>IFERROR(INDEX(AFDC_state_fuel_2024!I:I, MATCH(B21, AFDC_state_fuel_2024!A:A, 0)), 0)</f>
        <v>0</v>
      </c>
      <c r="J21">
        <f>IFERROR(INDEX(AFDC_state_fuel_2024!M:M, MATCH(B21, AFDC_state_fuel_2024!A:A, 0)), 0)</f>
        <v>29900</v>
      </c>
      <c r="K21">
        <f>(IFERROR(INDEX(AFDC_state_fuel_2024!L:L, MATCH(B21, AFDC_state_fuel_2024!A:A, 0)), 0) + IFERROR(INDEX(AFDC_state_fuel_2024!E:E, MATCH(B21, AFDC_state_fuel_2024!A:A, 0)), 0)) + (IFERROR(INDEX(AFDC_state_fuel_2024!M:M, MATCH(B21, AFDC_state_fuel_2024!A:A, 0)), 0))*(IFERROR(INDEX(AFDC_state_fuel_2024!L:L, MATCH(B21, AFDC_state_fuel_2024!A:A, 0)), 0) + IFERROR(INDEX(AFDC_state_fuel_2024!E:E, MATCH(B21, AFDC_state_fuel_2024!A:A, 0)), 0))/((IFERROR(INDEX(AFDC_state_fuel_2024!K:K, MATCH(B21, AFDC_state_fuel_2024!A:A, 0)), 0) + IFERROR(INDEX(AFDC_state_fuel_2024!D:D, MATCH(B21, AFDC_state_fuel_2024!A:A, 0)), 0) + IFERROR(INDEX(AFDC_state_fuel_2024!F:F, MATCH(B21, AFDC_state_fuel_2024!A:A, 0)), 0) + IFERROR(INDEX(AFDC_state_fuel_2024!J:J, MATCH(B21, AFDC_state_fuel_2024!A:A, 0)), 0))+(IFERROR(INDEX(AFDC_state_fuel_2024!L:L, MATCH(B21, AFDC_state_fuel_2024!A:A, 0)), 0) + IFERROR(INDEX(AFDC_state_fuel_2024!E:E, MATCH(B21, AFDC_state_fuel_2024!A:A, 0)), 0)))</f>
        <v>80043.921363822883</v>
      </c>
      <c r="L21">
        <f>IFERROR(INDEX(AFDC_state_fuel_2024!C:C, MATCH(B21, AFDC_state_fuel_2024!A:A, 0)), 0)</f>
        <v>52200</v>
      </c>
      <c r="M21" t="str">
        <f>IF($B21=Keys!$C$62,"OVERRIDDEN (see Keys / methodology 9.5)","")</f>
        <v/>
      </c>
    </row>
    <row r="22" spans="1:13" x14ac:dyDescent="0.45">
      <c r="A22" t="s">
        <v>92</v>
      </c>
      <c r="B22" t="str">
        <f>INDEX(Geography!C:C, MATCH(A22, Geography!B:B, 0))</f>
        <v>Michigan</v>
      </c>
      <c r="C22">
        <f>IFERROR(INDEX(AFDC_state_fuel_2024!B:B, MATCH(B22, AFDC_state_fuel_2024!A:A, 0)), 0)</f>
        <v>75800</v>
      </c>
      <c r="D22">
        <f>IF($B22=Keys!$C$62,C22*(IFERROR(INDEX(AFDC_state_fuel_2024!C:C, MATCH(Keys!$C$63, AFDC_state_fuel_2024!A:A, 0)), 0))/(IFERROR(INDEX(AFDC_state_fuel_2024!B:B, MATCH(Keys!$C$63, AFDC_state_fuel_2024!A:A, 0)), 0)),L22)</f>
        <v>33600</v>
      </c>
      <c r="E22">
        <f>IFERROR(INDEX(AFDC_state_fuel_2024!G:G, MATCH(B22, AFDC_state_fuel_2024!A:A, 0)), 0)</f>
        <v>300</v>
      </c>
      <c r="F22">
        <f>(IFERROR(INDEX(AFDC_state_fuel_2024!K:K, MATCH(B22, AFDC_state_fuel_2024!A:A, 0)), 0) + IFERROR(INDEX(AFDC_state_fuel_2024!D:D, MATCH(B22, AFDC_state_fuel_2024!A:A, 0)), 0) + IFERROR(INDEX(AFDC_state_fuel_2024!F:F, MATCH(B22, AFDC_state_fuel_2024!A:A, 0)), 0) + IFERROR(INDEX(AFDC_state_fuel_2024!J:J, MATCH(B22, AFDC_state_fuel_2024!A:A, 0)), 0)) + (IFERROR(INDEX(AFDC_state_fuel_2024!M:M, MATCH(B22, AFDC_state_fuel_2024!A:A, 0)), 0))*(IFERROR(INDEX(AFDC_state_fuel_2024!K:K, MATCH(B22, AFDC_state_fuel_2024!A:A, 0)), 0) + IFERROR(INDEX(AFDC_state_fuel_2024!D:D, MATCH(B22, AFDC_state_fuel_2024!A:A, 0)), 0) + IFERROR(INDEX(AFDC_state_fuel_2024!F:F, MATCH(B22, AFDC_state_fuel_2024!A:A, 0)), 0) + IFERROR(INDEX(AFDC_state_fuel_2024!J:J, MATCH(B22, AFDC_state_fuel_2024!A:A, 0)), 0))/((IFERROR(INDEX(AFDC_state_fuel_2024!K:K, MATCH(B22, AFDC_state_fuel_2024!A:A, 0)), 0) + IFERROR(INDEX(AFDC_state_fuel_2024!D:D, MATCH(B22, AFDC_state_fuel_2024!A:A, 0)), 0) + IFERROR(INDEX(AFDC_state_fuel_2024!F:F, MATCH(B22, AFDC_state_fuel_2024!A:A, 0)), 0) + IFERROR(INDEX(AFDC_state_fuel_2024!J:J, MATCH(B22, AFDC_state_fuel_2024!A:A, 0)), 0))+(IFERROR(INDEX(AFDC_state_fuel_2024!L:L, MATCH(B22, AFDC_state_fuel_2024!A:A, 0)), 0) + IFERROR(INDEX(AFDC_state_fuel_2024!E:E, MATCH(B22, AFDC_state_fuel_2024!A:A, 0)), 0)))</f>
        <v>8223739.5193163613</v>
      </c>
      <c r="G22">
        <f>National_totals!$F$2*K22/SUM(K3:K50)</f>
        <v>38189.174782013972</v>
      </c>
      <c r="H22">
        <f>IFERROR(INDEX(AFDC_state_fuel_2024!H:H, MATCH(B22, AFDC_state_fuel_2024!A:A, 0)), 0)</f>
        <v>0</v>
      </c>
      <c r="I22">
        <f>IFERROR(INDEX(AFDC_state_fuel_2024!I:I, MATCH(B22, AFDC_state_fuel_2024!A:A, 0)), 0)</f>
        <v>0</v>
      </c>
      <c r="J22">
        <f>IFERROR(INDEX(AFDC_state_fuel_2024!M:M, MATCH(B22, AFDC_state_fuel_2024!A:A, 0)), 0)</f>
        <v>49300</v>
      </c>
      <c r="K22">
        <f>(IFERROR(INDEX(AFDC_state_fuel_2024!L:L, MATCH(B22, AFDC_state_fuel_2024!A:A, 0)), 0) + IFERROR(INDEX(AFDC_state_fuel_2024!E:E, MATCH(B22, AFDC_state_fuel_2024!A:A, 0)), 0)) + (IFERROR(INDEX(AFDC_state_fuel_2024!M:M, MATCH(B22, AFDC_state_fuel_2024!A:A, 0)), 0))*(IFERROR(INDEX(AFDC_state_fuel_2024!L:L, MATCH(B22, AFDC_state_fuel_2024!A:A, 0)), 0) + IFERROR(INDEX(AFDC_state_fuel_2024!E:E, MATCH(B22, AFDC_state_fuel_2024!A:A, 0)), 0))/((IFERROR(INDEX(AFDC_state_fuel_2024!K:K, MATCH(B22, AFDC_state_fuel_2024!A:A, 0)), 0) + IFERROR(INDEX(AFDC_state_fuel_2024!D:D, MATCH(B22, AFDC_state_fuel_2024!A:A, 0)), 0) + IFERROR(INDEX(AFDC_state_fuel_2024!F:F, MATCH(B22, AFDC_state_fuel_2024!A:A, 0)), 0) + IFERROR(INDEX(AFDC_state_fuel_2024!J:J, MATCH(B22, AFDC_state_fuel_2024!A:A, 0)), 0))+(IFERROR(INDEX(AFDC_state_fuel_2024!L:L, MATCH(B22, AFDC_state_fuel_2024!A:A, 0)), 0) + IFERROR(INDEX(AFDC_state_fuel_2024!E:E, MATCH(B22, AFDC_state_fuel_2024!A:A, 0)), 0)))</f>
        <v>251060.48068363895</v>
      </c>
      <c r="L22">
        <f>IFERROR(INDEX(AFDC_state_fuel_2024!C:C, MATCH(B22, AFDC_state_fuel_2024!A:A, 0)), 0)</f>
        <v>33600</v>
      </c>
      <c r="M22" t="str">
        <f>IF($B22=Keys!$C$62,"OVERRIDDEN (see Keys / methodology 9.5)","")</f>
        <v/>
      </c>
    </row>
    <row r="23" spans="1:13" x14ac:dyDescent="0.45">
      <c r="A23" t="s">
        <v>95</v>
      </c>
      <c r="B23" t="str">
        <f>INDEX(Geography!C:C, MATCH(A23, Geography!B:B, 0))</f>
        <v>Minnesota</v>
      </c>
      <c r="C23">
        <f>IFERROR(INDEX(AFDC_state_fuel_2024!B:B, MATCH(B23, AFDC_state_fuel_2024!A:A, 0)), 0)</f>
        <v>47400</v>
      </c>
      <c r="D23">
        <f>IF($B23=Keys!$C$62,C23*(IFERROR(INDEX(AFDC_state_fuel_2024!C:C, MATCH(Keys!$C$63, AFDC_state_fuel_2024!A:A, 0)), 0))/(IFERROR(INDEX(AFDC_state_fuel_2024!B:B, MATCH(Keys!$C$63, AFDC_state_fuel_2024!A:A, 0)), 0)),L23)</f>
        <v>20100</v>
      </c>
      <c r="E23">
        <f>IFERROR(INDEX(AFDC_state_fuel_2024!G:G, MATCH(B23, AFDC_state_fuel_2024!A:A, 0)), 0)</f>
        <v>100</v>
      </c>
      <c r="F23">
        <f>(IFERROR(INDEX(AFDC_state_fuel_2024!K:K, MATCH(B23, AFDC_state_fuel_2024!A:A, 0)), 0) + IFERROR(INDEX(AFDC_state_fuel_2024!D:D, MATCH(B23, AFDC_state_fuel_2024!A:A, 0)), 0) + IFERROR(INDEX(AFDC_state_fuel_2024!F:F, MATCH(B23, AFDC_state_fuel_2024!A:A, 0)), 0) + IFERROR(INDEX(AFDC_state_fuel_2024!J:J, MATCH(B23, AFDC_state_fuel_2024!A:A, 0)), 0)) + (IFERROR(INDEX(AFDC_state_fuel_2024!M:M, MATCH(B23, AFDC_state_fuel_2024!A:A, 0)), 0))*(IFERROR(INDEX(AFDC_state_fuel_2024!K:K, MATCH(B23, AFDC_state_fuel_2024!A:A, 0)), 0) + IFERROR(INDEX(AFDC_state_fuel_2024!D:D, MATCH(B23, AFDC_state_fuel_2024!A:A, 0)), 0) + IFERROR(INDEX(AFDC_state_fuel_2024!F:F, MATCH(B23, AFDC_state_fuel_2024!A:A, 0)), 0) + IFERROR(INDEX(AFDC_state_fuel_2024!J:J, MATCH(B23, AFDC_state_fuel_2024!A:A, 0)), 0))/((IFERROR(INDEX(AFDC_state_fuel_2024!K:K, MATCH(B23, AFDC_state_fuel_2024!A:A, 0)), 0) + IFERROR(INDEX(AFDC_state_fuel_2024!D:D, MATCH(B23, AFDC_state_fuel_2024!A:A, 0)), 0) + IFERROR(INDEX(AFDC_state_fuel_2024!F:F, MATCH(B23, AFDC_state_fuel_2024!A:A, 0)), 0) + IFERROR(INDEX(AFDC_state_fuel_2024!J:J, MATCH(B23, AFDC_state_fuel_2024!A:A, 0)), 0))+(IFERROR(INDEX(AFDC_state_fuel_2024!L:L, MATCH(B23, AFDC_state_fuel_2024!A:A, 0)), 0) + IFERROR(INDEX(AFDC_state_fuel_2024!E:E, MATCH(B23, AFDC_state_fuel_2024!A:A, 0)), 0)))</f>
        <v>4933628.214692371</v>
      </c>
      <c r="G23">
        <f>National_totals!$F$2*K23/SUM(K3:K50)</f>
        <v>28045.060356820395</v>
      </c>
      <c r="H23">
        <f>IFERROR(INDEX(AFDC_state_fuel_2024!H:H, MATCH(B23, AFDC_state_fuel_2024!A:A, 0)), 0)</f>
        <v>0</v>
      </c>
      <c r="I23">
        <f>IFERROR(INDEX(AFDC_state_fuel_2024!I:I, MATCH(B23, AFDC_state_fuel_2024!A:A, 0)), 0)</f>
        <v>0</v>
      </c>
      <c r="J23">
        <f>IFERROR(INDEX(AFDC_state_fuel_2024!M:M, MATCH(B23, AFDC_state_fuel_2024!A:A, 0)), 0)</f>
        <v>24200</v>
      </c>
      <c r="K23">
        <f>(IFERROR(INDEX(AFDC_state_fuel_2024!L:L, MATCH(B23, AFDC_state_fuel_2024!A:A, 0)), 0) + IFERROR(INDEX(AFDC_state_fuel_2024!E:E, MATCH(B23, AFDC_state_fuel_2024!A:A, 0)), 0)) + (IFERROR(INDEX(AFDC_state_fuel_2024!M:M, MATCH(B23, AFDC_state_fuel_2024!A:A, 0)), 0))*(IFERROR(INDEX(AFDC_state_fuel_2024!L:L, MATCH(B23, AFDC_state_fuel_2024!A:A, 0)), 0) + IFERROR(INDEX(AFDC_state_fuel_2024!E:E, MATCH(B23, AFDC_state_fuel_2024!A:A, 0)), 0))/((IFERROR(INDEX(AFDC_state_fuel_2024!K:K, MATCH(B23, AFDC_state_fuel_2024!A:A, 0)), 0) + IFERROR(INDEX(AFDC_state_fuel_2024!D:D, MATCH(B23, AFDC_state_fuel_2024!A:A, 0)), 0) + IFERROR(INDEX(AFDC_state_fuel_2024!F:F, MATCH(B23, AFDC_state_fuel_2024!A:A, 0)), 0) + IFERROR(INDEX(AFDC_state_fuel_2024!J:J, MATCH(B23, AFDC_state_fuel_2024!A:A, 0)), 0))+(IFERROR(INDEX(AFDC_state_fuel_2024!L:L, MATCH(B23, AFDC_state_fuel_2024!A:A, 0)), 0) + IFERROR(INDEX(AFDC_state_fuel_2024!E:E, MATCH(B23, AFDC_state_fuel_2024!A:A, 0)), 0)))</f>
        <v>184371.78530762889</v>
      </c>
      <c r="L23">
        <f>IFERROR(INDEX(AFDC_state_fuel_2024!C:C, MATCH(B23, AFDC_state_fuel_2024!A:A, 0)), 0)</f>
        <v>20100</v>
      </c>
      <c r="M23" t="str">
        <f>IF($B23=Keys!$C$62,"OVERRIDDEN (see Keys / methodology 9.5)","")</f>
        <v/>
      </c>
    </row>
    <row r="24" spans="1:13" x14ac:dyDescent="0.45">
      <c r="A24" t="s">
        <v>98</v>
      </c>
      <c r="B24" t="str">
        <f>INDEX(Geography!C:C, MATCH(A24, Geography!B:B, 0))</f>
        <v>Mississippi</v>
      </c>
      <c r="C24">
        <f>IFERROR(INDEX(AFDC_state_fuel_2024!B:B, MATCH(B24, AFDC_state_fuel_2024!A:A, 0)), 0)</f>
        <v>4900</v>
      </c>
      <c r="D24">
        <f>IF($B24=Keys!$C$62,C24*(IFERROR(INDEX(AFDC_state_fuel_2024!C:C, MATCH(Keys!$C$63, AFDC_state_fuel_2024!A:A, 0)), 0))/(IFERROR(INDEX(AFDC_state_fuel_2024!B:B, MATCH(Keys!$C$63, AFDC_state_fuel_2024!A:A, 0)), 0)),L24)</f>
        <v>2400</v>
      </c>
      <c r="E24">
        <f>IFERROR(INDEX(AFDC_state_fuel_2024!G:G, MATCH(B24, AFDC_state_fuel_2024!A:A, 0)), 0)</f>
        <v>100</v>
      </c>
      <c r="F24">
        <f>(IFERROR(INDEX(AFDC_state_fuel_2024!K:K, MATCH(B24, AFDC_state_fuel_2024!A:A, 0)), 0) + IFERROR(INDEX(AFDC_state_fuel_2024!D:D, MATCH(B24, AFDC_state_fuel_2024!A:A, 0)), 0) + IFERROR(INDEX(AFDC_state_fuel_2024!F:F, MATCH(B24, AFDC_state_fuel_2024!A:A, 0)), 0) + IFERROR(INDEX(AFDC_state_fuel_2024!J:J, MATCH(B24, AFDC_state_fuel_2024!A:A, 0)), 0)) + (IFERROR(INDEX(AFDC_state_fuel_2024!M:M, MATCH(B24, AFDC_state_fuel_2024!A:A, 0)), 0))*(IFERROR(INDEX(AFDC_state_fuel_2024!K:K, MATCH(B24, AFDC_state_fuel_2024!A:A, 0)), 0) + IFERROR(INDEX(AFDC_state_fuel_2024!D:D, MATCH(B24, AFDC_state_fuel_2024!A:A, 0)), 0) + IFERROR(INDEX(AFDC_state_fuel_2024!F:F, MATCH(B24, AFDC_state_fuel_2024!A:A, 0)), 0) + IFERROR(INDEX(AFDC_state_fuel_2024!J:J, MATCH(B24, AFDC_state_fuel_2024!A:A, 0)), 0))/((IFERROR(INDEX(AFDC_state_fuel_2024!K:K, MATCH(B24, AFDC_state_fuel_2024!A:A, 0)), 0) + IFERROR(INDEX(AFDC_state_fuel_2024!D:D, MATCH(B24, AFDC_state_fuel_2024!A:A, 0)), 0) + IFERROR(INDEX(AFDC_state_fuel_2024!F:F, MATCH(B24, AFDC_state_fuel_2024!A:A, 0)), 0) + IFERROR(INDEX(AFDC_state_fuel_2024!J:J, MATCH(B24, AFDC_state_fuel_2024!A:A, 0)), 0))+(IFERROR(INDEX(AFDC_state_fuel_2024!L:L, MATCH(B24, AFDC_state_fuel_2024!A:A, 0)), 0) + IFERROR(INDEX(AFDC_state_fuel_2024!E:E, MATCH(B24, AFDC_state_fuel_2024!A:A, 0)), 0)))</f>
        <v>2606359.1398642669</v>
      </c>
      <c r="G24">
        <f>National_totals!$F$2*K24/SUM(K3:K50)</f>
        <v>17194.80960714196</v>
      </c>
      <c r="H24">
        <f>IFERROR(INDEX(AFDC_state_fuel_2024!H:H, MATCH(B24, AFDC_state_fuel_2024!A:A, 0)), 0)</f>
        <v>0</v>
      </c>
      <c r="I24">
        <f>IFERROR(INDEX(AFDC_state_fuel_2024!I:I, MATCH(B24, AFDC_state_fuel_2024!A:A, 0)), 0)</f>
        <v>0</v>
      </c>
      <c r="J24">
        <f>IFERROR(INDEX(AFDC_state_fuel_2024!M:M, MATCH(B24, AFDC_state_fuel_2024!A:A, 0)), 0)</f>
        <v>8200</v>
      </c>
      <c r="K24">
        <f>(IFERROR(INDEX(AFDC_state_fuel_2024!L:L, MATCH(B24, AFDC_state_fuel_2024!A:A, 0)), 0) + IFERROR(INDEX(AFDC_state_fuel_2024!E:E, MATCH(B24, AFDC_state_fuel_2024!A:A, 0)), 0)) + (IFERROR(INDEX(AFDC_state_fuel_2024!M:M, MATCH(B24, AFDC_state_fuel_2024!A:A, 0)), 0))*(IFERROR(INDEX(AFDC_state_fuel_2024!L:L, MATCH(B24, AFDC_state_fuel_2024!A:A, 0)), 0) + IFERROR(INDEX(AFDC_state_fuel_2024!E:E, MATCH(B24, AFDC_state_fuel_2024!A:A, 0)), 0))/((IFERROR(INDEX(AFDC_state_fuel_2024!K:K, MATCH(B24, AFDC_state_fuel_2024!A:A, 0)), 0) + IFERROR(INDEX(AFDC_state_fuel_2024!D:D, MATCH(B24, AFDC_state_fuel_2024!A:A, 0)), 0) + IFERROR(INDEX(AFDC_state_fuel_2024!F:F, MATCH(B24, AFDC_state_fuel_2024!A:A, 0)), 0) + IFERROR(INDEX(AFDC_state_fuel_2024!J:J, MATCH(B24, AFDC_state_fuel_2024!A:A, 0)), 0))+(IFERROR(INDEX(AFDC_state_fuel_2024!L:L, MATCH(B24, AFDC_state_fuel_2024!A:A, 0)), 0) + IFERROR(INDEX(AFDC_state_fuel_2024!E:E, MATCH(B24, AFDC_state_fuel_2024!A:A, 0)), 0)))</f>
        <v>113040.86013573325</v>
      </c>
      <c r="L24">
        <f>IFERROR(INDEX(AFDC_state_fuel_2024!C:C, MATCH(B24, AFDC_state_fuel_2024!A:A, 0)), 0)</f>
        <v>2400</v>
      </c>
      <c r="M24" t="str">
        <f>IF($B24=Keys!$C$62,"OVERRIDDEN (see Keys / methodology 9.5)","")</f>
        <v/>
      </c>
    </row>
    <row r="25" spans="1:13" x14ac:dyDescent="0.45">
      <c r="A25" t="s">
        <v>100</v>
      </c>
      <c r="B25" t="str">
        <f>INDEX(Geography!C:C, MATCH(A25, Geography!B:B, 0))</f>
        <v>Missouri</v>
      </c>
      <c r="C25">
        <f>IFERROR(INDEX(AFDC_state_fuel_2024!B:B, MATCH(B25, AFDC_state_fuel_2024!A:A, 0)), 0)</f>
        <v>34200</v>
      </c>
      <c r="D25">
        <f>IF($B25=Keys!$C$62,C25*(IFERROR(INDEX(AFDC_state_fuel_2024!C:C, MATCH(Keys!$C$63, AFDC_state_fuel_2024!A:A, 0)), 0))/(IFERROR(INDEX(AFDC_state_fuel_2024!B:B, MATCH(Keys!$C$63, AFDC_state_fuel_2024!A:A, 0)), 0)),L25)</f>
        <v>16800</v>
      </c>
      <c r="E25">
        <f>IFERROR(INDEX(AFDC_state_fuel_2024!G:G, MATCH(B25, AFDC_state_fuel_2024!A:A, 0)), 0)</f>
        <v>800</v>
      </c>
      <c r="F25">
        <f>(IFERROR(INDEX(AFDC_state_fuel_2024!K:K, MATCH(B25, AFDC_state_fuel_2024!A:A, 0)), 0) + IFERROR(INDEX(AFDC_state_fuel_2024!D:D, MATCH(B25, AFDC_state_fuel_2024!A:A, 0)), 0) + IFERROR(INDEX(AFDC_state_fuel_2024!F:F, MATCH(B25, AFDC_state_fuel_2024!A:A, 0)), 0) + IFERROR(INDEX(AFDC_state_fuel_2024!J:J, MATCH(B25, AFDC_state_fuel_2024!A:A, 0)), 0)) + (IFERROR(INDEX(AFDC_state_fuel_2024!M:M, MATCH(B25, AFDC_state_fuel_2024!A:A, 0)), 0))*(IFERROR(INDEX(AFDC_state_fuel_2024!K:K, MATCH(B25, AFDC_state_fuel_2024!A:A, 0)), 0) + IFERROR(INDEX(AFDC_state_fuel_2024!D:D, MATCH(B25, AFDC_state_fuel_2024!A:A, 0)), 0) + IFERROR(INDEX(AFDC_state_fuel_2024!F:F, MATCH(B25, AFDC_state_fuel_2024!A:A, 0)), 0) + IFERROR(INDEX(AFDC_state_fuel_2024!J:J, MATCH(B25, AFDC_state_fuel_2024!A:A, 0)), 0))/((IFERROR(INDEX(AFDC_state_fuel_2024!K:K, MATCH(B25, AFDC_state_fuel_2024!A:A, 0)), 0) + IFERROR(INDEX(AFDC_state_fuel_2024!D:D, MATCH(B25, AFDC_state_fuel_2024!A:A, 0)), 0) + IFERROR(INDEX(AFDC_state_fuel_2024!F:F, MATCH(B25, AFDC_state_fuel_2024!A:A, 0)), 0) + IFERROR(INDEX(AFDC_state_fuel_2024!J:J, MATCH(B25, AFDC_state_fuel_2024!A:A, 0)), 0))+(IFERROR(INDEX(AFDC_state_fuel_2024!L:L, MATCH(B25, AFDC_state_fuel_2024!A:A, 0)), 0) + IFERROR(INDEX(AFDC_state_fuel_2024!E:E, MATCH(B25, AFDC_state_fuel_2024!A:A, 0)), 0)))</f>
        <v>5420058.2582476055</v>
      </c>
      <c r="G25">
        <f>National_totals!$F$2*K25/SUM(K3:K50)</f>
        <v>38718.714465258876</v>
      </c>
      <c r="H25">
        <f>IFERROR(INDEX(AFDC_state_fuel_2024!H:H, MATCH(B25, AFDC_state_fuel_2024!A:A, 0)), 0)</f>
        <v>100</v>
      </c>
      <c r="I25">
        <f>IFERROR(INDEX(AFDC_state_fuel_2024!I:I, MATCH(B25, AFDC_state_fuel_2024!A:A, 0)), 0)</f>
        <v>0</v>
      </c>
      <c r="J25">
        <f>IFERROR(INDEX(AFDC_state_fuel_2024!M:M, MATCH(B25, AFDC_state_fuel_2024!A:A, 0)), 0)</f>
        <v>36600</v>
      </c>
      <c r="K25">
        <f>(IFERROR(INDEX(AFDC_state_fuel_2024!L:L, MATCH(B25, AFDC_state_fuel_2024!A:A, 0)), 0) + IFERROR(INDEX(AFDC_state_fuel_2024!E:E, MATCH(B25, AFDC_state_fuel_2024!A:A, 0)), 0)) + (IFERROR(INDEX(AFDC_state_fuel_2024!M:M, MATCH(B25, AFDC_state_fuel_2024!A:A, 0)), 0))*(IFERROR(INDEX(AFDC_state_fuel_2024!L:L, MATCH(B25, AFDC_state_fuel_2024!A:A, 0)), 0) + IFERROR(INDEX(AFDC_state_fuel_2024!E:E, MATCH(B25, AFDC_state_fuel_2024!A:A, 0)), 0))/((IFERROR(INDEX(AFDC_state_fuel_2024!K:K, MATCH(B25, AFDC_state_fuel_2024!A:A, 0)), 0) + IFERROR(INDEX(AFDC_state_fuel_2024!D:D, MATCH(B25, AFDC_state_fuel_2024!A:A, 0)), 0) + IFERROR(INDEX(AFDC_state_fuel_2024!F:F, MATCH(B25, AFDC_state_fuel_2024!A:A, 0)), 0) + IFERROR(INDEX(AFDC_state_fuel_2024!J:J, MATCH(B25, AFDC_state_fuel_2024!A:A, 0)), 0))+(IFERROR(INDEX(AFDC_state_fuel_2024!L:L, MATCH(B25, AFDC_state_fuel_2024!A:A, 0)), 0) + IFERROR(INDEX(AFDC_state_fuel_2024!E:E, MATCH(B25, AFDC_state_fuel_2024!A:A, 0)), 0)))</f>
        <v>254541.74175239448</v>
      </c>
      <c r="L25">
        <f>IFERROR(INDEX(AFDC_state_fuel_2024!C:C, MATCH(B25, AFDC_state_fuel_2024!A:A, 0)), 0)</f>
        <v>16800</v>
      </c>
      <c r="M25" t="str">
        <f>IF($B25=Keys!$C$62,"OVERRIDDEN (see Keys / methodology 9.5)","")</f>
        <v/>
      </c>
    </row>
    <row r="26" spans="1:13" x14ac:dyDescent="0.45">
      <c r="A26" t="s">
        <v>102</v>
      </c>
      <c r="B26" t="str">
        <f>INDEX(Geography!C:C, MATCH(A26, Geography!B:B, 0))</f>
        <v>Montana</v>
      </c>
      <c r="C26">
        <f>IFERROR(INDEX(AFDC_state_fuel_2024!B:B, MATCH(B26, AFDC_state_fuel_2024!A:A, 0)), 0)</f>
        <v>5600</v>
      </c>
      <c r="D26">
        <f>IF($B26=Keys!$C$62,C26*(IFERROR(INDEX(AFDC_state_fuel_2024!C:C, MATCH(Keys!$C$63, AFDC_state_fuel_2024!A:A, 0)), 0))/(IFERROR(INDEX(AFDC_state_fuel_2024!B:B, MATCH(Keys!$C$63, AFDC_state_fuel_2024!A:A, 0)), 0)),L26)</f>
        <v>3200</v>
      </c>
      <c r="E26">
        <f>IFERROR(INDEX(AFDC_state_fuel_2024!G:G, MATCH(B26, AFDC_state_fuel_2024!A:A, 0)), 0)</f>
        <v>0</v>
      </c>
      <c r="F26">
        <f>(IFERROR(INDEX(AFDC_state_fuel_2024!K:K, MATCH(B26, AFDC_state_fuel_2024!A:A, 0)), 0) + IFERROR(INDEX(AFDC_state_fuel_2024!D:D, MATCH(B26, AFDC_state_fuel_2024!A:A, 0)), 0) + IFERROR(INDEX(AFDC_state_fuel_2024!F:F, MATCH(B26, AFDC_state_fuel_2024!A:A, 0)), 0) + IFERROR(INDEX(AFDC_state_fuel_2024!J:J, MATCH(B26, AFDC_state_fuel_2024!A:A, 0)), 0)) + (IFERROR(INDEX(AFDC_state_fuel_2024!M:M, MATCH(B26, AFDC_state_fuel_2024!A:A, 0)), 0))*(IFERROR(INDEX(AFDC_state_fuel_2024!K:K, MATCH(B26, AFDC_state_fuel_2024!A:A, 0)), 0) + IFERROR(INDEX(AFDC_state_fuel_2024!D:D, MATCH(B26, AFDC_state_fuel_2024!A:A, 0)), 0) + IFERROR(INDEX(AFDC_state_fuel_2024!F:F, MATCH(B26, AFDC_state_fuel_2024!A:A, 0)), 0) + IFERROR(INDEX(AFDC_state_fuel_2024!J:J, MATCH(B26, AFDC_state_fuel_2024!A:A, 0)), 0))/((IFERROR(INDEX(AFDC_state_fuel_2024!K:K, MATCH(B26, AFDC_state_fuel_2024!A:A, 0)), 0) + IFERROR(INDEX(AFDC_state_fuel_2024!D:D, MATCH(B26, AFDC_state_fuel_2024!A:A, 0)), 0) + IFERROR(INDEX(AFDC_state_fuel_2024!F:F, MATCH(B26, AFDC_state_fuel_2024!A:A, 0)), 0) + IFERROR(INDEX(AFDC_state_fuel_2024!J:J, MATCH(B26, AFDC_state_fuel_2024!A:A, 0)), 0))+(IFERROR(INDEX(AFDC_state_fuel_2024!L:L, MATCH(B26, AFDC_state_fuel_2024!A:A, 0)), 0) + IFERROR(INDEX(AFDC_state_fuel_2024!E:E, MATCH(B26, AFDC_state_fuel_2024!A:A, 0)), 0)))</f>
        <v>918634.15112855739</v>
      </c>
      <c r="G26">
        <f>National_totals!$F$2*K26/SUM(K3:K50)</f>
        <v>16909.598917290416</v>
      </c>
      <c r="H26">
        <f>IFERROR(INDEX(AFDC_state_fuel_2024!H:H, MATCH(B26, AFDC_state_fuel_2024!A:A, 0)), 0)</f>
        <v>0</v>
      </c>
      <c r="I26">
        <f>IFERROR(INDEX(AFDC_state_fuel_2024!I:I, MATCH(B26, AFDC_state_fuel_2024!A:A, 0)), 0)</f>
        <v>0</v>
      </c>
      <c r="J26">
        <f>IFERROR(INDEX(AFDC_state_fuel_2024!M:M, MATCH(B26, AFDC_state_fuel_2024!A:A, 0)), 0)</f>
        <v>10800</v>
      </c>
      <c r="K26">
        <f>(IFERROR(INDEX(AFDC_state_fuel_2024!L:L, MATCH(B26, AFDC_state_fuel_2024!A:A, 0)), 0) + IFERROR(INDEX(AFDC_state_fuel_2024!E:E, MATCH(B26, AFDC_state_fuel_2024!A:A, 0)), 0)) + (IFERROR(INDEX(AFDC_state_fuel_2024!M:M, MATCH(B26, AFDC_state_fuel_2024!A:A, 0)), 0))*(IFERROR(INDEX(AFDC_state_fuel_2024!L:L, MATCH(B26, AFDC_state_fuel_2024!A:A, 0)), 0) + IFERROR(INDEX(AFDC_state_fuel_2024!E:E, MATCH(B26, AFDC_state_fuel_2024!A:A, 0)), 0))/((IFERROR(INDEX(AFDC_state_fuel_2024!K:K, MATCH(B26, AFDC_state_fuel_2024!A:A, 0)), 0) + IFERROR(INDEX(AFDC_state_fuel_2024!D:D, MATCH(B26, AFDC_state_fuel_2024!A:A, 0)), 0) + IFERROR(INDEX(AFDC_state_fuel_2024!F:F, MATCH(B26, AFDC_state_fuel_2024!A:A, 0)), 0) + IFERROR(INDEX(AFDC_state_fuel_2024!J:J, MATCH(B26, AFDC_state_fuel_2024!A:A, 0)), 0))+(IFERROR(INDEX(AFDC_state_fuel_2024!L:L, MATCH(B26, AFDC_state_fuel_2024!A:A, 0)), 0) + IFERROR(INDEX(AFDC_state_fuel_2024!E:E, MATCH(B26, AFDC_state_fuel_2024!A:A, 0)), 0)))</f>
        <v>111165.84887144259</v>
      </c>
      <c r="L26">
        <f>IFERROR(INDEX(AFDC_state_fuel_2024!C:C, MATCH(B26, AFDC_state_fuel_2024!A:A, 0)), 0)</f>
        <v>3200</v>
      </c>
      <c r="M26" t="str">
        <f>IF($B26=Keys!$C$62,"OVERRIDDEN (see Keys / methodology 9.5)","")</f>
        <v/>
      </c>
    </row>
    <row r="27" spans="1:13" x14ac:dyDescent="0.45">
      <c r="A27" t="s">
        <v>104</v>
      </c>
      <c r="B27" t="str">
        <f>INDEX(Geography!C:C, MATCH(A27, Geography!B:B, 0))</f>
        <v>Nebraska</v>
      </c>
      <c r="C27">
        <f>IFERROR(INDEX(AFDC_state_fuel_2024!B:B, MATCH(B27, AFDC_state_fuel_2024!A:A, 0)), 0)</f>
        <v>9100</v>
      </c>
      <c r="D27">
        <f>IF($B27=Keys!$C$62,C27*(IFERROR(INDEX(AFDC_state_fuel_2024!C:C, MATCH(Keys!$C$63, AFDC_state_fuel_2024!A:A, 0)), 0))/(IFERROR(INDEX(AFDC_state_fuel_2024!B:B, MATCH(Keys!$C$63, AFDC_state_fuel_2024!A:A, 0)), 0)),L27)</f>
        <v>4700</v>
      </c>
      <c r="E27">
        <f>IFERROR(INDEX(AFDC_state_fuel_2024!G:G, MATCH(B27, AFDC_state_fuel_2024!A:A, 0)), 0)</f>
        <v>100</v>
      </c>
      <c r="F27">
        <f>(IFERROR(INDEX(AFDC_state_fuel_2024!K:K, MATCH(B27, AFDC_state_fuel_2024!A:A, 0)), 0) + IFERROR(INDEX(AFDC_state_fuel_2024!D:D, MATCH(B27, AFDC_state_fuel_2024!A:A, 0)), 0) + IFERROR(INDEX(AFDC_state_fuel_2024!F:F, MATCH(B27, AFDC_state_fuel_2024!A:A, 0)), 0) + IFERROR(INDEX(AFDC_state_fuel_2024!J:J, MATCH(B27, AFDC_state_fuel_2024!A:A, 0)), 0)) + (IFERROR(INDEX(AFDC_state_fuel_2024!M:M, MATCH(B27, AFDC_state_fuel_2024!A:A, 0)), 0))*(IFERROR(INDEX(AFDC_state_fuel_2024!K:K, MATCH(B27, AFDC_state_fuel_2024!A:A, 0)), 0) + IFERROR(INDEX(AFDC_state_fuel_2024!D:D, MATCH(B27, AFDC_state_fuel_2024!A:A, 0)), 0) + IFERROR(INDEX(AFDC_state_fuel_2024!F:F, MATCH(B27, AFDC_state_fuel_2024!A:A, 0)), 0) + IFERROR(INDEX(AFDC_state_fuel_2024!J:J, MATCH(B27, AFDC_state_fuel_2024!A:A, 0)), 0))/((IFERROR(INDEX(AFDC_state_fuel_2024!K:K, MATCH(B27, AFDC_state_fuel_2024!A:A, 0)), 0) + IFERROR(INDEX(AFDC_state_fuel_2024!D:D, MATCH(B27, AFDC_state_fuel_2024!A:A, 0)), 0) + IFERROR(INDEX(AFDC_state_fuel_2024!F:F, MATCH(B27, AFDC_state_fuel_2024!A:A, 0)), 0) + IFERROR(INDEX(AFDC_state_fuel_2024!J:J, MATCH(B27, AFDC_state_fuel_2024!A:A, 0)), 0))+(IFERROR(INDEX(AFDC_state_fuel_2024!L:L, MATCH(B27, AFDC_state_fuel_2024!A:A, 0)), 0) + IFERROR(INDEX(AFDC_state_fuel_2024!E:E, MATCH(B27, AFDC_state_fuel_2024!A:A, 0)), 0)))</f>
        <v>1867030.4234160346</v>
      </c>
      <c r="G27">
        <f>National_totals!$F$2*K27/SUM(K3:K50)</f>
        <v>16529.88730983084</v>
      </c>
      <c r="H27">
        <f>IFERROR(INDEX(AFDC_state_fuel_2024!H:H, MATCH(B27, AFDC_state_fuel_2024!A:A, 0)), 0)</f>
        <v>0</v>
      </c>
      <c r="I27">
        <f>IFERROR(INDEX(AFDC_state_fuel_2024!I:I, MATCH(B27, AFDC_state_fuel_2024!A:A, 0)), 0)</f>
        <v>0</v>
      </c>
      <c r="J27">
        <f>IFERROR(INDEX(AFDC_state_fuel_2024!M:M, MATCH(B27, AFDC_state_fuel_2024!A:A, 0)), 0)</f>
        <v>24900</v>
      </c>
      <c r="K27">
        <f>(IFERROR(INDEX(AFDC_state_fuel_2024!L:L, MATCH(B27, AFDC_state_fuel_2024!A:A, 0)), 0) + IFERROR(INDEX(AFDC_state_fuel_2024!E:E, MATCH(B27, AFDC_state_fuel_2024!A:A, 0)), 0)) + (IFERROR(INDEX(AFDC_state_fuel_2024!M:M, MATCH(B27, AFDC_state_fuel_2024!A:A, 0)), 0))*(IFERROR(INDEX(AFDC_state_fuel_2024!L:L, MATCH(B27, AFDC_state_fuel_2024!A:A, 0)), 0) + IFERROR(INDEX(AFDC_state_fuel_2024!E:E, MATCH(B27, AFDC_state_fuel_2024!A:A, 0)), 0))/((IFERROR(INDEX(AFDC_state_fuel_2024!K:K, MATCH(B27, AFDC_state_fuel_2024!A:A, 0)), 0) + IFERROR(INDEX(AFDC_state_fuel_2024!D:D, MATCH(B27, AFDC_state_fuel_2024!A:A, 0)), 0) + IFERROR(INDEX(AFDC_state_fuel_2024!F:F, MATCH(B27, AFDC_state_fuel_2024!A:A, 0)), 0) + IFERROR(INDEX(AFDC_state_fuel_2024!J:J, MATCH(B27, AFDC_state_fuel_2024!A:A, 0)), 0))+(IFERROR(INDEX(AFDC_state_fuel_2024!L:L, MATCH(B27, AFDC_state_fuel_2024!A:A, 0)), 0) + IFERROR(INDEX(AFDC_state_fuel_2024!E:E, MATCH(B27, AFDC_state_fuel_2024!A:A, 0)), 0)))</f>
        <v>108669.57658396555</v>
      </c>
      <c r="L27">
        <f>IFERROR(INDEX(AFDC_state_fuel_2024!C:C, MATCH(B27, AFDC_state_fuel_2024!A:A, 0)), 0)</f>
        <v>4700</v>
      </c>
      <c r="M27" t="str">
        <f>IF($B27=Keys!$C$62,"OVERRIDDEN (see Keys / methodology 9.5)","")</f>
        <v/>
      </c>
    </row>
    <row r="28" spans="1:13" x14ac:dyDescent="0.45">
      <c r="A28" t="s">
        <v>106</v>
      </c>
      <c r="B28" t="str">
        <f>INDEX(Geography!C:C, MATCH(A28, Geography!B:B, 0))</f>
        <v>Nevada</v>
      </c>
      <c r="C28">
        <f>IFERROR(INDEX(AFDC_state_fuel_2024!B:B, MATCH(B28, AFDC_state_fuel_2024!A:A, 0)), 0)</f>
        <v>65600</v>
      </c>
      <c r="D28">
        <f>IF($B28=Keys!$C$62,C28*(IFERROR(INDEX(AFDC_state_fuel_2024!C:C, MATCH(Keys!$C$63, AFDC_state_fuel_2024!A:A, 0)), 0))/(IFERROR(INDEX(AFDC_state_fuel_2024!B:B, MATCH(Keys!$C$63, AFDC_state_fuel_2024!A:A, 0)), 0)),L28)</f>
        <v>13400</v>
      </c>
      <c r="E28">
        <f>IFERROR(INDEX(AFDC_state_fuel_2024!G:G, MATCH(B28, AFDC_state_fuel_2024!A:A, 0)), 0)</f>
        <v>200</v>
      </c>
      <c r="F28">
        <f>(IFERROR(INDEX(AFDC_state_fuel_2024!K:K, MATCH(B28, AFDC_state_fuel_2024!A:A, 0)), 0) + IFERROR(INDEX(AFDC_state_fuel_2024!D:D, MATCH(B28, AFDC_state_fuel_2024!A:A, 0)), 0) + IFERROR(INDEX(AFDC_state_fuel_2024!F:F, MATCH(B28, AFDC_state_fuel_2024!A:A, 0)), 0) + IFERROR(INDEX(AFDC_state_fuel_2024!J:J, MATCH(B28, AFDC_state_fuel_2024!A:A, 0)), 0)) + (IFERROR(INDEX(AFDC_state_fuel_2024!M:M, MATCH(B28, AFDC_state_fuel_2024!A:A, 0)), 0))*(IFERROR(INDEX(AFDC_state_fuel_2024!K:K, MATCH(B28, AFDC_state_fuel_2024!A:A, 0)), 0) + IFERROR(INDEX(AFDC_state_fuel_2024!D:D, MATCH(B28, AFDC_state_fuel_2024!A:A, 0)), 0) + IFERROR(INDEX(AFDC_state_fuel_2024!F:F, MATCH(B28, AFDC_state_fuel_2024!A:A, 0)), 0) + IFERROR(INDEX(AFDC_state_fuel_2024!J:J, MATCH(B28, AFDC_state_fuel_2024!A:A, 0)), 0))/((IFERROR(INDEX(AFDC_state_fuel_2024!K:K, MATCH(B28, AFDC_state_fuel_2024!A:A, 0)), 0) + IFERROR(INDEX(AFDC_state_fuel_2024!D:D, MATCH(B28, AFDC_state_fuel_2024!A:A, 0)), 0) + IFERROR(INDEX(AFDC_state_fuel_2024!F:F, MATCH(B28, AFDC_state_fuel_2024!A:A, 0)), 0) + IFERROR(INDEX(AFDC_state_fuel_2024!J:J, MATCH(B28, AFDC_state_fuel_2024!A:A, 0)), 0))+(IFERROR(INDEX(AFDC_state_fuel_2024!L:L, MATCH(B28, AFDC_state_fuel_2024!A:A, 0)), 0) + IFERROR(INDEX(AFDC_state_fuel_2024!E:E, MATCH(B28, AFDC_state_fuel_2024!A:A, 0)), 0)))</f>
        <v>2411384.2730680276</v>
      </c>
      <c r="G28">
        <f>National_totals!$F$2*K28/SUM(K3:K50)</f>
        <v>17692.954357477949</v>
      </c>
      <c r="H28">
        <f>IFERROR(INDEX(AFDC_state_fuel_2024!H:H, MATCH(B28, AFDC_state_fuel_2024!A:A, 0)), 0)</f>
        <v>100</v>
      </c>
      <c r="I28">
        <f>IFERROR(INDEX(AFDC_state_fuel_2024!I:I, MATCH(B28, AFDC_state_fuel_2024!A:A, 0)), 0)</f>
        <v>0</v>
      </c>
      <c r="J28">
        <f>IFERROR(INDEX(AFDC_state_fuel_2024!M:M, MATCH(B28, AFDC_state_fuel_2024!A:A, 0)), 0)</f>
        <v>19900</v>
      </c>
      <c r="K28">
        <f>(IFERROR(INDEX(AFDC_state_fuel_2024!L:L, MATCH(B28, AFDC_state_fuel_2024!A:A, 0)), 0) + IFERROR(INDEX(AFDC_state_fuel_2024!E:E, MATCH(B28, AFDC_state_fuel_2024!A:A, 0)), 0)) + (IFERROR(INDEX(AFDC_state_fuel_2024!M:M, MATCH(B28, AFDC_state_fuel_2024!A:A, 0)), 0))*(IFERROR(INDEX(AFDC_state_fuel_2024!L:L, MATCH(B28, AFDC_state_fuel_2024!A:A, 0)), 0) + IFERROR(INDEX(AFDC_state_fuel_2024!E:E, MATCH(B28, AFDC_state_fuel_2024!A:A, 0)), 0))/((IFERROR(INDEX(AFDC_state_fuel_2024!K:K, MATCH(B28, AFDC_state_fuel_2024!A:A, 0)), 0) + IFERROR(INDEX(AFDC_state_fuel_2024!D:D, MATCH(B28, AFDC_state_fuel_2024!A:A, 0)), 0) + IFERROR(INDEX(AFDC_state_fuel_2024!F:F, MATCH(B28, AFDC_state_fuel_2024!A:A, 0)), 0) + IFERROR(INDEX(AFDC_state_fuel_2024!J:J, MATCH(B28, AFDC_state_fuel_2024!A:A, 0)), 0))+(IFERROR(INDEX(AFDC_state_fuel_2024!L:L, MATCH(B28, AFDC_state_fuel_2024!A:A, 0)), 0) + IFERROR(INDEX(AFDC_state_fuel_2024!E:E, MATCH(B28, AFDC_state_fuel_2024!A:A, 0)), 0)))</f>
        <v>116315.72693197224</v>
      </c>
      <c r="L28">
        <f>IFERROR(INDEX(AFDC_state_fuel_2024!C:C, MATCH(B28, AFDC_state_fuel_2024!A:A, 0)), 0)</f>
        <v>13400</v>
      </c>
      <c r="M28" t="str">
        <f>IF($B28=Keys!$C$62,"OVERRIDDEN (see Keys / methodology 9.5)","")</f>
        <v/>
      </c>
    </row>
    <row r="29" spans="1:13" x14ac:dyDescent="0.45">
      <c r="A29" t="s">
        <v>108</v>
      </c>
      <c r="B29" t="str">
        <f>INDEX(Geography!C:C, MATCH(A29, Geography!B:B, 0))</f>
        <v>New Hampshire</v>
      </c>
      <c r="C29">
        <f>IFERROR(INDEX(AFDC_state_fuel_2024!B:B, MATCH(B29, AFDC_state_fuel_2024!A:A, 0)), 0)</f>
        <v>12700</v>
      </c>
      <c r="D29">
        <f>IF($B29=Keys!$C$62,C29*(IFERROR(INDEX(AFDC_state_fuel_2024!C:C, MATCH(Keys!$C$63, AFDC_state_fuel_2024!A:A, 0)), 0))/(IFERROR(INDEX(AFDC_state_fuel_2024!B:B, MATCH(Keys!$C$63, AFDC_state_fuel_2024!A:A, 0)), 0)),L29)</f>
        <v>8200</v>
      </c>
      <c r="E29">
        <f>IFERROR(INDEX(AFDC_state_fuel_2024!G:G, MATCH(B29, AFDC_state_fuel_2024!A:A, 0)), 0)</f>
        <v>100</v>
      </c>
      <c r="F29">
        <f>(IFERROR(INDEX(AFDC_state_fuel_2024!K:K, MATCH(B29, AFDC_state_fuel_2024!A:A, 0)), 0) + IFERROR(INDEX(AFDC_state_fuel_2024!D:D, MATCH(B29, AFDC_state_fuel_2024!A:A, 0)), 0) + IFERROR(INDEX(AFDC_state_fuel_2024!F:F, MATCH(B29, AFDC_state_fuel_2024!A:A, 0)), 0) + IFERROR(INDEX(AFDC_state_fuel_2024!J:J, MATCH(B29, AFDC_state_fuel_2024!A:A, 0)), 0)) + (IFERROR(INDEX(AFDC_state_fuel_2024!M:M, MATCH(B29, AFDC_state_fuel_2024!A:A, 0)), 0))*(IFERROR(INDEX(AFDC_state_fuel_2024!K:K, MATCH(B29, AFDC_state_fuel_2024!A:A, 0)), 0) + IFERROR(INDEX(AFDC_state_fuel_2024!D:D, MATCH(B29, AFDC_state_fuel_2024!A:A, 0)), 0) + IFERROR(INDEX(AFDC_state_fuel_2024!F:F, MATCH(B29, AFDC_state_fuel_2024!A:A, 0)), 0) + IFERROR(INDEX(AFDC_state_fuel_2024!J:J, MATCH(B29, AFDC_state_fuel_2024!A:A, 0)), 0))/((IFERROR(INDEX(AFDC_state_fuel_2024!K:K, MATCH(B29, AFDC_state_fuel_2024!A:A, 0)), 0) + IFERROR(INDEX(AFDC_state_fuel_2024!D:D, MATCH(B29, AFDC_state_fuel_2024!A:A, 0)), 0) + IFERROR(INDEX(AFDC_state_fuel_2024!F:F, MATCH(B29, AFDC_state_fuel_2024!A:A, 0)), 0) + IFERROR(INDEX(AFDC_state_fuel_2024!J:J, MATCH(B29, AFDC_state_fuel_2024!A:A, 0)), 0))+(IFERROR(INDEX(AFDC_state_fuel_2024!L:L, MATCH(B29, AFDC_state_fuel_2024!A:A, 0)), 0) + IFERROR(INDEX(AFDC_state_fuel_2024!E:E, MATCH(B29, AFDC_state_fuel_2024!A:A, 0)), 0)))</f>
        <v>1335806.3779988298</v>
      </c>
      <c r="G29">
        <f>National_totals!$F$2*K29/SUM(K3:K50)</f>
        <v>6661.511522586412</v>
      </c>
      <c r="H29">
        <f>IFERROR(INDEX(AFDC_state_fuel_2024!H:H, MATCH(B29, AFDC_state_fuel_2024!A:A, 0)), 0)</f>
        <v>0</v>
      </c>
      <c r="I29">
        <f>IFERROR(INDEX(AFDC_state_fuel_2024!I:I, MATCH(B29, AFDC_state_fuel_2024!A:A, 0)), 0)</f>
        <v>0</v>
      </c>
      <c r="J29">
        <f>IFERROR(INDEX(AFDC_state_fuel_2024!M:M, MATCH(B29, AFDC_state_fuel_2024!A:A, 0)), 0)</f>
        <v>12400</v>
      </c>
      <c r="K29">
        <f>(IFERROR(INDEX(AFDC_state_fuel_2024!L:L, MATCH(B29, AFDC_state_fuel_2024!A:A, 0)), 0) + IFERROR(INDEX(AFDC_state_fuel_2024!E:E, MATCH(B29, AFDC_state_fuel_2024!A:A, 0)), 0)) + (IFERROR(INDEX(AFDC_state_fuel_2024!M:M, MATCH(B29, AFDC_state_fuel_2024!A:A, 0)), 0))*(IFERROR(INDEX(AFDC_state_fuel_2024!L:L, MATCH(B29, AFDC_state_fuel_2024!A:A, 0)), 0) + IFERROR(INDEX(AFDC_state_fuel_2024!E:E, MATCH(B29, AFDC_state_fuel_2024!A:A, 0)), 0))/((IFERROR(INDEX(AFDC_state_fuel_2024!K:K, MATCH(B29, AFDC_state_fuel_2024!A:A, 0)), 0) + IFERROR(INDEX(AFDC_state_fuel_2024!D:D, MATCH(B29, AFDC_state_fuel_2024!A:A, 0)), 0) + IFERROR(INDEX(AFDC_state_fuel_2024!F:F, MATCH(B29, AFDC_state_fuel_2024!A:A, 0)), 0) + IFERROR(INDEX(AFDC_state_fuel_2024!J:J, MATCH(B29, AFDC_state_fuel_2024!A:A, 0)), 0))+(IFERROR(INDEX(AFDC_state_fuel_2024!L:L, MATCH(B29, AFDC_state_fuel_2024!A:A, 0)), 0) + IFERROR(INDEX(AFDC_state_fuel_2024!E:E, MATCH(B29, AFDC_state_fuel_2024!A:A, 0)), 0)))</f>
        <v>43793.622001170275</v>
      </c>
      <c r="L29">
        <f>IFERROR(INDEX(AFDC_state_fuel_2024!C:C, MATCH(B29, AFDC_state_fuel_2024!A:A, 0)), 0)</f>
        <v>8200</v>
      </c>
      <c r="M29" t="str">
        <f>IF($B29=Keys!$C$62,"OVERRIDDEN (see Keys / methodology 9.5)","")</f>
        <v/>
      </c>
    </row>
    <row r="30" spans="1:13" x14ac:dyDescent="0.45">
      <c r="A30" t="s">
        <v>110</v>
      </c>
      <c r="B30" t="str">
        <f>INDEX(Geography!C:C, MATCH(A30, Geography!B:B, 0))</f>
        <v>New Jersey</v>
      </c>
      <c r="C30">
        <f>IFERROR(INDEX(AFDC_state_fuel_2024!B:B, MATCH(B30, AFDC_state_fuel_2024!A:A, 0)), 0)</f>
        <v>173800</v>
      </c>
      <c r="D30">
        <f>IF($B30=Keys!$C$62,C30*(IFERROR(INDEX(AFDC_state_fuel_2024!C:C, MATCH(Keys!$C$63, AFDC_state_fuel_2024!A:A, 0)), 0))/(IFERROR(INDEX(AFDC_state_fuel_2024!B:B, MATCH(Keys!$C$63, AFDC_state_fuel_2024!A:A, 0)), 0)),L30)</f>
        <v>51600</v>
      </c>
      <c r="E30">
        <f>IFERROR(INDEX(AFDC_state_fuel_2024!G:G, MATCH(B30, AFDC_state_fuel_2024!A:A, 0)), 0)</f>
        <v>300</v>
      </c>
      <c r="F30">
        <f>(IFERROR(INDEX(AFDC_state_fuel_2024!K:K, MATCH(B30, AFDC_state_fuel_2024!A:A, 0)), 0) + IFERROR(INDEX(AFDC_state_fuel_2024!D:D, MATCH(B30, AFDC_state_fuel_2024!A:A, 0)), 0) + IFERROR(INDEX(AFDC_state_fuel_2024!F:F, MATCH(B30, AFDC_state_fuel_2024!A:A, 0)), 0) + IFERROR(INDEX(AFDC_state_fuel_2024!J:J, MATCH(B30, AFDC_state_fuel_2024!A:A, 0)), 0)) + (IFERROR(INDEX(AFDC_state_fuel_2024!M:M, MATCH(B30, AFDC_state_fuel_2024!A:A, 0)), 0))*(IFERROR(INDEX(AFDC_state_fuel_2024!K:K, MATCH(B30, AFDC_state_fuel_2024!A:A, 0)), 0) + IFERROR(INDEX(AFDC_state_fuel_2024!D:D, MATCH(B30, AFDC_state_fuel_2024!A:A, 0)), 0) + IFERROR(INDEX(AFDC_state_fuel_2024!F:F, MATCH(B30, AFDC_state_fuel_2024!A:A, 0)), 0) + IFERROR(INDEX(AFDC_state_fuel_2024!J:J, MATCH(B30, AFDC_state_fuel_2024!A:A, 0)), 0))/((IFERROR(INDEX(AFDC_state_fuel_2024!K:K, MATCH(B30, AFDC_state_fuel_2024!A:A, 0)), 0) + IFERROR(INDEX(AFDC_state_fuel_2024!D:D, MATCH(B30, AFDC_state_fuel_2024!A:A, 0)), 0) + IFERROR(INDEX(AFDC_state_fuel_2024!F:F, MATCH(B30, AFDC_state_fuel_2024!A:A, 0)), 0) + IFERROR(INDEX(AFDC_state_fuel_2024!J:J, MATCH(B30, AFDC_state_fuel_2024!A:A, 0)), 0))+(IFERROR(INDEX(AFDC_state_fuel_2024!L:L, MATCH(B30, AFDC_state_fuel_2024!A:A, 0)), 0) + IFERROR(INDEX(AFDC_state_fuel_2024!E:E, MATCH(B30, AFDC_state_fuel_2024!A:A, 0)), 0)))</f>
        <v>7087842.0343051739</v>
      </c>
      <c r="G30">
        <f>National_totals!$F$2*K30/SUM(K3:K50)</f>
        <v>17166.989267790123</v>
      </c>
      <c r="H30">
        <f>IFERROR(INDEX(AFDC_state_fuel_2024!H:H, MATCH(B30, AFDC_state_fuel_2024!A:A, 0)), 0)</f>
        <v>0</v>
      </c>
      <c r="I30">
        <f>IFERROR(INDEX(AFDC_state_fuel_2024!I:I, MATCH(B30, AFDC_state_fuel_2024!A:A, 0)), 0)</f>
        <v>0</v>
      </c>
      <c r="J30">
        <f>IFERROR(INDEX(AFDC_state_fuel_2024!M:M, MATCH(B30, AFDC_state_fuel_2024!A:A, 0)), 0)</f>
        <v>35600</v>
      </c>
      <c r="K30">
        <f>(IFERROR(INDEX(AFDC_state_fuel_2024!L:L, MATCH(B30, AFDC_state_fuel_2024!A:A, 0)), 0) + IFERROR(INDEX(AFDC_state_fuel_2024!E:E, MATCH(B30, AFDC_state_fuel_2024!A:A, 0)), 0)) + (IFERROR(INDEX(AFDC_state_fuel_2024!M:M, MATCH(B30, AFDC_state_fuel_2024!A:A, 0)), 0))*(IFERROR(INDEX(AFDC_state_fuel_2024!L:L, MATCH(B30, AFDC_state_fuel_2024!A:A, 0)), 0) + IFERROR(INDEX(AFDC_state_fuel_2024!E:E, MATCH(B30, AFDC_state_fuel_2024!A:A, 0)), 0))/((IFERROR(INDEX(AFDC_state_fuel_2024!K:K, MATCH(B30, AFDC_state_fuel_2024!A:A, 0)), 0) + IFERROR(INDEX(AFDC_state_fuel_2024!D:D, MATCH(B30, AFDC_state_fuel_2024!A:A, 0)), 0) + IFERROR(INDEX(AFDC_state_fuel_2024!F:F, MATCH(B30, AFDC_state_fuel_2024!A:A, 0)), 0) + IFERROR(INDEX(AFDC_state_fuel_2024!J:J, MATCH(B30, AFDC_state_fuel_2024!A:A, 0)), 0))+(IFERROR(INDEX(AFDC_state_fuel_2024!L:L, MATCH(B30, AFDC_state_fuel_2024!A:A, 0)), 0) + IFERROR(INDEX(AFDC_state_fuel_2024!E:E, MATCH(B30, AFDC_state_fuel_2024!A:A, 0)), 0)))</f>
        <v>112857.96569482631</v>
      </c>
      <c r="L30">
        <f>IFERROR(INDEX(AFDC_state_fuel_2024!C:C, MATCH(B30, AFDC_state_fuel_2024!A:A, 0)), 0)</f>
        <v>51600</v>
      </c>
      <c r="M30" t="str">
        <f>IF($B30=Keys!$C$62,"OVERRIDDEN (see Keys / methodology 9.5)","")</f>
        <v/>
      </c>
    </row>
    <row r="31" spans="1:13" x14ac:dyDescent="0.45">
      <c r="A31" t="s">
        <v>112</v>
      </c>
      <c r="B31" t="str">
        <f>INDEX(Geography!C:C, MATCH(A31, Geography!B:B, 0))</f>
        <v>New Mexico</v>
      </c>
      <c r="C31">
        <f>IFERROR(INDEX(AFDC_state_fuel_2024!B:B, MATCH(B31, AFDC_state_fuel_2024!A:A, 0)), 0)</f>
        <v>13000</v>
      </c>
      <c r="D31">
        <f>IF($B31=Keys!$C$62,C31*(IFERROR(INDEX(AFDC_state_fuel_2024!C:C, MATCH(Keys!$C$63, AFDC_state_fuel_2024!A:A, 0)), 0))/(IFERROR(INDEX(AFDC_state_fuel_2024!B:B, MATCH(Keys!$C$63, AFDC_state_fuel_2024!A:A, 0)), 0)),L31)</f>
        <v>5800</v>
      </c>
      <c r="E31">
        <f>IFERROR(INDEX(AFDC_state_fuel_2024!G:G, MATCH(B31, AFDC_state_fuel_2024!A:A, 0)), 0)</f>
        <v>100</v>
      </c>
      <c r="F31">
        <f>(IFERROR(INDEX(AFDC_state_fuel_2024!K:K, MATCH(B31, AFDC_state_fuel_2024!A:A, 0)), 0) + IFERROR(INDEX(AFDC_state_fuel_2024!D:D, MATCH(B31, AFDC_state_fuel_2024!A:A, 0)), 0) + IFERROR(INDEX(AFDC_state_fuel_2024!F:F, MATCH(B31, AFDC_state_fuel_2024!A:A, 0)), 0) + IFERROR(INDEX(AFDC_state_fuel_2024!J:J, MATCH(B31, AFDC_state_fuel_2024!A:A, 0)), 0)) + (IFERROR(INDEX(AFDC_state_fuel_2024!M:M, MATCH(B31, AFDC_state_fuel_2024!A:A, 0)), 0))*(IFERROR(INDEX(AFDC_state_fuel_2024!K:K, MATCH(B31, AFDC_state_fuel_2024!A:A, 0)), 0) + IFERROR(INDEX(AFDC_state_fuel_2024!D:D, MATCH(B31, AFDC_state_fuel_2024!A:A, 0)), 0) + IFERROR(INDEX(AFDC_state_fuel_2024!F:F, MATCH(B31, AFDC_state_fuel_2024!A:A, 0)), 0) + IFERROR(INDEX(AFDC_state_fuel_2024!J:J, MATCH(B31, AFDC_state_fuel_2024!A:A, 0)), 0))/((IFERROR(INDEX(AFDC_state_fuel_2024!K:K, MATCH(B31, AFDC_state_fuel_2024!A:A, 0)), 0) + IFERROR(INDEX(AFDC_state_fuel_2024!D:D, MATCH(B31, AFDC_state_fuel_2024!A:A, 0)), 0) + IFERROR(INDEX(AFDC_state_fuel_2024!F:F, MATCH(B31, AFDC_state_fuel_2024!A:A, 0)), 0) + IFERROR(INDEX(AFDC_state_fuel_2024!J:J, MATCH(B31, AFDC_state_fuel_2024!A:A, 0)), 0))+(IFERROR(INDEX(AFDC_state_fuel_2024!L:L, MATCH(B31, AFDC_state_fuel_2024!A:A, 0)), 0) + IFERROR(INDEX(AFDC_state_fuel_2024!E:E, MATCH(B31, AFDC_state_fuel_2024!A:A, 0)), 0)))</f>
        <v>1812284.5736069768</v>
      </c>
      <c r="G31">
        <f>National_totals!$F$2*K31/SUM(K3:K50)</f>
        <v>18955.433711031244</v>
      </c>
      <c r="H31">
        <f>IFERROR(INDEX(AFDC_state_fuel_2024!H:H, MATCH(B31, AFDC_state_fuel_2024!A:A, 0)), 0)</f>
        <v>100</v>
      </c>
      <c r="I31">
        <f>IFERROR(INDEX(AFDC_state_fuel_2024!I:I, MATCH(B31, AFDC_state_fuel_2024!A:A, 0)), 0)</f>
        <v>0</v>
      </c>
      <c r="J31">
        <f>IFERROR(INDEX(AFDC_state_fuel_2024!M:M, MATCH(B31, AFDC_state_fuel_2024!A:A, 0)), 0)</f>
        <v>22000</v>
      </c>
      <c r="K31">
        <f>(IFERROR(INDEX(AFDC_state_fuel_2024!L:L, MATCH(B31, AFDC_state_fuel_2024!A:A, 0)), 0) + IFERROR(INDEX(AFDC_state_fuel_2024!E:E, MATCH(B31, AFDC_state_fuel_2024!A:A, 0)), 0)) + (IFERROR(INDEX(AFDC_state_fuel_2024!M:M, MATCH(B31, AFDC_state_fuel_2024!A:A, 0)), 0))*(IFERROR(INDEX(AFDC_state_fuel_2024!L:L, MATCH(B31, AFDC_state_fuel_2024!A:A, 0)), 0) + IFERROR(INDEX(AFDC_state_fuel_2024!E:E, MATCH(B31, AFDC_state_fuel_2024!A:A, 0)), 0))/((IFERROR(INDEX(AFDC_state_fuel_2024!K:K, MATCH(B31, AFDC_state_fuel_2024!A:A, 0)), 0) + IFERROR(INDEX(AFDC_state_fuel_2024!D:D, MATCH(B31, AFDC_state_fuel_2024!A:A, 0)), 0) + IFERROR(INDEX(AFDC_state_fuel_2024!F:F, MATCH(B31, AFDC_state_fuel_2024!A:A, 0)), 0) + IFERROR(INDEX(AFDC_state_fuel_2024!J:J, MATCH(B31, AFDC_state_fuel_2024!A:A, 0)), 0))+(IFERROR(INDEX(AFDC_state_fuel_2024!L:L, MATCH(B31, AFDC_state_fuel_2024!A:A, 0)), 0) + IFERROR(INDEX(AFDC_state_fuel_2024!E:E, MATCH(B31, AFDC_state_fuel_2024!A:A, 0)), 0)))</f>
        <v>124615.42639302314</v>
      </c>
      <c r="L31">
        <f>IFERROR(INDEX(AFDC_state_fuel_2024!C:C, MATCH(B31, AFDC_state_fuel_2024!A:A, 0)), 0)</f>
        <v>5800</v>
      </c>
      <c r="M31" t="str">
        <f>IF($B31=Keys!$C$62,"OVERRIDDEN (see Keys / methodology 9.5)","")</f>
        <v/>
      </c>
    </row>
    <row r="32" spans="1:13" x14ac:dyDescent="0.45">
      <c r="A32" t="s">
        <v>114</v>
      </c>
      <c r="B32" t="str">
        <f>INDEX(Geography!C:C, MATCH(A32, Geography!B:B, 0))</f>
        <v>New York</v>
      </c>
      <c r="C32">
        <f>IFERROR(INDEX(AFDC_state_fuel_2024!B:B, MATCH(B32, AFDC_state_fuel_2024!A:A, 0)), 0)</f>
        <v>168100</v>
      </c>
      <c r="D32">
        <f>IF($B32=Keys!$C$62,C32*(IFERROR(INDEX(AFDC_state_fuel_2024!C:C, MATCH(Keys!$C$63, AFDC_state_fuel_2024!A:A, 0)), 0))/(IFERROR(INDEX(AFDC_state_fuel_2024!B:B, MATCH(Keys!$C$63, AFDC_state_fuel_2024!A:A, 0)), 0)),L32)</f>
        <v>111400</v>
      </c>
      <c r="E32">
        <f>IFERROR(INDEX(AFDC_state_fuel_2024!G:G, MATCH(B32, AFDC_state_fuel_2024!A:A, 0)), 0)</f>
        <v>300</v>
      </c>
      <c r="F32">
        <f>(IFERROR(INDEX(AFDC_state_fuel_2024!K:K, MATCH(B32, AFDC_state_fuel_2024!A:A, 0)), 0) + IFERROR(INDEX(AFDC_state_fuel_2024!D:D, MATCH(B32, AFDC_state_fuel_2024!A:A, 0)), 0) + IFERROR(INDEX(AFDC_state_fuel_2024!F:F, MATCH(B32, AFDC_state_fuel_2024!A:A, 0)), 0) + IFERROR(INDEX(AFDC_state_fuel_2024!J:J, MATCH(B32, AFDC_state_fuel_2024!A:A, 0)), 0)) + (IFERROR(INDEX(AFDC_state_fuel_2024!M:M, MATCH(B32, AFDC_state_fuel_2024!A:A, 0)), 0))*(IFERROR(INDEX(AFDC_state_fuel_2024!K:K, MATCH(B32, AFDC_state_fuel_2024!A:A, 0)), 0) + IFERROR(INDEX(AFDC_state_fuel_2024!D:D, MATCH(B32, AFDC_state_fuel_2024!A:A, 0)), 0) + IFERROR(INDEX(AFDC_state_fuel_2024!F:F, MATCH(B32, AFDC_state_fuel_2024!A:A, 0)), 0) + IFERROR(INDEX(AFDC_state_fuel_2024!J:J, MATCH(B32, AFDC_state_fuel_2024!A:A, 0)), 0))/((IFERROR(INDEX(AFDC_state_fuel_2024!K:K, MATCH(B32, AFDC_state_fuel_2024!A:A, 0)), 0) + IFERROR(INDEX(AFDC_state_fuel_2024!D:D, MATCH(B32, AFDC_state_fuel_2024!A:A, 0)), 0) + IFERROR(INDEX(AFDC_state_fuel_2024!F:F, MATCH(B32, AFDC_state_fuel_2024!A:A, 0)), 0) + IFERROR(INDEX(AFDC_state_fuel_2024!J:J, MATCH(B32, AFDC_state_fuel_2024!A:A, 0)), 0))+(IFERROR(INDEX(AFDC_state_fuel_2024!L:L, MATCH(B32, AFDC_state_fuel_2024!A:A, 0)), 0) + IFERROR(INDEX(AFDC_state_fuel_2024!E:E, MATCH(B32, AFDC_state_fuel_2024!A:A, 0)), 0)))</f>
        <v>10840815.534732793</v>
      </c>
      <c r="G32">
        <f>National_totals!$F$2*K32/SUM(K3:K50)</f>
        <v>31743.297458363555</v>
      </c>
      <c r="H32">
        <f>IFERROR(INDEX(AFDC_state_fuel_2024!H:H, MATCH(B32, AFDC_state_fuel_2024!A:A, 0)), 0)</f>
        <v>0</v>
      </c>
      <c r="I32">
        <f>IFERROR(INDEX(AFDC_state_fuel_2024!I:I, MATCH(B32, AFDC_state_fuel_2024!A:A, 0)), 0)</f>
        <v>0</v>
      </c>
      <c r="J32">
        <f>IFERROR(INDEX(AFDC_state_fuel_2024!M:M, MATCH(B32, AFDC_state_fuel_2024!A:A, 0)), 0)</f>
        <v>78600</v>
      </c>
      <c r="K32">
        <f>(IFERROR(INDEX(AFDC_state_fuel_2024!L:L, MATCH(B32, AFDC_state_fuel_2024!A:A, 0)), 0) + IFERROR(INDEX(AFDC_state_fuel_2024!E:E, MATCH(B32, AFDC_state_fuel_2024!A:A, 0)), 0)) + (IFERROR(INDEX(AFDC_state_fuel_2024!M:M, MATCH(B32, AFDC_state_fuel_2024!A:A, 0)), 0))*(IFERROR(INDEX(AFDC_state_fuel_2024!L:L, MATCH(B32, AFDC_state_fuel_2024!A:A, 0)), 0) + IFERROR(INDEX(AFDC_state_fuel_2024!E:E, MATCH(B32, AFDC_state_fuel_2024!A:A, 0)), 0))/((IFERROR(INDEX(AFDC_state_fuel_2024!K:K, MATCH(B32, AFDC_state_fuel_2024!A:A, 0)), 0) + IFERROR(INDEX(AFDC_state_fuel_2024!D:D, MATCH(B32, AFDC_state_fuel_2024!A:A, 0)), 0) + IFERROR(INDEX(AFDC_state_fuel_2024!F:F, MATCH(B32, AFDC_state_fuel_2024!A:A, 0)), 0) + IFERROR(INDEX(AFDC_state_fuel_2024!J:J, MATCH(B32, AFDC_state_fuel_2024!A:A, 0)), 0))+(IFERROR(INDEX(AFDC_state_fuel_2024!L:L, MATCH(B32, AFDC_state_fuel_2024!A:A, 0)), 0) + IFERROR(INDEX(AFDC_state_fuel_2024!E:E, MATCH(B32, AFDC_state_fuel_2024!A:A, 0)), 0)))</f>
        <v>208684.46526720689</v>
      </c>
      <c r="L32">
        <f>IFERROR(INDEX(AFDC_state_fuel_2024!C:C, MATCH(B32, AFDC_state_fuel_2024!A:A, 0)), 0)</f>
        <v>111400</v>
      </c>
      <c r="M32" t="str">
        <f>IF($B32=Keys!$C$62,"OVERRIDDEN (see Keys / methodology 9.5)","")</f>
        <v/>
      </c>
    </row>
    <row r="33" spans="1:13" x14ac:dyDescent="0.45">
      <c r="A33" t="s">
        <v>116</v>
      </c>
      <c r="B33" t="str">
        <f>INDEX(Geography!C:C, MATCH(A33, Geography!B:B, 0))</f>
        <v>North Carolina</v>
      </c>
      <c r="C33">
        <f>IFERROR(INDEX(AFDC_state_fuel_2024!B:B, MATCH(B33, AFDC_state_fuel_2024!A:A, 0)), 0)</f>
        <v>91000</v>
      </c>
      <c r="D33">
        <f>IF($B33=Keys!$C$62,C33*(IFERROR(INDEX(AFDC_state_fuel_2024!C:C, MATCH(Keys!$C$63, AFDC_state_fuel_2024!A:A, 0)), 0))/(IFERROR(INDEX(AFDC_state_fuel_2024!B:B, MATCH(Keys!$C$63, AFDC_state_fuel_2024!A:A, 0)), 0)),L33)</f>
        <v>28300</v>
      </c>
      <c r="E33">
        <f>IFERROR(INDEX(AFDC_state_fuel_2024!G:G, MATCH(B33, AFDC_state_fuel_2024!A:A, 0)), 0)</f>
        <v>300</v>
      </c>
      <c r="F33">
        <f>(IFERROR(INDEX(AFDC_state_fuel_2024!K:K, MATCH(B33, AFDC_state_fuel_2024!A:A, 0)), 0) + IFERROR(INDEX(AFDC_state_fuel_2024!D:D, MATCH(B33, AFDC_state_fuel_2024!A:A, 0)), 0) + IFERROR(INDEX(AFDC_state_fuel_2024!F:F, MATCH(B33, AFDC_state_fuel_2024!A:A, 0)), 0) + IFERROR(INDEX(AFDC_state_fuel_2024!J:J, MATCH(B33, AFDC_state_fuel_2024!A:A, 0)), 0)) + (IFERROR(INDEX(AFDC_state_fuel_2024!M:M, MATCH(B33, AFDC_state_fuel_2024!A:A, 0)), 0))*(IFERROR(INDEX(AFDC_state_fuel_2024!K:K, MATCH(B33, AFDC_state_fuel_2024!A:A, 0)), 0) + IFERROR(INDEX(AFDC_state_fuel_2024!D:D, MATCH(B33, AFDC_state_fuel_2024!A:A, 0)), 0) + IFERROR(INDEX(AFDC_state_fuel_2024!F:F, MATCH(B33, AFDC_state_fuel_2024!A:A, 0)), 0) + IFERROR(INDEX(AFDC_state_fuel_2024!J:J, MATCH(B33, AFDC_state_fuel_2024!A:A, 0)), 0))/((IFERROR(INDEX(AFDC_state_fuel_2024!K:K, MATCH(B33, AFDC_state_fuel_2024!A:A, 0)), 0) + IFERROR(INDEX(AFDC_state_fuel_2024!D:D, MATCH(B33, AFDC_state_fuel_2024!A:A, 0)), 0) + IFERROR(INDEX(AFDC_state_fuel_2024!F:F, MATCH(B33, AFDC_state_fuel_2024!A:A, 0)), 0) + IFERROR(INDEX(AFDC_state_fuel_2024!J:J, MATCH(B33, AFDC_state_fuel_2024!A:A, 0)), 0))+(IFERROR(INDEX(AFDC_state_fuel_2024!L:L, MATCH(B33, AFDC_state_fuel_2024!A:A, 0)), 0) + IFERROR(INDEX(AFDC_state_fuel_2024!E:E, MATCH(B33, AFDC_state_fuel_2024!A:A, 0)), 0)))</f>
        <v>8759985.3171822336</v>
      </c>
      <c r="G33">
        <f>National_totals!$F$2*K33/SUM(K3:K50)</f>
        <v>45635.66965258665</v>
      </c>
      <c r="H33">
        <f>IFERROR(INDEX(AFDC_state_fuel_2024!H:H, MATCH(B33, AFDC_state_fuel_2024!A:A, 0)), 0)</f>
        <v>100</v>
      </c>
      <c r="I33">
        <f>IFERROR(INDEX(AFDC_state_fuel_2024!I:I, MATCH(B33, AFDC_state_fuel_2024!A:A, 0)), 0)</f>
        <v>0</v>
      </c>
      <c r="J33">
        <f>IFERROR(INDEX(AFDC_state_fuel_2024!M:M, MATCH(B33, AFDC_state_fuel_2024!A:A, 0)), 0)</f>
        <v>69900</v>
      </c>
      <c r="K33">
        <f>(IFERROR(INDEX(AFDC_state_fuel_2024!L:L, MATCH(B33, AFDC_state_fuel_2024!A:A, 0)), 0) + IFERROR(INDEX(AFDC_state_fuel_2024!E:E, MATCH(B33, AFDC_state_fuel_2024!A:A, 0)), 0)) + (IFERROR(INDEX(AFDC_state_fuel_2024!M:M, MATCH(B33, AFDC_state_fuel_2024!A:A, 0)), 0))*(IFERROR(INDEX(AFDC_state_fuel_2024!L:L, MATCH(B33, AFDC_state_fuel_2024!A:A, 0)), 0) + IFERROR(INDEX(AFDC_state_fuel_2024!E:E, MATCH(B33, AFDC_state_fuel_2024!A:A, 0)), 0))/((IFERROR(INDEX(AFDC_state_fuel_2024!K:K, MATCH(B33, AFDC_state_fuel_2024!A:A, 0)), 0) + IFERROR(INDEX(AFDC_state_fuel_2024!D:D, MATCH(B33, AFDC_state_fuel_2024!A:A, 0)), 0) + IFERROR(INDEX(AFDC_state_fuel_2024!F:F, MATCH(B33, AFDC_state_fuel_2024!A:A, 0)), 0) + IFERROR(INDEX(AFDC_state_fuel_2024!J:J, MATCH(B33, AFDC_state_fuel_2024!A:A, 0)), 0))+(IFERROR(INDEX(AFDC_state_fuel_2024!L:L, MATCH(B33, AFDC_state_fuel_2024!A:A, 0)), 0) + IFERROR(INDEX(AFDC_state_fuel_2024!E:E, MATCH(B33, AFDC_state_fuel_2024!A:A, 0)), 0)))</f>
        <v>300014.68281776621</v>
      </c>
      <c r="L33">
        <f>IFERROR(INDEX(AFDC_state_fuel_2024!C:C, MATCH(B33, AFDC_state_fuel_2024!A:A, 0)), 0)</f>
        <v>28300</v>
      </c>
      <c r="M33" t="str">
        <f>IF($B33=Keys!$C$62,"OVERRIDDEN (see Keys / methodology 9.5)","")</f>
        <v/>
      </c>
    </row>
    <row r="34" spans="1:13" x14ac:dyDescent="0.45">
      <c r="A34" t="s">
        <v>118</v>
      </c>
      <c r="B34" t="str">
        <f>INDEX(Geography!C:C, MATCH(A34, Geography!B:B, 0))</f>
        <v>North Dakota</v>
      </c>
      <c r="C34">
        <f>IFERROR(INDEX(AFDC_state_fuel_2024!B:B, MATCH(B34, AFDC_state_fuel_2024!A:A, 0)), 0)</f>
        <v>1300</v>
      </c>
      <c r="D34">
        <f>IF($B34=Keys!$C$62,C34*(IFERROR(INDEX(AFDC_state_fuel_2024!C:C, MATCH(Keys!$C$63, AFDC_state_fuel_2024!A:A, 0)), 0))/(IFERROR(INDEX(AFDC_state_fuel_2024!B:B, MATCH(Keys!$C$63, AFDC_state_fuel_2024!A:A, 0)), 0)),L34)</f>
        <v>1000</v>
      </c>
      <c r="E34">
        <f>IFERROR(INDEX(AFDC_state_fuel_2024!G:G, MATCH(B34, AFDC_state_fuel_2024!A:A, 0)), 0)</f>
        <v>0</v>
      </c>
      <c r="F34">
        <f>(IFERROR(INDEX(AFDC_state_fuel_2024!K:K, MATCH(B34, AFDC_state_fuel_2024!A:A, 0)), 0) + IFERROR(INDEX(AFDC_state_fuel_2024!D:D, MATCH(B34, AFDC_state_fuel_2024!A:A, 0)), 0) + IFERROR(INDEX(AFDC_state_fuel_2024!F:F, MATCH(B34, AFDC_state_fuel_2024!A:A, 0)), 0) + IFERROR(INDEX(AFDC_state_fuel_2024!J:J, MATCH(B34, AFDC_state_fuel_2024!A:A, 0)), 0)) + (IFERROR(INDEX(AFDC_state_fuel_2024!M:M, MATCH(B34, AFDC_state_fuel_2024!A:A, 0)), 0))*(IFERROR(INDEX(AFDC_state_fuel_2024!K:K, MATCH(B34, AFDC_state_fuel_2024!A:A, 0)), 0) + IFERROR(INDEX(AFDC_state_fuel_2024!D:D, MATCH(B34, AFDC_state_fuel_2024!A:A, 0)), 0) + IFERROR(INDEX(AFDC_state_fuel_2024!F:F, MATCH(B34, AFDC_state_fuel_2024!A:A, 0)), 0) + IFERROR(INDEX(AFDC_state_fuel_2024!J:J, MATCH(B34, AFDC_state_fuel_2024!A:A, 0)), 0))/((IFERROR(INDEX(AFDC_state_fuel_2024!K:K, MATCH(B34, AFDC_state_fuel_2024!A:A, 0)), 0) + IFERROR(INDEX(AFDC_state_fuel_2024!D:D, MATCH(B34, AFDC_state_fuel_2024!A:A, 0)), 0) + IFERROR(INDEX(AFDC_state_fuel_2024!F:F, MATCH(B34, AFDC_state_fuel_2024!A:A, 0)), 0) + IFERROR(INDEX(AFDC_state_fuel_2024!J:J, MATCH(B34, AFDC_state_fuel_2024!A:A, 0)), 0))+(IFERROR(INDEX(AFDC_state_fuel_2024!L:L, MATCH(B34, AFDC_state_fuel_2024!A:A, 0)), 0) + IFERROR(INDEX(AFDC_state_fuel_2024!E:E, MATCH(B34, AFDC_state_fuel_2024!A:A, 0)), 0)))</f>
        <v>736221.46353709046</v>
      </c>
      <c r="G34">
        <f>National_totals!$F$2*K34/SUM(K3:K50)</f>
        <v>10249.047156014778</v>
      </c>
      <c r="H34">
        <f>IFERROR(INDEX(AFDC_state_fuel_2024!H:H, MATCH(B34, AFDC_state_fuel_2024!A:A, 0)), 0)</f>
        <v>0</v>
      </c>
      <c r="I34">
        <f>IFERROR(INDEX(AFDC_state_fuel_2024!I:I, MATCH(B34, AFDC_state_fuel_2024!A:A, 0)), 0)</f>
        <v>0</v>
      </c>
      <c r="J34">
        <f>IFERROR(INDEX(AFDC_state_fuel_2024!M:M, MATCH(B34, AFDC_state_fuel_2024!A:A, 0)), 0)</f>
        <v>6900</v>
      </c>
      <c r="K34">
        <f>(IFERROR(INDEX(AFDC_state_fuel_2024!L:L, MATCH(B34, AFDC_state_fuel_2024!A:A, 0)), 0) + IFERROR(INDEX(AFDC_state_fuel_2024!E:E, MATCH(B34, AFDC_state_fuel_2024!A:A, 0)), 0)) + (IFERROR(INDEX(AFDC_state_fuel_2024!M:M, MATCH(B34, AFDC_state_fuel_2024!A:A, 0)), 0))*(IFERROR(INDEX(AFDC_state_fuel_2024!L:L, MATCH(B34, AFDC_state_fuel_2024!A:A, 0)), 0) + IFERROR(INDEX(AFDC_state_fuel_2024!E:E, MATCH(B34, AFDC_state_fuel_2024!A:A, 0)), 0))/((IFERROR(INDEX(AFDC_state_fuel_2024!K:K, MATCH(B34, AFDC_state_fuel_2024!A:A, 0)), 0) + IFERROR(INDEX(AFDC_state_fuel_2024!D:D, MATCH(B34, AFDC_state_fuel_2024!A:A, 0)), 0) + IFERROR(INDEX(AFDC_state_fuel_2024!F:F, MATCH(B34, AFDC_state_fuel_2024!A:A, 0)), 0) + IFERROR(INDEX(AFDC_state_fuel_2024!J:J, MATCH(B34, AFDC_state_fuel_2024!A:A, 0)), 0))+(IFERROR(INDEX(AFDC_state_fuel_2024!L:L, MATCH(B34, AFDC_state_fuel_2024!A:A, 0)), 0) + IFERROR(INDEX(AFDC_state_fuel_2024!E:E, MATCH(B34, AFDC_state_fuel_2024!A:A, 0)), 0)))</f>
        <v>67378.536462909498</v>
      </c>
      <c r="L34">
        <f>IFERROR(INDEX(AFDC_state_fuel_2024!C:C, MATCH(B34, AFDC_state_fuel_2024!A:A, 0)), 0)</f>
        <v>1000</v>
      </c>
      <c r="M34" t="str">
        <f>IF($B34=Keys!$C$62,"OVERRIDDEN (see Keys / methodology 9.5)","")</f>
        <v/>
      </c>
    </row>
    <row r="35" spans="1:13" x14ac:dyDescent="0.45">
      <c r="A35" t="s">
        <v>120</v>
      </c>
      <c r="B35" t="str">
        <f>INDEX(Geography!C:C, MATCH(A35, Geography!B:B, 0))</f>
        <v>Ohio</v>
      </c>
      <c r="C35">
        <f>IFERROR(INDEX(AFDC_state_fuel_2024!B:B, MATCH(B35, AFDC_state_fuel_2024!A:A, 0)), 0)</f>
        <v>69400</v>
      </c>
      <c r="D35">
        <f>IF($B35=Keys!$C$62,C35*(IFERROR(INDEX(AFDC_state_fuel_2024!C:C, MATCH(Keys!$C$63, AFDC_state_fuel_2024!A:A, 0)), 0))/(IFERROR(INDEX(AFDC_state_fuel_2024!B:B, MATCH(Keys!$C$63, AFDC_state_fuel_2024!A:A, 0)), 0)),L35)</f>
        <v>29700</v>
      </c>
      <c r="E35">
        <f>IFERROR(INDEX(AFDC_state_fuel_2024!G:G, MATCH(B35, AFDC_state_fuel_2024!A:A, 0)), 0)</f>
        <v>600</v>
      </c>
      <c r="F35">
        <f>(IFERROR(INDEX(AFDC_state_fuel_2024!K:K, MATCH(B35, AFDC_state_fuel_2024!A:A, 0)), 0) + IFERROR(INDEX(AFDC_state_fuel_2024!D:D, MATCH(B35, AFDC_state_fuel_2024!A:A, 0)), 0) + IFERROR(INDEX(AFDC_state_fuel_2024!F:F, MATCH(B35, AFDC_state_fuel_2024!A:A, 0)), 0) + IFERROR(INDEX(AFDC_state_fuel_2024!J:J, MATCH(B35, AFDC_state_fuel_2024!A:A, 0)), 0)) + (IFERROR(INDEX(AFDC_state_fuel_2024!M:M, MATCH(B35, AFDC_state_fuel_2024!A:A, 0)), 0))*(IFERROR(INDEX(AFDC_state_fuel_2024!K:K, MATCH(B35, AFDC_state_fuel_2024!A:A, 0)), 0) + IFERROR(INDEX(AFDC_state_fuel_2024!D:D, MATCH(B35, AFDC_state_fuel_2024!A:A, 0)), 0) + IFERROR(INDEX(AFDC_state_fuel_2024!F:F, MATCH(B35, AFDC_state_fuel_2024!A:A, 0)), 0) + IFERROR(INDEX(AFDC_state_fuel_2024!J:J, MATCH(B35, AFDC_state_fuel_2024!A:A, 0)), 0))/((IFERROR(INDEX(AFDC_state_fuel_2024!K:K, MATCH(B35, AFDC_state_fuel_2024!A:A, 0)), 0) + IFERROR(INDEX(AFDC_state_fuel_2024!D:D, MATCH(B35, AFDC_state_fuel_2024!A:A, 0)), 0) + IFERROR(INDEX(AFDC_state_fuel_2024!F:F, MATCH(B35, AFDC_state_fuel_2024!A:A, 0)), 0) + IFERROR(INDEX(AFDC_state_fuel_2024!J:J, MATCH(B35, AFDC_state_fuel_2024!A:A, 0)), 0))+(IFERROR(INDEX(AFDC_state_fuel_2024!L:L, MATCH(B35, AFDC_state_fuel_2024!A:A, 0)), 0) + IFERROR(INDEX(AFDC_state_fuel_2024!E:E, MATCH(B35, AFDC_state_fuel_2024!A:A, 0)), 0)))</f>
        <v>10011797.095326116</v>
      </c>
      <c r="G35">
        <f>National_totals!$F$2*K35/SUM(K3:K50)</f>
        <v>41587.713383127026</v>
      </c>
      <c r="H35">
        <f>IFERROR(INDEX(AFDC_state_fuel_2024!H:H, MATCH(B35, AFDC_state_fuel_2024!A:A, 0)), 0)</f>
        <v>100</v>
      </c>
      <c r="I35">
        <f>IFERROR(INDEX(AFDC_state_fuel_2024!I:I, MATCH(B35, AFDC_state_fuel_2024!A:A, 0)), 0)</f>
        <v>0</v>
      </c>
      <c r="J35">
        <f>IFERROR(INDEX(AFDC_state_fuel_2024!M:M, MATCH(B35, AFDC_state_fuel_2024!A:A, 0)), 0)</f>
        <v>60300</v>
      </c>
      <c r="K35">
        <f>(IFERROR(INDEX(AFDC_state_fuel_2024!L:L, MATCH(B35, AFDC_state_fuel_2024!A:A, 0)), 0) + IFERROR(INDEX(AFDC_state_fuel_2024!E:E, MATCH(B35, AFDC_state_fuel_2024!A:A, 0)), 0)) + (IFERROR(INDEX(AFDC_state_fuel_2024!M:M, MATCH(B35, AFDC_state_fuel_2024!A:A, 0)), 0))*(IFERROR(INDEX(AFDC_state_fuel_2024!L:L, MATCH(B35, AFDC_state_fuel_2024!A:A, 0)), 0) + IFERROR(INDEX(AFDC_state_fuel_2024!E:E, MATCH(B35, AFDC_state_fuel_2024!A:A, 0)), 0))/((IFERROR(INDEX(AFDC_state_fuel_2024!K:K, MATCH(B35, AFDC_state_fuel_2024!A:A, 0)), 0) + IFERROR(INDEX(AFDC_state_fuel_2024!D:D, MATCH(B35, AFDC_state_fuel_2024!A:A, 0)), 0) + IFERROR(INDEX(AFDC_state_fuel_2024!F:F, MATCH(B35, AFDC_state_fuel_2024!A:A, 0)), 0) + IFERROR(INDEX(AFDC_state_fuel_2024!J:J, MATCH(B35, AFDC_state_fuel_2024!A:A, 0)), 0))+(IFERROR(INDEX(AFDC_state_fuel_2024!L:L, MATCH(B35, AFDC_state_fuel_2024!A:A, 0)), 0) + IFERROR(INDEX(AFDC_state_fuel_2024!E:E, MATCH(B35, AFDC_state_fuel_2024!A:A, 0)), 0)))</f>
        <v>273402.90467388433</v>
      </c>
      <c r="L35">
        <f>IFERROR(INDEX(AFDC_state_fuel_2024!C:C, MATCH(B35, AFDC_state_fuel_2024!A:A, 0)), 0)</f>
        <v>29700</v>
      </c>
      <c r="M35" t="str">
        <f>IF($B35=Keys!$C$62,"OVERRIDDEN (see Keys / methodology 9.5)","")</f>
        <v/>
      </c>
    </row>
    <row r="36" spans="1:13" x14ac:dyDescent="0.45">
      <c r="A36" t="s">
        <v>122</v>
      </c>
      <c r="B36" t="str">
        <f>INDEX(Geography!C:C, MATCH(A36, Geography!B:B, 0))</f>
        <v>Oklahoma</v>
      </c>
      <c r="C36">
        <f>IFERROR(INDEX(AFDC_state_fuel_2024!B:B, MATCH(B36, AFDC_state_fuel_2024!A:A, 0)), 0)</f>
        <v>22600</v>
      </c>
      <c r="D36">
        <f>IF($B36=Keys!$C$62,C36*(IFERROR(INDEX(AFDC_state_fuel_2024!C:C, MATCH(Keys!$C$63, AFDC_state_fuel_2024!A:A, 0)), 0))/(IFERROR(INDEX(AFDC_state_fuel_2024!B:B, MATCH(Keys!$C$63, AFDC_state_fuel_2024!A:A, 0)), 0)),L36)</f>
        <v>7631.5207496058792</v>
      </c>
      <c r="E36">
        <f>IFERROR(INDEX(AFDC_state_fuel_2024!G:G, MATCH(B36, AFDC_state_fuel_2024!A:A, 0)), 0)</f>
        <v>1700</v>
      </c>
      <c r="F36">
        <f>(IFERROR(INDEX(AFDC_state_fuel_2024!K:K, MATCH(B36, AFDC_state_fuel_2024!A:A, 0)), 0) + IFERROR(INDEX(AFDC_state_fuel_2024!D:D, MATCH(B36, AFDC_state_fuel_2024!A:A, 0)), 0) + IFERROR(INDEX(AFDC_state_fuel_2024!F:F, MATCH(B36, AFDC_state_fuel_2024!A:A, 0)), 0) + IFERROR(INDEX(AFDC_state_fuel_2024!J:J, MATCH(B36, AFDC_state_fuel_2024!A:A, 0)), 0)) + (IFERROR(INDEX(AFDC_state_fuel_2024!M:M, MATCH(B36, AFDC_state_fuel_2024!A:A, 0)), 0))*(IFERROR(INDEX(AFDC_state_fuel_2024!K:K, MATCH(B36, AFDC_state_fuel_2024!A:A, 0)), 0) + IFERROR(INDEX(AFDC_state_fuel_2024!D:D, MATCH(B36, AFDC_state_fuel_2024!A:A, 0)), 0) + IFERROR(INDEX(AFDC_state_fuel_2024!F:F, MATCH(B36, AFDC_state_fuel_2024!A:A, 0)), 0) + IFERROR(INDEX(AFDC_state_fuel_2024!J:J, MATCH(B36, AFDC_state_fuel_2024!A:A, 0)), 0))/((IFERROR(INDEX(AFDC_state_fuel_2024!K:K, MATCH(B36, AFDC_state_fuel_2024!A:A, 0)), 0) + IFERROR(INDEX(AFDC_state_fuel_2024!D:D, MATCH(B36, AFDC_state_fuel_2024!A:A, 0)), 0) + IFERROR(INDEX(AFDC_state_fuel_2024!F:F, MATCH(B36, AFDC_state_fuel_2024!A:A, 0)), 0) + IFERROR(INDEX(AFDC_state_fuel_2024!J:J, MATCH(B36, AFDC_state_fuel_2024!A:A, 0)), 0))+(IFERROR(INDEX(AFDC_state_fuel_2024!L:L, MATCH(B36, AFDC_state_fuel_2024!A:A, 0)), 0) + IFERROR(INDEX(AFDC_state_fuel_2024!E:E, MATCH(B36, AFDC_state_fuel_2024!A:A, 0)), 0)))</f>
        <v>3964640.0430440353</v>
      </c>
      <c r="G36">
        <f>National_totals!$F$2*K36/SUM(K3:K50)</f>
        <v>32652.238188059644</v>
      </c>
      <c r="H36">
        <f>IFERROR(INDEX(AFDC_state_fuel_2024!H:H, MATCH(B36, AFDC_state_fuel_2024!A:A, 0)), 0)</f>
        <v>200</v>
      </c>
      <c r="I36">
        <f>IFERROR(INDEX(AFDC_state_fuel_2024!I:I, MATCH(B36, AFDC_state_fuel_2024!A:A, 0)), 0)</f>
        <v>0</v>
      </c>
      <c r="J36">
        <f>IFERROR(INDEX(AFDC_state_fuel_2024!M:M, MATCH(B36, AFDC_state_fuel_2024!A:A, 0)), 0)</f>
        <v>44000</v>
      </c>
      <c r="K36">
        <f>(IFERROR(INDEX(AFDC_state_fuel_2024!L:L, MATCH(B36, AFDC_state_fuel_2024!A:A, 0)), 0) + IFERROR(INDEX(AFDC_state_fuel_2024!E:E, MATCH(B36, AFDC_state_fuel_2024!A:A, 0)), 0)) + (IFERROR(INDEX(AFDC_state_fuel_2024!M:M, MATCH(B36, AFDC_state_fuel_2024!A:A, 0)), 0))*(IFERROR(INDEX(AFDC_state_fuel_2024!L:L, MATCH(B36, AFDC_state_fuel_2024!A:A, 0)), 0) + IFERROR(INDEX(AFDC_state_fuel_2024!E:E, MATCH(B36, AFDC_state_fuel_2024!A:A, 0)), 0))/((IFERROR(INDEX(AFDC_state_fuel_2024!K:K, MATCH(B36, AFDC_state_fuel_2024!A:A, 0)), 0) + IFERROR(INDEX(AFDC_state_fuel_2024!D:D, MATCH(B36, AFDC_state_fuel_2024!A:A, 0)), 0) + IFERROR(INDEX(AFDC_state_fuel_2024!F:F, MATCH(B36, AFDC_state_fuel_2024!A:A, 0)), 0) + IFERROR(INDEX(AFDC_state_fuel_2024!J:J, MATCH(B36, AFDC_state_fuel_2024!A:A, 0)), 0))+(IFERROR(INDEX(AFDC_state_fuel_2024!L:L, MATCH(B36, AFDC_state_fuel_2024!A:A, 0)), 0) + IFERROR(INDEX(AFDC_state_fuel_2024!E:E, MATCH(B36, AFDC_state_fuel_2024!A:A, 0)), 0)))</f>
        <v>214659.9569559645</v>
      </c>
      <c r="L36">
        <f>IFERROR(INDEX(AFDC_state_fuel_2024!C:C, MATCH(B36, AFDC_state_fuel_2024!A:A, 0)), 0)</f>
        <v>34300</v>
      </c>
      <c r="M36" t="str">
        <f>IF($B36=Keys!$C$62,"OVERRIDDEN (see Keys / methodology 9.5)","")</f>
        <v>OVERRIDDEN (see Keys / methodology 9.5)</v>
      </c>
    </row>
    <row r="37" spans="1:13" x14ac:dyDescent="0.45">
      <c r="A37" t="s">
        <v>124</v>
      </c>
      <c r="B37" t="str">
        <f>INDEX(Geography!C:C, MATCH(A37, Geography!B:B, 0))</f>
        <v>Oregon</v>
      </c>
      <c r="C37">
        <f>IFERROR(INDEX(AFDC_state_fuel_2024!B:B, MATCH(B37, AFDC_state_fuel_2024!A:A, 0)), 0)</f>
        <v>78400</v>
      </c>
      <c r="D37">
        <f>IF($B37=Keys!$C$62,C37*(IFERROR(INDEX(AFDC_state_fuel_2024!C:C, MATCH(Keys!$C$63, AFDC_state_fuel_2024!A:A, 0)), 0))/(IFERROR(INDEX(AFDC_state_fuel_2024!B:B, MATCH(Keys!$C$63, AFDC_state_fuel_2024!A:A, 0)), 0)),L37)</f>
        <v>33200</v>
      </c>
      <c r="E37">
        <f>IFERROR(INDEX(AFDC_state_fuel_2024!G:G, MATCH(B37, AFDC_state_fuel_2024!A:A, 0)), 0)</f>
        <v>100</v>
      </c>
      <c r="F37">
        <f>(IFERROR(INDEX(AFDC_state_fuel_2024!K:K, MATCH(B37, AFDC_state_fuel_2024!A:A, 0)), 0) + IFERROR(INDEX(AFDC_state_fuel_2024!D:D, MATCH(B37, AFDC_state_fuel_2024!A:A, 0)), 0) + IFERROR(INDEX(AFDC_state_fuel_2024!F:F, MATCH(B37, AFDC_state_fuel_2024!A:A, 0)), 0) + IFERROR(INDEX(AFDC_state_fuel_2024!J:J, MATCH(B37, AFDC_state_fuel_2024!A:A, 0)), 0)) + (IFERROR(INDEX(AFDC_state_fuel_2024!M:M, MATCH(B37, AFDC_state_fuel_2024!A:A, 0)), 0))*(IFERROR(INDEX(AFDC_state_fuel_2024!K:K, MATCH(B37, AFDC_state_fuel_2024!A:A, 0)), 0) + IFERROR(INDEX(AFDC_state_fuel_2024!D:D, MATCH(B37, AFDC_state_fuel_2024!A:A, 0)), 0) + IFERROR(INDEX(AFDC_state_fuel_2024!F:F, MATCH(B37, AFDC_state_fuel_2024!A:A, 0)), 0) + IFERROR(INDEX(AFDC_state_fuel_2024!J:J, MATCH(B37, AFDC_state_fuel_2024!A:A, 0)), 0))/((IFERROR(INDEX(AFDC_state_fuel_2024!K:K, MATCH(B37, AFDC_state_fuel_2024!A:A, 0)), 0) + IFERROR(INDEX(AFDC_state_fuel_2024!D:D, MATCH(B37, AFDC_state_fuel_2024!A:A, 0)), 0) + IFERROR(INDEX(AFDC_state_fuel_2024!F:F, MATCH(B37, AFDC_state_fuel_2024!A:A, 0)), 0) + IFERROR(INDEX(AFDC_state_fuel_2024!J:J, MATCH(B37, AFDC_state_fuel_2024!A:A, 0)), 0))+(IFERROR(INDEX(AFDC_state_fuel_2024!L:L, MATCH(B37, AFDC_state_fuel_2024!A:A, 0)), 0) + IFERROR(INDEX(AFDC_state_fuel_2024!E:E, MATCH(B37, AFDC_state_fuel_2024!A:A, 0)), 0)))</f>
        <v>3459116.9661977175</v>
      </c>
      <c r="G37">
        <f>National_totals!$F$2*K37/SUM(K3:K50)</f>
        <v>42482.148375100813</v>
      </c>
      <c r="H37">
        <f>IFERROR(INDEX(AFDC_state_fuel_2024!H:H, MATCH(B37, AFDC_state_fuel_2024!A:A, 0)), 0)</f>
        <v>100</v>
      </c>
      <c r="I37">
        <f>IFERROR(INDEX(AFDC_state_fuel_2024!I:I, MATCH(B37, AFDC_state_fuel_2024!A:A, 0)), 0)</f>
        <v>0</v>
      </c>
      <c r="J37">
        <f>IFERROR(INDEX(AFDC_state_fuel_2024!M:M, MATCH(B37, AFDC_state_fuel_2024!A:A, 0)), 0)</f>
        <v>49300</v>
      </c>
      <c r="K37">
        <f>(IFERROR(INDEX(AFDC_state_fuel_2024!L:L, MATCH(B37, AFDC_state_fuel_2024!A:A, 0)), 0) + IFERROR(INDEX(AFDC_state_fuel_2024!E:E, MATCH(B37, AFDC_state_fuel_2024!A:A, 0)), 0)) + (IFERROR(INDEX(AFDC_state_fuel_2024!M:M, MATCH(B37, AFDC_state_fuel_2024!A:A, 0)), 0))*(IFERROR(INDEX(AFDC_state_fuel_2024!L:L, MATCH(B37, AFDC_state_fuel_2024!A:A, 0)), 0) + IFERROR(INDEX(AFDC_state_fuel_2024!E:E, MATCH(B37, AFDC_state_fuel_2024!A:A, 0)), 0))/((IFERROR(INDEX(AFDC_state_fuel_2024!K:K, MATCH(B37, AFDC_state_fuel_2024!A:A, 0)), 0) + IFERROR(INDEX(AFDC_state_fuel_2024!D:D, MATCH(B37, AFDC_state_fuel_2024!A:A, 0)), 0) + IFERROR(INDEX(AFDC_state_fuel_2024!F:F, MATCH(B37, AFDC_state_fuel_2024!A:A, 0)), 0) + IFERROR(INDEX(AFDC_state_fuel_2024!J:J, MATCH(B37, AFDC_state_fuel_2024!A:A, 0)), 0))+(IFERROR(INDEX(AFDC_state_fuel_2024!L:L, MATCH(B37, AFDC_state_fuel_2024!A:A, 0)), 0) + IFERROR(INDEX(AFDC_state_fuel_2024!E:E, MATCH(B37, AFDC_state_fuel_2024!A:A, 0)), 0)))</f>
        <v>279283.03380228241</v>
      </c>
      <c r="L37">
        <f>IFERROR(INDEX(AFDC_state_fuel_2024!C:C, MATCH(B37, AFDC_state_fuel_2024!A:A, 0)), 0)</f>
        <v>33200</v>
      </c>
      <c r="M37" t="str">
        <f>IF($B37=Keys!$C$62,"OVERRIDDEN (see Keys / methodology 9.5)","")</f>
        <v/>
      </c>
    </row>
    <row r="38" spans="1:13" x14ac:dyDescent="0.45">
      <c r="A38" t="s">
        <v>126</v>
      </c>
      <c r="B38" t="str">
        <f>INDEX(Geography!C:C, MATCH(A38, Geography!B:B, 0))</f>
        <v>Pennsylvania</v>
      </c>
      <c r="C38">
        <f>IFERROR(INDEX(AFDC_state_fuel_2024!B:B, MATCH(B38, AFDC_state_fuel_2024!A:A, 0)), 0)</f>
        <v>89900</v>
      </c>
      <c r="D38">
        <f>IF($B38=Keys!$C$62,C38*(IFERROR(INDEX(AFDC_state_fuel_2024!C:C, MATCH(Keys!$C$63, AFDC_state_fuel_2024!A:A, 0)), 0))/(IFERROR(INDEX(AFDC_state_fuel_2024!B:B, MATCH(Keys!$C$63, AFDC_state_fuel_2024!A:A, 0)), 0)),L38)</f>
        <v>47600</v>
      </c>
      <c r="E38">
        <f>IFERROR(INDEX(AFDC_state_fuel_2024!G:G, MATCH(B38, AFDC_state_fuel_2024!A:A, 0)), 0)</f>
        <v>500</v>
      </c>
      <c r="F38">
        <f>(IFERROR(INDEX(AFDC_state_fuel_2024!K:K, MATCH(B38, AFDC_state_fuel_2024!A:A, 0)), 0) + IFERROR(INDEX(AFDC_state_fuel_2024!D:D, MATCH(B38, AFDC_state_fuel_2024!A:A, 0)), 0) + IFERROR(INDEX(AFDC_state_fuel_2024!F:F, MATCH(B38, AFDC_state_fuel_2024!A:A, 0)), 0) + IFERROR(INDEX(AFDC_state_fuel_2024!J:J, MATCH(B38, AFDC_state_fuel_2024!A:A, 0)), 0)) + (IFERROR(INDEX(AFDC_state_fuel_2024!M:M, MATCH(B38, AFDC_state_fuel_2024!A:A, 0)), 0))*(IFERROR(INDEX(AFDC_state_fuel_2024!K:K, MATCH(B38, AFDC_state_fuel_2024!A:A, 0)), 0) + IFERROR(INDEX(AFDC_state_fuel_2024!D:D, MATCH(B38, AFDC_state_fuel_2024!A:A, 0)), 0) + IFERROR(INDEX(AFDC_state_fuel_2024!F:F, MATCH(B38, AFDC_state_fuel_2024!A:A, 0)), 0) + IFERROR(INDEX(AFDC_state_fuel_2024!J:J, MATCH(B38, AFDC_state_fuel_2024!A:A, 0)), 0))/((IFERROR(INDEX(AFDC_state_fuel_2024!K:K, MATCH(B38, AFDC_state_fuel_2024!A:A, 0)), 0) + IFERROR(INDEX(AFDC_state_fuel_2024!D:D, MATCH(B38, AFDC_state_fuel_2024!A:A, 0)), 0) + IFERROR(INDEX(AFDC_state_fuel_2024!F:F, MATCH(B38, AFDC_state_fuel_2024!A:A, 0)), 0) + IFERROR(INDEX(AFDC_state_fuel_2024!J:J, MATCH(B38, AFDC_state_fuel_2024!A:A, 0)), 0))+(IFERROR(INDEX(AFDC_state_fuel_2024!L:L, MATCH(B38, AFDC_state_fuel_2024!A:A, 0)), 0) + IFERROR(INDEX(AFDC_state_fuel_2024!E:E, MATCH(B38, AFDC_state_fuel_2024!A:A, 0)), 0)))</f>
        <v>9838942.1243965905</v>
      </c>
      <c r="G38">
        <f>National_totals!$F$2*K38/SUM(K3:K50)</f>
        <v>40865.94011150462</v>
      </c>
      <c r="H38">
        <f>IFERROR(INDEX(AFDC_state_fuel_2024!H:H, MATCH(B38, AFDC_state_fuel_2024!A:A, 0)), 0)</f>
        <v>0</v>
      </c>
      <c r="I38">
        <f>IFERROR(INDEX(AFDC_state_fuel_2024!I:I, MATCH(B38, AFDC_state_fuel_2024!A:A, 0)), 0)</f>
        <v>0</v>
      </c>
      <c r="J38">
        <f>IFERROR(INDEX(AFDC_state_fuel_2024!M:M, MATCH(B38, AFDC_state_fuel_2024!A:A, 0)), 0)</f>
        <v>39800</v>
      </c>
      <c r="K38">
        <f>(IFERROR(INDEX(AFDC_state_fuel_2024!L:L, MATCH(B38, AFDC_state_fuel_2024!A:A, 0)), 0) + IFERROR(INDEX(AFDC_state_fuel_2024!E:E, MATCH(B38, AFDC_state_fuel_2024!A:A, 0)), 0)) + (IFERROR(INDEX(AFDC_state_fuel_2024!M:M, MATCH(B38, AFDC_state_fuel_2024!A:A, 0)), 0))*(IFERROR(INDEX(AFDC_state_fuel_2024!L:L, MATCH(B38, AFDC_state_fuel_2024!A:A, 0)), 0) + IFERROR(INDEX(AFDC_state_fuel_2024!E:E, MATCH(B38, AFDC_state_fuel_2024!A:A, 0)), 0))/((IFERROR(INDEX(AFDC_state_fuel_2024!K:K, MATCH(B38, AFDC_state_fuel_2024!A:A, 0)), 0) + IFERROR(INDEX(AFDC_state_fuel_2024!D:D, MATCH(B38, AFDC_state_fuel_2024!A:A, 0)), 0) + IFERROR(INDEX(AFDC_state_fuel_2024!F:F, MATCH(B38, AFDC_state_fuel_2024!A:A, 0)), 0) + IFERROR(INDEX(AFDC_state_fuel_2024!J:J, MATCH(B38, AFDC_state_fuel_2024!A:A, 0)), 0))+(IFERROR(INDEX(AFDC_state_fuel_2024!L:L, MATCH(B38, AFDC_state_fuel_2024!A:A, 0)), 0) + IFERROR(INDEX(AFDC_state_fuel_2024!E:E, MATCH(B38, AFDC_state_fuel_2024!A:A, 0)), 0)))</f>
        <v>268657.8756034089</v>
      </c>
      <c r="L38">
        <f>IFERROR(INDEX(AFDC_state_fuel_2024!C:C, MATCH(B38, AFDC_state_fuel_2024!A:A, 0)), 0)</f>
        <v>47600</v>
      </c>
      <c r="M38" t="str">
        <f>IF($B38=Keys!$C$62,"OVERRIDDEN (see Keys / methodology 9.5)","")</f>
        <v/>
      </c>
    </row>
    <row r="39" spans="1:13" x14ac:dyDescent="0.45">
      <c r="A39" t="s">
        <v>128</v>
      </c>
      <c r="B39" t="str">
        <f>INDEX(Geography!C:C, MATCH(A39, Geography!B:B, 0))</f>
        <v>Rhode Island</v>
      </c>
      <c r="C39">
        <f>IFERROR(INDEX(AFDC_state_fuel_2024!B:B, MATCH(B39, AFDC_state_fuel_2024!A:A, 0)), 0)</f>
        <v>8300</v>
      </c>
      <c r="D39">
        <f>IF($B39=Keys!$C$62,C39*(IFERROR(INDEX(AFDC_state_fuel_2024!C:C, MATCH(Keys!$C$63, AFDC_state_fuel_2024!A:A, 0)), 0))/(IFERROR(INDEX(AFDC_state_fuel_2024!B:B, MATCH(Keys!$C$63, AFDC_state_fuel_2024!A:A, 0)), 0)),L39)</f>
        <v>6000</v>
      </c>
      <c r="E39">
        <f>IFERROR(INDEX(AFDC_state_fuel_2024!G:G, MATCH(B39, AFDC_state_fuel_2024!A:A, 0)), 0)</f>
        <v>0</v>
      </c>
      <c r="F39">
        <f>(IFERROR(INDEX(AFDC_state_fuel_2024!K:K, MATCH(B39, AFDC_state_fuel_2024!A:A, 0)), 0) + IFERROR(INDEX(AFDC_state_fuel_2024!D:D, MATCH(B39, AFDC_state_fuel_2024!A:A, 0)), 0) + IFERROR(INDEX(AFDC_state_fuel_2024!F:F, MATCH(B39, AFDC_state_fuel_2024!A:A, 0)), 0) + IFERROR(INDEX(AFDC_state_fuel_2024!J:J, MATCH(B39, AFDC_state_fuel_2024!A:A, 0)), 0)) + (IFERROR(INDEX(AFDC_state_fuel_2024!M:M, MATCH(B39, AFDC_state_fuel_2024!A:A, 0)), 0))*(IFERROR(INDEX(AFDC_state_fuel_2024!K:K, MATCH(B39, AFDC_state_fuel_2024!A:A, 0)), 0) + IFERROR(INDEX(AFDC_state_fuel_2024!D:D, MATCH(B39, AFDC_state_fuel_2024!A:A, 0)), 0) + IFERROR(INDEX(AFDC_state_fuel_2024!F:F, MATCH(B39, AFDC_state_fuel_2024!A:A, 0)), 0) + IFERROR(INDEX(AFDC_state_fuel_2024!J:J, MATCH(B39, AFDC_state_fuel_2024!A:A, 0)), 0))/((IFERROR(INDEX(AFDC_state_fuel_2024!K:K, MATCH(B39, AFDC_state_fuel_2024!A:A, 0)), 0) + IFERROR(INDEX(AFDC_state_fuel_2024!D:D, MATCH(B39, AFDC_state_fuel_2024!A:A, 0)), 0) + IFERROR(INDEX(AFDC_state_fuel_2024!F:F, MATCH(B39, AFDC_state_fuel_2024!A:A, 0)), 0) + IFERROR(INDEX(AFDC_state_fuel_2024!J:J, MATCH(B39, AFDC_state_fuel_2024!A:A, 0)), 0))+(IFERROR(INDEX(AFDC_state_fuel_2024!L:L, MATCH(B39, AFDC_state_fuel_2024!A:A, 0)), 0) + IFERROR(INDEX(AFDC_state_fuel_2024!E:E, MATCH(B39, AFDC_state_fuel_2024!A:A, 0)), 0)))</f>
        <v>843407.72028628422</v>
      </c>
      <c r="G39">
        <f>National_totals!$F$2*K39/SUM(K3:K50)</f>
        <v>2189.2305949629531</v>
      </c>
      <c r="H39">
        <f>IFERROR(INDEX(AFDC_state_fuel_2024!H:H, MATCH(B39, AFDC_state_fuel_2024!A:A, 0)), 0)</f>
        <v>0</v>
      </c>
      <c r="I39">
        <f>IFERROR(INDEX(AFDC_state_fuel_2024!I:I, MATCH(B39, AFDC_state_fuel_2024!A:A, 0)), 0)</f>
        <v>0</v>
      </c>
      <c r="J39">
        <f>IFERROR(INDEX(AFDC_state_fuel_2024!M:M, MATCH(B39, AFDC_state_fuel_2024!A:A, 0)), 0)</f>
        <v>5500</v>
      </c>
      <c r="K39">
        <f>(IFERROR(INDEX(AFDC_state_fuel_2024!L:L, MATCH(B39, AFDC_state_fuel_2024!A:A, 0)), 0) + IFERROR(INDEX(AFDC_state_fuel_2024!E:E, MATCH(B39, AFDC_state_fuel_2024!A:A, 0)), 0)) + (IFERROR(INDEX(AFDC_state_fuel_2024!M:M, MATCH(B39, AFDC_state_fuel_2024!A:A, 0)), 0))*(IFERROR(INDEX(AFDC_state_fuel_2024!L:L, MATCH(B39, AFDC_state_fuel_2024!A:A, 0)), 0) + IFERROR(INDEX(AFDC_state_fuel_2024!E:E, MATCH(B39, AFDC_state_fuel_2024!A:A, 0)), 0))/((IFERROR(INDEX(AFDC_state_fuel_2024!K:K, MATCH(B39, AFDC_state_fuel_2024!A:A, 0)), 0) + IFERROR(INDEX(AFDC_state_fuel_2024!D:D, MATCH(B39, AFDC_state_fuel_2024!A:A, 0)), 0) + IFERROR(INDEX(AFDC_state_fuel_2024!F:F, MATCH(B39, AFDC_state_fuel_2024!A:A, 0)), 0) + IFERROR(INDEX(AFDC_state_fuel_2024!J:J, MATCH(B39, AFDC_state_fuel_2024!A:A, 0)), 0))+(IFERROR(INDEX(AFDC_state_fuel_2024!L:L, MATCH(B39, AFDC_state_fuel_2024!A:A, 0)), 0) + IFERROR(INDEX(AFDC_state_fuel_2024!E:E, MATCH(B39, AFDC_state_fuel_2024!A:A, 0)), 0)))</f>
        <v>14392.279713715829</v>
      </c>
      <c r="L39">
        <f>IFERROR(INDEX(AFDC_state_fuel_2024!C:C, MATCH(B39, AFDC_state_fuel_2024!A:A, 0)), 0)</f>
        <v>6000</v>
      </c>
      <c r="M39" t="str">
        <f>IF($B39=Keys!$C$62,"OVERRIDDEN (see Keys / methodology 9.5)","")</f>
        <v/>
      </c>
    </row>
    <row r="40" spans="1:13" x14ac:dyDescent="0.45">
      <c r="A40" t="s">
        <v>130</v>
      </c>
      <c r="B40" t="str">
        <f>INDEX(Geography!C:C, MATCH(A40, Geography!B:B, 0))</f>
        <v>South Carolina</v>
      </c>
      <c r="C40">
        <f>IFERROR(INDEX(AFDC_state_fuel_2024!B:B, MATCH(B40, AFDC_state_fuel_2024!A:A, 0)), 0)</f>
        <v>26800</v>
      </c>
      <c r="D40">
        <f>IF($B40=Keys!$C$62,C40*(IFERROR(INDEX(AFDC_state_fuel_2024!C:C, MATCH(Keys!$C$63, AFDC_state_fuel_2024!A:A, 0)), 0))/(IFERROR(INDEX(AFDC_state_fuel_2024!B:B, MATCH(Keys!$C$63, AFDC_state_fuel_2024!A:A, 0)), 0)),L40)</f>
        <v>11100</v>
      </c>
      <c r="E40">
        <f>IFERROR(INDEX(AFDC_state_fuel_2024!G:G, MATCH(B40, AFDC_state_fuel_2024!A:A, 0)), 0)</f>
        <v>100</v>
      </c>
      <c r="F40">
        <f>(IFERROR(INDEX(AFDC_state_fuel_2024!K:K, MATCH(B40, AFDC_state_fuel_2024!A:A, 0)), 0) + IFERROR(INDEX(AFDC_state_fuel_2024!D:D, MATCH(B40, AFDC_state_fuel_2024!A:A, 0)), 0) + IFERROR(INDEX(AFDC_state_fuel_2024!F:F, MATCH(B40, AFDC_state_fuel_2024!A:A, 0)), 0) + IFERROR(INDEX(AFDC_state_fuel_2024!J:J, MATCH(B40, AFDC_state_fuel_2024!A:A, 0)), 0)) + (IFERROR(INDEX(AFDC_state_fuel_2024!M:M, MATCH(B40, AFDC_state_fuel_2024!A:A, 0)), 0))*(IFERROR(INDEX(AFDC_state_fuel_2024!K:K, MATCH(B40, AFDC_state_fuel_2024!A:A, 0)), 0) + IFERROR(INDEX(AFDC_state_fuel_2024!D:D, MATCH(B40, AFDC_state_fuel_2024!A:A, 0)), 0) + IFERROR(INDEX(AFDC_state_fuel_2024!F:F, MATCH(B40, AFDC_state_fuel_2024!A:A, 0)), 0) + IFERROR(INDEX(AFDC_state_fuel_2024!J:J, MATCH(B40, AFDC_state_fuel_2024!A:A, 0)), 0))/((IFERROR(INDEX(AFDC_state_fuel_2024!K:K, MATCH(B40, AFDC_state_fuel_2024!A:A, 0)), 0) + IFERROR(INDEX(AFDC_state_fuel_2024!D:D, MATCH(B40, AFDC_state_fuel_2024!A:A, 0)), 0) + IFERROR(INDEX(AFDC_state_fuel_2024!F:F, MATCH(B40, AFDC_state_fuel_2024!A:A, 0)), 0) + IFERROR(INDEX(AFDC_state_fuel_2024!J:J, MATCH(B40, AFDC_state_fuel_2024!A:A, 0)), 0))+(IFERROR(INDEX(AFDC_state_fuel_2024!L:L, MATCH(B40, AFDC_state_fuel_2024!A:A, 0)), 0) + IFERROR(INDEX(AFDC_state_fuel_2024!E:E, MATCH(B40, AFDC_state_fuel_2024!A:A, 0)), 0)))</f>
        <v>4914478.893503706</v>
      </c>
      <c r="G40">
        <f>National_totals!$F$2*K40/SUM(K3:K50)</f>
        <v>24660.477248277395</v>
      </c>
      <c r="H40">
        <f>IFERROR(INDEX(AFDC_state_fuel_2024!H:H, MATCH(B40, AFDC_state_fuel_2024!A:A, 0)), 0)</f>
        <v>100</v>
      </c>
      <c r="I40">
        <f>IFERROR(INDEX(AFDC_state_fuel_2024!I:I, MATCH(B40, AFDC_state_fuel_2024!A:A, 0)), 0)</f>
        <v>0</v>
      </c>
      <c r="J40">
        <f>IFERROR(INDEX(AFDC_state_fuel_2024!M:M, MATCH(B40, AFDC_state_fuel_2024!A:A, 0)), 0)</f>
        <v>44500</v>
      </c>
      <c r="K40">
        <f>(IFERROR(INDEX(AFDC_state_fuel_2024!L:L, MATCH(B40, AFDC_state_fuel_2024!A:A, 0)), 0) + IFERROR(INDEX(AFDC_state_fuel_2024!E:E, MATCH(B40, AFDC_state_fuel_2024!A:A, 0)), 0)) + (IFERROR(INDEX(AFDC_state_fuel_2024!M:M, MATCH(B40, AFDC_state_fuel_2024!A:A, 0)), 0))*(IFERROR(INDEX(AFDC_state_fuel_2024!L:L, MATCH(B40, AFDC_state_fuel_2024!A:A, 0)), 0) + IFERROR(INDEX(AFDC_state_fuel_2024!E:E, MATCH(B40, AFDC_state_fuel_2024!A:A, 0)), 0))/((IFERROR(INDEX(AFDC_state_fuel_2024!K:K, MATCH(B40, AFDC_state_fuel_2024!A:A, 0)), 0) + IFERROR(INDEX(AFDC_state_fuel_2024!D:D, MATCH(B40, AFDC_state_fuel_2024!A:A, 0)), 0) + IFERROR(INDEX(AFDC_state_fuel_2024!F:F, MATCH(B40, AFDC_state_fuel_2024!A:A, 0)), 0) + IFERROR(INDEX(AFDC_state_fuel_2024!J:J, MATCH(B40, AFDC_state_fuel_2024!A:A, 0)), 0))+(IFERROR(INDEX(AFDC_state_fuel_2024!L:L, MATCH(B40, AFDC_state_fuel_2024!A:A, 0)), 0) + IFERROR(INDEX(AFDC_state_fuel_2024!E:E, MATCH(B40, AFDC_state_fuel_2024!A:A, 0)), 0)))</f>
        <v>162121.1064962938</v>
      </c>
      <c r="L40">
        <f>IFERROR(INDEX(AFDC_state_fuel_2024!C:C, MATCH(B40, AFDC_state_fuel_2024!A:A, 0)), 0)</f>
        <v>11100</v>
      </c>
      <c r="M40" t="str">
        <f>IF($B40=Keys!$C$62,"OVERRIDDEN (see Keys / methodology 9.5)","")</f>
        <v/>
      </c>
    </row>
    <row r="41" spans="1:13" x14ac:dyDescent="0.45">
      <c r="A41" t="s">
        <v>132</v>
      </c>
      <c r="B41" t="str">
        <f>INDEX(Geography!C:C, MATCH(A41, Geography!B:B, 0))</f>
        <v>South Dakota</v>
      </c>
      <c r="C41">
        <f>IFERROR(INDEX(AFDC_state_fuel_2024!B:B, MATCH(B41, AFDC_state_fuel_2024!A:A, 0)), 0)</f>
        <v>2300</v>
      </c>
      <c r="D41">
        <f>IF($B41=Keys!$C$62,C41*(IFERROR(INDEX(AFDC_state_fuel_2024!C:C, MATCH(Keys!$C$63, AFDC_state_fuel_2024!A:A, 0)), 0))/(IFERROR(INDEX(AFDC_state_fuel_2024!B:B, MATCH(Keys!$C$63, AFDC_state_fuel_2024!A:A, 0)), 0)),L41)</f>
        <v>1700</v>
      </c>
      <c r="E41">
        <f>IFERROR(INDEX(AFDC_state_fuel_2024!G:G, MATCH(B41, AFDC_state_fuel_2024!A:A, 0)), 0)</f>
        <v>0</v>
      </c>
      <c r="F41">
        <f>(IFERROR(INDEX(AFDC_state_fuel_2024!K:K, MATCH(B41, AFDC_state_fuel_2024!A:A, 0)), 0) + IFERROR(INDEX(AFDC_state_fuel_2024!D:D, MATCH(B41, AFDC_state_fuel_2024!A:A, 0)), 0) + IFERROR(INDEX(AFDC_state_fuel_2024!F:F, MATCH(B41, AFDC_state_fuel_2024!A:A, 0)), 0) + IFERROR(INDEX(AFDC_state_fuel_2024!J:J, MATCH(B41, AFDC_state_fuel_2024!A:A, 0)), 0)) + (IFERROR(INDEX(AFDC_state_fuel_2024!M:M, MATCH(B41, AFDC_state_fuel_2024!A:A, 0)), 0))*(IFERROR(INDEX(AFDC_state_fuel_2024!K:K, MATCH(B41, AFDC_state_fuel_2024!A:A, 0)), 0) + IFERROR(INDEX(AFDC_state_fuel_2024!D:D, MATCH(B41, AFDC_state_fuel_2024!A:A, 0)), 0) + IFERROR(INDEX(AFDC_state_fuel_2024!F:F, MATCH(B41, AFDC_state_fuel_2024!A:A, 0)), 0) + IFERROR(INDEX(AFDC_state_fuel_2024!J:J, MATCH(B41, AFDC_state_fuel_2024!A:A, 0)), 0))/((IFERROR(INDEX(AFDC_state_fuel_2024!K:K, MATCH(B41, AFDC_state_fuel_2024!A:A, 0)), 0) + IFERROR(INDEX(AFDC_state_fuel_2024!D:D, MATCH(B41, AFDC_state_fuel_2024!A:A, 0)), 0) + IFERROR(INDEX(AFDC_state_fuel_2024!F:F, MATCH(B41, AFDC_state_fuel_2024!A:A, 0)), 0) + IFERROR(INDEX(AFDC_state_fuel_2024!J:J, MATCH(B41, AFDC_state_fuel_2024!A:A, 0)), 0))+(IFERROR(INDEX(AFDC_state_fuel_2024!L:L, MATCH(B41, AFDC_state_fuel_2024!A:A, 0)), 0) + IFERROR(INDEX(AFDC_state_fuel_2024!E:E, MATCH(B41, AFDC_state_fuel_2024!A:A, 0)), 0)))</f>
        <v>895891.9480519481</v>
      </c>
      <c r="G41">
        <f>National_totals!$F$2*K41/SUM(K3:K50)</f>
        <v>12185.352266356018</v>
      </c>
      <c r="H41">
        <f>IFERROR(INDEX(AFDC_state_fuel_2024!H:H, MATCH(B41, AFDC_state_fuel_2024!A:A, 0)), 0)</f>
        <v>0</v>
      </c>
      <c r="I41">
        <f>IFERROR(INDEX(AFDC_state_fuel_2024!I:I, MATCH(B41, AFDC_state_fuel_2024!A:A, 0)), 0)</f>
        <v>0</v>
      </c>
      <c r="J41">
        <f>IFERROR(INDEX(AFDC_state_fuel_2024!M:M, MATCH(B41, AFDC_state_fuel_2024!A:A, 0)), 0)</f>
        <v>13500</v>
      </c>
      <c r="K41">
        <f>(IFERROR(INDEX(AFDC_state_fuel_2024!L:L, MATCH(B41, AFDC_state_fuel_2024!A:A, 0)), 0) + IFERROR(INDEX(AFDC_state_fuel_2024!E:E, MATCH(B41, AFDC_state_fuel_2024!A:A, 0)), 0)) + (IFERROR(INDEX(AFDC_state_fuel_2024!M:M, MATCH(B41, AFDC_state_fuel_2024!A:A, 0)), 0))*(IFERROR(INDEX(AFDC_state_fuel_2024!L:L, MATCH(B41, AFDC_state_fuel_2024!A:A, 0)), 0) + IFERROR(INDEX(AFDC_state_fuel_2024!E:E, MATCH(B41, AFDC_state_fuel_2024!A:A, 0)), 0))/((IFERROR(INDEX(AFDC_state_fuel_2024!K:K, MATCH(B41, AFDC_state_fuel_2024!A:A, 0)), 0) + IFERROR(INDEX(AFDC_state_fuel_2024!D:D, MATCH(B41, AFDC_state_fuel_2024!A:A, 0)), 0) + IFERROR(INDEX(AFDC_state_fuel_2024!F:F, MATCH(B41, AFDC_state_fuel_2024!A:A, 0)), 0) + IFERROR(INDEX(AFDC_state_fuel_2024!J:J, MATCH(B41, AFDC_state_fuel_2024!A:A, 0)), 0))+(IFERROR(INDEX(AFDC_state_fuel_2024!L:L, MATCH(B41, AFDC_state_fuel_2024!A:A, 0)), 0) + IFERROR(INDEX(AFDC_state_fuel_2024!E:E, MATCH(B41, AFDC_state_fuel_2024!A:A, 0)), 0)))</f>
        <v>80108.051948051943</v>
      </c>
      <c r="L41">
        <f>IFERROR(INDEX(AFDC_state_fuel_2024!C:C, MATCH(B41, AFDC_state_fuel_2024!A:A, 0)), 0)</f>
        <v>1700</v>
      </c>
      <c r="M41" t="str">
        <f>IF($B41=Keys!$C$62,"OVERRIDDEN (see Keys / methodology 9.5)","")</f>
        <v/>
      </c>
    </row>
    <row r="42" spans="1:13" x14ac:dyDescent="0.45">
      <c r="A42" t="s">
        <v>134</v>
      </c>
      <c r="B42" t="str">
        <f>INDEX(Geography!C:C, MATCH(A42, Geography!B:B, 0))</f>
        <v>Tennessee</v>
      </c>
      <c r="C42">
        <f>IFERROR(INDEX(AFDC_state_fuel_2024!B:B, MATCH(B42, AFDC_state_fuel_2024!A:A, 0)), 0)</f>
        <v>42600</v>
      </c>
      <c r="D42">
        <f>IF($B42=Keys!$C$62,C42*(IFERROR(INDEX(AFDC_state_fuel_2024!C:C, MATCH(Keys!$C$63, AFDC_state_fuel_2024!A:A, 0)), 0))/(IFERROR(INDEX(AFDC_state_fuel_2024!B:B, MATCH(Keys!$C$63, AFDC_state_fuel_2024!A:A, 0)), 0)),L42)</f>
        <v>12800</v>
      </c>
      <c r="E42">
        <f>IFERROR(INDEX(AFDC_state_fuel_2024!G:G, MATCH(B42, AFDC_state_fuel_2024!A:A, 0)), 0)</f>
        <v>100</v>
      </c>
      <c r="F42">
        <f>(IFERROR(INDEX(AFDC_state_fuel_2024!K:K, MATCH(B42, AFDC_state_fuel_2024!A:A, 0)), 0) + IFERROR(INDEX(AFDC_state_fuel_2024!D:D, MATCH(B42, AFDC_state_fuel_2024!A:A, 0)), 0) + IFERROR(INDEX(AFDC_state_fuel_2024!F:F, MATCH(B42, AFDC_state_fuel_2024!A:A, 0)), 0) + IFERROR(INDEX(AFDC_state_fuel_2024!J:J, MATCH(B42, AFDC_state_fuel_2024!A:A, 0)), 0)) + (IFERROR(INDEX(AFDC_state_fuel_2024!M:M, MATCH(B42, AFDC_state_fuel_2024!A:A, 0)), 0))*(IFERROR(INDEX(AFDC_state_fuel_2024!K:K, MATCH(B42, AFDC_state_fuel_2024!A:A, 0)), 0) + IFERROR(INDEX(AFDC_state_fuel_2024!D:D, MATCH(B42, AFDC_state_fuel_2024!A:A, 0)), 0) + IFERROR(INDEX(AFDC_state_fuel_2024!F:F, MATCH(B42, AFDC_state_fuel_2024!A:A, 0)), 0) + IFERROR(INDEX(AFDC_state_fuel_2024!J:J, MATCH(B42, AFDC_state_fuel_2024!A:A, 0)), 0))/((IFERROR(INDEX(AFDC_state_fuel_2024!K:K, MATCH(B42, AFDC_state_fuel_2024!A:A, 0)), 0) + IFERROR(INDEX(AFDC_state_fuel_2024!D:D, MATCH(B42, AFDC_state_fuel_2024!A:A, 0)), 0) + IFERROR(INDEX(AFDC_state_fuel_2024!F:F, MATCH(B42, AFDC_state_fuel_2024!A:A, 0)), 0) + IFERROR(INDEX(AFDC_state_fuel_2024!J:J, MATCH(B42, AFDC_state_fuel_2024!A:A, 0)), 0))+(IFERROR(INDEX(AFDC_state_fuel_2024!L:L, MATCH(B42, AFDC_state_fuel_2024!A:A, 0)), 0) + IFERROR(INDEX(AFDC_state_fuel_2024!E:E, MATCH(B42, AFDC_state_fuel_2024!A:A, 0)), 0)))</f>
        <v>6322775.3499162663</v>
      </c>
      <c r="G42">
        <f>National_totals!$F$2*K42/SUM(K3:K50)</f>
        <v>33772.492368671577</v>
      </c>
      <c r="H42">
        <f>IFERROR(INDEX(AFDC_state_fuel_2024!H:H, MATCH(B42, AFDC_state_fuel_2024!A:A, 0)), 0)</f>
        <v>100</v>
      </c>
      <c r="I42">
        <f>IFERROR(INDEX(AFDC_state_fuel_2024!I:I, MATCH(B42, AFDC_state_fuel_2024!A:A, 0)), 0)</f>
        <v>0</v>
      </c>
      <c r="J42">
        <f>IFERROR(INDEX(AFDC_state_fuel_2024!M:M, MATCH(B42, AFDC_state_fuel_2024!A:A, 0)), 0)</f>
        <v>36100</v>
      </c>
      <c r="K42">
        <f>(IFERROR(INDEX(AFDC_state_fuel_2024!L:L, MATCH(B42, AFDC_state_fuel_2024!A:A, 0)), 0) + IFERROR(INDEX(AFDC_state_fuel_2024!E:E, MATCH(B42, AFDC_state_fuel_2024!A:A, 0)), 0)) + (IFERROR(INDEX(AFDC_state_fuel_2024!M:M, MATCH(B42, AFDC_state_fuel_2024!A:A, 0)), 0))*(IFERROR(INDEX(AFDC_state_fuel_2024!L:L, MATCH(B42, AFDC_state_fuel_2024!A:A, 0)), 0) + IFERROR(INDEX(AFDC_state_fuel_2024!E:E, MATCH(B42, AFDC_state_fuel_2024!A:A, 0)), 0))/((IFERROR(INDEX(AFDC_state_fuel_2024!K:K, MATCH(B42, AFDC_state_fuel_2024!A:A, 0)), 0) + IFERROR(INDEX(AFDC_state_fuel_2024!D:D, MATCH(B42, AFDC_state_fuel_2024!A:A, 0)), 0) + IFERROR(INDEX(AFDC_state_fuel_2024!F:F, MATCH(B42, AFDC_state_fuel_2024!A:A, 0)), 0) + IFERROR(INDEX(AFDC_state_fuel_2024!J:J, MATCH(B42, AFDC_state_fuel_2024!A:A, 0)), 0))+(IFERROR(INDEX(AFDC_state_fuel_2024!L:L, MATCH(B42, AFDC_state_fuel_2024!A:A, 0)), 0) + IFERROR(INDEX(AFDC_state_fuel_2024!E:E, MATCH(B42, AFDC_state_fuel_2024!A:A, 0)), 0)))</f>
        <v>222024.65008373407</v>
      </c>
      <c r="L42">
        <f>IFERROR(INDEX(AFDC_state_fuel_2024!C:C, MATCH(B42, AFDC_state_fuel_2024!A:A, 0)), 0)</f>
        <v>12800</v>
      </c>
      <c r="M42" t="str">
        <f>IF($B42=Keys!$C$62,"OVERRIDDEN (see Keys / methodology 9.5)","")</f>
        <v/>
      </c>
    </row>
    <row r="43" spans="1:13" x14ac:dyDescent="0.45">
      <c r="A43" t="s">
        <v>136</v>
      </c>
      <c r="B43" t="str">
        <f>INDEX(Geography!C:C, MATCH(A43, Geography!B:B, 0))</f>
        <v>Texas</v>
      </c>
      <c r="C43">
        <f>IFERROR(INDEX(AFDC_state_fuel_2024!B:B, MATCH(B43, AFDC_state_fuel_2024!A:A, 0)), 0)</f>
        <v>294700</v>
      </c>
      <c r="D43">
        <f>IF($B43=Keys!$C$62,C43*(IFERROR(INDEX(AFDC_state_fuel_2024!C:C, MATCH(Keys!$C$63, AFDC_state_fuel_2024!A:A, 0)), 0))/(IFERROR(INDEX(AFDC_state_fuel_2024!B:B, MATCH(Keys!$C$63, AFDC_state_fuel_2024!A:A, 0)), 0)),L43)</f>
        <v>64700</v>
      </c>
      <c r="E43">
        <f>IFERROR(INDEX(AFDC_state_fuel_2024!G:G, MATCH(B43, AFDC_state_fuel_2024!A:A, 0)), 0)</f>
        <v>1300</v>
      </c>
      <c r="F43">
        <f>(IFERROR(INDEX(AFDC_state_fuel_2024!K:K, MATCH(B43, AFDC_state_fuel_2024!A:A, 0)), 0) + IFERROR(INDEX(AFDC_state_fuel_2024!D:D, MATCH(B43, AFDC_state_fuel_2024!A:A, 0)), 0) + IFERROR(INDEX(AFDC_state_fuel_2024!F:F, MATCH(B43, AFDC_state_fuel_2024!A:A, 0)), 0) + IFERROR(INDEX(AFDC_state_fuel_2024!J:J, MATCH(B43, AFDC_state_fuel_2024!A:A, 0)), 0)) + (IFERROR(INDEX(AFDC_state_fuel_2024!M:M, MATCH(B43, AFDC_state_fuel_2024!A:A, 0)), 0))*(IFERROR(INDEX(AFDC_state_fuel_2024!K:K, MATCH(B43, AFDC_state_fuel_2024!A:A, 0)), 0) + IFERROR(INDEX(AFDC_state_fuel_2024!D:D, MATCH(B43, AFDC_state_fuel_2024!A:A, 0)), 0) + IFERROR(INDEX(AFDC_state_fuel_2024!F:F, MATCH(B43, AFDC_state_fuel_2024!A:A, 0)), 0) + IFERROR(INDEX(AFDC_state_fuel_2024!J:J, MATCH(B43, AFDC_state_fuel_2024!A:A, 0)), 0))/((IFERROR(INDEX(AFDC_state_fuel_2024!K:K, MATCH(B43, AFDC_state_fuel_2024!A:A, 0)), 0) + IFERROR(INDEX(AFDC_state_fuel_2024!D:D, MATCH(B43, AFDC_state_fuel_2024!A:A, 0)), 0) + IFERROR(INDEX(AFDC_state_fuel_2024!F:F, MATCH(B43, AFDC_state_fuel_2024!A:A, 0)), 0) + IFERROR(INDEX(AFDC_state_fuel_2024!J:J, MATCH(B43, AFDC_state_fuel_2024!A:A, 0)), 0))+(IFERROR(INDEX(AFDC_state_fuel_2024!L:L, MATCH(B43, AFDC_state_fuel_2024!A:A, 0)), 0) + IFERROR(INDEX(AFDC_state_fuel_2024!E:E, MATCH(B43, AFDC_state_fuel_2024!A:A, 0)), 0)))</f>
        <v>24520456.781304773</v>
      </c>
      <c r="G43">
        <f>National_totals!$F$2*K43/SUM(K3:K50)</f>
        <v>193629.24397324119</v>
      </c>
      <c r="H43">
        <f>IFERROR(INDEX(AFDC_state_fuel_2024!H:H, MATCH(B43, AFDC_state_fuel_2024!A:A, 0)), 0)</f>
        <v>1200</v>
      </c>
      <c r="I43">
        <f>IFERROR(INDEX(AFDC_state_fuel_2024!I:I, MATCH(B43, AFDC_state_fuel_2024!A:A, 0)), 0)</f>
        <v>0</v>
      </c>
      <c r="J43">
        <f>IFERROR(INDEX(AFDC_state_fuel_2024!M:M, MATCH(B43, AFDC_state_fuel_2024!A:A, 0)), 0)</f>
        <v>118400</v>
      </c>
      <c r="K43">
        <f>(IFERROR(INDEX(AFDC_state_fuel_2024!L:L, MATCH(B43, AFDC_state_fuel_2024!A:A, 0)), 0) + IFERROR(INDEX(AFDC_state_fuel_2024!E:E, MATCH(B43, AFDC_state_fuel_2024!A:A, 0)), 0)) + (IFERROR(INDEX(AFDC_state_fuel_2024!M:M, MATCH(B43, AFDC_state_fuel_2024!A:A, 0)), 0))*(IFERROR(INDEX(AFDC_state_fuel_2024!L:L, MATCH(B43, AFDC_state_fuel_2024!A:A, 0)), 0) + IFERROR(INDEX(AFDC_state_fuel_2024!E:E, MATCH(B43, AFDC_state_fuel_2024!A:A, 0)), 0))/((IFERROR(INDEX(AFDC_state_fuel_2024!K:K, MATCH(B43, AFDC_state_fuel_2024!A:A, 0)), 0) + IFERROR(INDEX(AFDC_state_fuel_2024!D:D, MATCH(B43, AFDC_state_fuel_2024!A:A, 0)), 0) + IFERROR(INDEX(AFDC_state_fuel_2024!F:F, MATCH(B43, AFDC_state_fuel_2024!A:A, 0)), 0) + IFERROR(INDEX(AFDC_state_fuel_2024!J:J, MATCH(B43, AFDC_state_fuel_2024!A:A, 0)), 0))+(IFERROR(INDEX(AFDC_state_fuel_2024!L:L, MATCH(B43, AFDC_state_fuel_2024!A:A, 0)), 0) + IFERROR(INDEX(AFDC_state_fuel_2024!E:E, MATCH(B43, AFDC_state_fuel_2024!A:A, 0)), 0)))</f>
        <v>1272943.2186952289</v>
      </c>
      <c r="L43">
        <f>IFERROR(INDEX(AFDC_state_fuel_2024!C:C, MATCH(B43, AFDC_state_fuel_2024!A:A, 0)), 0)</f>
        <v>64700</v>
      </c>
      <c r="M43" t="str">
        <f>IF($B43=Keys!$C$62,"OVERRIDDEN (see Keys / methodology 9.5)","")</f>
        <v/>
      </c>
    </row>
    <row r="44" spans="1:13" x14ac:dyDescent="0.45">
      <c r="A44" t="s">
        <v>138</v>
      </c>
      <c r="B44" t="str">
        <f>INDEX(Geography!C:C, MATCH(A44, Geography!B:B, 0))</f>
        <v>Utah</v>
      </c>
      <c r="C44">
        <f>IFERROR(INDEX(AFDC_state_fuel_2024!B:B, MATCH(B44, AFDC_state_fuel_2024!A:A, 0)), 0)</f>
        <v>52200</v>
      </c>
      <c r="D44">
        <f>IF($B44=Keys!$C$62,C44*(IFERROR(INDEX(AFDC_state_fuel_2024!C:C, MATCH(Keys!$C$63, AFDC_state_fuel_2024!A:A, 0)), 0))/(IFERROR(INDEX(AFDC_state_fuel_2024!B:B, MATCH(Keys!$C$63, AFDC_state_fuel_2024!A:A, 0)), 0)),L44)</f>
        <v>15500</v>
      </c>
      <c r="E44">
        <f>IFERROR(INDEX(AFDC_state_fuel_2024!G:G, MATCH(B44, AFDC_state_fuel_2024!A:A, 0)), 0)</f>
        <v>2000</v>
      </c>
      <c r="F44">
        <f>(IFERROR(INDEX(AFDC_state_fuel_2024!K:K, MATCH(B44, AFDC_state_fuel_2024!A:A, 0)), 0) + IFERROR(INDEX(AFDC_state_fuel_2024!D:D, MATCH(B44, AFDC_state_fuel_2024!A:A, 0)), 0) + IFERROR(INDEX(AFDC_state_fuel_2024!F:F, MATCH(B44, AFDC_state_fuel_2024!A:A, 0)), 0) + IFERROR(INDEX(AFDC_state_fuel_2024!J:J, MATCH(B44, AFDC_state_fuel_2024!A:A, 0)), 0)) + (IFERROR(INDEX(AFDC_state_fuel_2024!M:M, MATCH(B44, AFDC_state_fuel_2024!A:A, 0)), 0))*(IFERROR(INDEX(AFDC_state_fuel_2024!K:K, MATCH(B44, AFDC_state_fuel_2024!A:A, 0)), 0) + IFERROR(INDEX(AFDC_state_fuel_2024!D:D, MATCH(B44, AFDC_state_fuel_2024!A:A, 0)), 0) + IFERROR(INDEX(AFDC_state_fuel_2024!F:F, MATCH(B44, AFDC_state_fuel_2024!A:A, 0)), 0) + IFERROR(INDEX(AFDC_state_fuel_2024!J:J, MATCH(B44, AFDC_state_fuel_2024!A:A, 0)), 0))/((IFERROR(INDEX(AFDC_state_fuel_2024!K:K, MATCH(B44, AFDC_state_fuel_2024!A:A, 0)), 0) + IFERROR(INDEX(AFDC_state_fuel_2024!D:D, MATCH(B44, AFDC_state_fuel_2024!A:A, 0)), 0) + IFERROR(INDEX(AFDC_state_fuel_2024!F:F, MATCH(B44, AFDC_state_fuel_2024!A:A, 0)), 0) + IFERROR(INDEX(AFDC_state_fuel_2024!J:J, MATCH(B44, AFDC_state_fuel_2024!A:A, 0)), 0))+(IFERROR(INDEX(AFDC_state_fuel_2024!L:L, MATCH(B44, AFDC_state_fuel_2024!A:A, 0)), 0) + IFERROR(INDEX(AFDC_state_fuel_2024!E:E, MATCH(B44, AFDC_state_fuel_2024!A:A, 0)), 0)))</f>
        <v>2831891.9842312746</v>
      </c>
      <c r="G44">
        <f>National_totals!$F$2*K44/SUM(K3:K50)</f>
        <v>36203.745364311828</v>
      </c>
      <c r="H44">
        <f>IFERROR(INDEX(AFDC_state_fuel_2024!H:H, MATCH(B44, AFDC_state_fuel_2024!A:A, 0)), 0)</f>
        <v>500</v>
      </c>
      <c r="I44">
        <f>IFERROR(INDEX(AFDC_state_fuel_2024!I:I, MATCH(B44, AFDC_state_fuel_2024!A:A, 0)), 0)</f>
        <v>0</v>
      </c>
      <c r="J44">
        <f>IFERROR(INDEX(AFDC_state_fuel_2024!M:M, MATCH(B44, AFDC_state_fuel_2024!A:A, 0)), 0)</f>
        <v>25900</v>
      </c>
      <c r="K44">
        <f>(IFERROR(INDEX(AFDC_state_fuel_2024!L:L, MATCH(B44, AFDC_state_fuel_2024!A:A, 0)), 0) + IFERROR(INDEX(AFDC_state_fuel_2024!E:E, MATCH(B44, AFDC_state_fuel_2024!A:A, 0)), 0)) + (IFERROR(INDEX(AFDC_state_fuel_2024!M:M, MATCH(B44, AFDC_state_fuel_2024!A:A, 0)), 0))*(IFERROR(INDEX(AFDC_state_fuel_2024!L:L, MATCH(B44, AFDC_state_fuel_2024!A:A, 0)), 0) + IFERROR(INDEX(AFDC_state_fuel_2024!E:E, MATCH(B44, AFDC_state_fuel_2024!A:A, 0)), 0))/((IFERROR(INDEX(AFDC_state_fuel_2024!K:K, MATCH(B44, AFDC_state_fuel_2024!A:A, 0)), 0) + IFERROR(INDEX(AFDC_state_fuel_2024!D:D, MATCH(B44, AFDC_state_fuel_2024!A:A, 0)), 0) + IFERROR(INDEX(AFDC_state_fuel_2024!F:F, MATCH(B44, AFDC_state_fuel_2024!A:A, 0)), 0) + IFERROR(INDEX(AFDC_state_fuel_2024!J:J, MATCH(B44, AFDC_state_fuel_2024!A:A, 0)), 0))+(IFERROR(INDEX(AFDC_state_fuel_2024!L:L, MATCH(B44, AFDC_state_fuel_2024!A:A, 0)), 0) + IFERROR(INDEX(AFDC_state_fuel_2024!E:E, MATCH(B44, AFDC_state_fuel_2024!A:A, 0)), 0)))</f>
        <v>238008.01576872537</v>
      </c>
      <c r="L44">
        <f>IFERROR(INDEX(AFDC_state_fuel_2024!C:C, MATCH(B44, AFDC_state_fuel_2024!A:A, 0)), 0)</f>
        <v>15500</v>
      </c>
      <c r="M44" t="str">
        <f>IF($B44=Keys!$C$62,"OVERRIDDEN (see Keys / methodology 9.5)","")</f>
        <v/>
      </c>
    </row>
    <row r="45" spans="1:13" x14ac:dyDescent="0.45">
      <c r="A45" t="s">
        <v>140</v>
      </c>
      <c r="B45" t="str">
        <f>INDEX(Geography!C:C, MATCH(A45, Geography!B:B, 0))</f>
        <v>Vermont</v>
      </c>
      <c r="C45">
        <f>IFERROR(INDEX(AFDC_state_fuel_2024!B:B, MATCH(B45, AFDC_state_fuel_2024!A:A, 0)), 0)</f>
        <v>10200</v>
      </c>
      <c r="D45">
        <f>IF($B45=Keys!$C$62,C45*(IFERROR(INDEX(AFDC_state_fuel_2024!C:C, MATCH(Keys!$C$63, AFDC_state_fuel_2024!A:A, 0)), 0))/(IFERROR(INDEX(AFDC_state_fuel_2024!B:B, MATCH(Keys!$C$63, AFDC_state_fuel_2024!A:A, 0)), 0)),L45)</f>
        <v>6900</v>
      </c>
      <c r="E45">
        <f>IFERROR(INDEX(AFDC_state_fuel_2024!G:G, MATCH(B45, AFDC_state_fuel_2024!A:A, 0)), 0)</f>
        <v>0</v>
      </c>
      <c r="F45">
        <f>(IFERROR(INDEX(AFDC_state_fuel_2024!K:K, MATCH(B45, AFDC_state_fuel_2024!A:A, 0)), 0) + IFERROR(INDEX(AFDC_state_fuel_2024!D:D, MATCH(B45, AFDC_state_fuel_2024!A:A, 0)), 0) + IFERROR(INDEX(AFDC_state_fuel_2024!F:F, MATCH(B45, AFDC_state_fuel_2024!A:A, 0)), 0) + IFERROR(INDEX(AFDC_state_fuel_2024!J:J, MATCH(B45, AFDC_state_fuel_2024!A:A, 0)), 0)) + (IFERROR(INDEX(AFDC_state_fuel_2024!M:M, MATCH(B45, AFDC_state_fuel_2024!A:A, 0)), 0))*(IFERROR(INDEX(AFDC_state_fuel_2024!K:K, MATCH(B45, AFDC_state_fuel_2024!A:A, 0)), 0) + IFERROR(INDEX(AFDC_state_fuel_2024!D:D, MATCH(B45, AFDC_state_fuel_2024!A:A, 0)), 0) + IFERROR(INDEX(AFDC_state_fuel_2024!F:F, MATCH(B45, AFDC_state_fuel_2024!A:A, 0)), 0) + IFERROR(INDEX(AFDC_state_fuel_2024!J:J, MATCH(B45, AFDC_state_fuel_2024!A:A, 0)), 0))/((IFERROR(INDEX(AFDC_state_fuel_2024!K:K, MATCH(B45, AFDC_state_fuel_2024!A:A, 0)), 0) + IFERROR(INDEX(AFDC_state_fuel_2024!D:D, MATCH(B45, AFDC_state_fuel_2024!A:A, 0)), 0) + IFERROR(INDEX(AFDC_state_fuel_2024!F:F, MATCH(B45, AFDC_state_fuel_2024!A:A, 0)), 0) + IFERROR(INDEX(AFDC_state_fuel_2024!J:J, MATCH(B45, AFDC_state_fuel_2024!A:A, 0)), 0))+(IFERROR(INDEX(AFDC_state_fuel_2024!L:L, MATCH(B45, AFDC_state_fuel_2024!A:A, 0)), 0) + IFERROR(INDEX(AFDC_state_fuel_2024!E:E, MATCH(B45, AFDC_state_fuel_2024!A:A, 0)), 0)))</f>
        <v>548111.83861263492</v>
      </c>
      <c r="G45">
        <f>National_totals!$F$2*K45/SUM(K3:K50)</f>
        <v>3329.4400560489617</v>
      </c>
      <c r="H45">
        <f>IFERROR(INDEX(AFDC_state_fuel_2024!H:H, MATCH(B45, AFDC_state_fuel_2024!A:A, 0)), 0)</f>
        <v>0</v>
      </c>
      <c r="I45">
        <f>IFERROR(INDEX(AFDC_state_fuel_2024!I:I, MATCH(B45, AFDC_state_fuel_2024!A:A, 0)), 0)</f>
        <v>0</v>
      </c>
      <c r="J45">
        <f>IFERROR(INDEX(AFDC_state_fuel_2024!M:M, MATCH(B45, AFDC_state_fuel_2024!A:A, 0)), 0)</f>
        <v>4900</v>
      </c>
      <c r="K45">
        <f>(IFERROR(INDEX(AFDC_state_fuel_2024!L:L, MATCH(B45, AFDC_state_fuel_2024!A:A, 0)), 0) + IFERROR(INDEX(AFDC_state_fuel_2024!E:E, MATCH(B45, AFDC_state_fuel_2024!A:A, 0)), 0)) + (IFERROR(INDEX(AFDC_state_fuel_2024!M:M, MATCH(B45, AFDC_state_fuel_2024!A:A, 0)), 0))*(IFERROR(INDEX(AFDC_state_fuel_2024!L:L, MATCH(B45, AFDC_state_fuel_2024!A:A, 0)), 0) + IFERROR(INDEX(AFDC_state_fuel_2024!E:E, MATCH(B45, AFDC_state_fuel_2024!A:A, 0)), 0))/((IFERROR(INDEX(AFDC_state_fuel_2024!K:K, MATCH(B45, AFDC_state_fuel_2024!A:A, 0)), 0) + IFERROR(INDEX(AFDC_state_fuel_2024!D:D, MATCH(B45, AFDC_state_fuel_2024!A:A, 0)), 0) + IFERROR(INDEX(AFDC_state_fuel_2024!F:F, MATCH(B45, AFDC_state_fuel_2024!A:A, 0)), 0) + IFERROR(INDEX(AFDC_state_fuel_2024!J:J, MATCH(B45, AFDC_state_fuel_2024!A:A, 0)), 0))+(IFERROR(INDEX(AFDC_state_fuel_2024!L:L, MATCH(B45, AFDC_state_fuel_2024!A:A, 0)), 0) + IFERROR(INDEX(AFDC_state_fuel_2024!E:E, MATCH(B45, AFDC_state_fuel_2024!A:A, 0)), 0)))</f>
        <v>21888.161387365068</v>
      </c>
      <c r="L45">
        <f>IFERROR(INDEX(AFDC_state_fuel_2024!C:C, MATCH(B45, AFDC_state_fuel_2024!A:A, 0)), 0)</f>
        <v>6900</v>
      </c>
      <c r="M45" t="str">
        <f>IF($B45=Keys!$C$62,"OVERRIDDEN (see Keys / methodology 9.5)","")</f>
        <v/>
      </c>
    </row>
    <row r="46" spans="1:13" x14ac:dyDescent="0.45">
      <c r="A46" t="s">
        <v>142</v>
      </c>
      <c r="B46" t="str">
        <f>INDEX(Geography!C:C, MATCH(A46, Geography!B:B, 0))</f>
        <v>Virginia</v>
      </c>
      <c r="C46">
        <f>IFERROR(INDEX(AFDC_state_fuel_2024!B:B, MATCH(B46, AFDC_state_fuel_2024!A:A, 0)), 0)</f>
        <v>107400</v>
      </c>
      <c r="D46">
        <f>IF($B46=Keys!$C$62,C46*(IFERROR(INDEX(AFDC_state_fuel_2024!C:C, MATCH(Keys!$C$63, AFDC_state_fuel_2024!A:A, 0)), 0))/(IFERROR(INDEX(AFDC_state_fuel_2024!B:B, MATCH(Keys!$C$63, AFDC_state_fuel_2024!A:A, 0)), 0)),L46)</f>
        <v>32100</v>
      </c>
      <c r="E46">
        <f>IFERROR(INDEX(AFDC_state_fuel_2024!G:G, MATCH(B46, AFDC_state_fuel_2024!A:A, 0)), 0)</f>
        <v>300</v>
      </c>
      <c r="F46">
        <f>(IFERROR(INDEX(AFDC_state_fuel_2024!K:K, MATCH(B46, AFDC_state_fuel_2024!A:A, 0)), 0) + IFERROR(INDEX(AFDC_state_fuel_2024!D:D, MATCH(B46, AFDC_state_fuel_2024!A:A, 0)), 0) + IFERROR(INDEX(AFDC_state_fuel_2024!F:F, MATCH(B46, AFDC_state_fuel_2024!A:A, 0)), 0) + IFERROR(INDEX(AFDC_state_fuel_2024!J:J, MATCH(B46, AFDC_state_fuel_2024!A:A, 0)), 0)) + (IFERROR(INDEX(AFDC_state_fuel_2024!M:M, MATCH(B46, AFDC_state_fuel_2024!A:A, 0)), 0))*(IFERROR(INDEX(AFDC_state_fuel_2024!K:K, MATCH(B46, AFDC_state_fuel_2024!A:A, 0)), 0) + IFERROR(INDEX(AFDC_state_fuel_2024!D:D, MATCH(B46, AFDC_state_fuel_2024!A:A, 0)), 0) + IFERROR(INDEX(AFDC_state_fuel_2024!F:F, MATCH(B46, AFDC_state_fuel_2024!A:A, 0)), 0) + IFERROR(INDEX(AFDC_state_fuel_2024!J:J, MATCH(B46, AFDC_state_fuel_2024!A:A, 0)), 0))/((IFERROR(INDEX(AFDC_state_fuel_2024!K:K, MATCH(B46, AFDC_state_fuel_2024!A:A, 0)), 0) + IFERROR(INDEX(AFDC_state_fuel_2024!D:D, MATCH(B46, AFDC_state_fuel_2024!A:A, 0)), 0) + IFERROR(INDEX(AFDC_state_fuel_2024!F:F, MATCH(B46, AFDC_state_fuel_2024!A:A, 0)), 0) + IFERROR(INDEX(AFDC_state_fuel_2024!J:J, MATCH(B46, AFDC_state_fuel_2024!A:A, 0)), 0))+(IFERROR(INDEX(AFDC_state_fuel_2024!L:L, MATCH(B46, AFDC_state_fuel_2024!A:A, 0)), 0) + IFERROR(INDEX(AFDC_state_fuel_2024!E:E, MATCH(B46, AFDC_state_fuel_2024!A:A, 0)), 0)))</f>
        <v>7472736.0636224514</v>
      </c>
      <c r="G46">
        <f>National_totals!$F$2*K46/SUM(K3:K50)</f>
        <v>30644.972309638964</v>
      </c>
      <c r="H46">
        <f>IFERROR(INDEX(AFDC_state_fuel_2024!H:H, MATCH(B46, AFDC_state_fuel_2024!A:A, 0)), 0)</f>
        <v>0</v>
      </c>
      <c r="I46">
        <f>IFERROR(INDEX(AFDC_state_fuel_2024!I:I, MATCH(B46, AFDC_state_fuel_2024!A:A, 0)), 0)</f>
        <v>0</v>
      </c>
      <c r="J46">
        <f>IFERROR(INDEX(AFDC_state_fuel_2024!M:M, MATCH(B46, AFDC_state_fuel_2024!A:A, 0)), 0)</f>
        <v>29100</v>
      </c>
      <c r="K46">
        <f>(IFERROR(INDEX(AFDC_state_fuel_2024!L:L, MATCH(B46, AFDC_state_fuel_2024!A:A, 0)), 0) + IFERROR(INDEX(AFDC_state_fuel_2024!E:E, MATCH(B46, AFDC_state_fuel_2024!A:A, 0)), 0)) + (IFERROR(INDEX(AFDC_state_fuel_2024!M:M, MATCH(B46, AFDC_state_fuel_2024!A:A, 0)), 0))*(IFERROR(INDEX(AFDC_state_fuel_2024!L:L, MATCH(B46, AFDC_state_fuel_2024!A:A, 0)), 0) + IFERROR(INDEX(AFDC_state_fuel_2024!E:E, MATCH(B46, AFDC_state_fuel_2024!A:A, 0)), 0))/((IFERROR(INDEX(AFDC_state_fuel_2024!K:K, MATCH(B46, AFDC_state_fuel_2024!A:A, 0)), 0) + IFERROR(INDEX(AFDC_state_fuel_2024!D:D, MATCH(B46, AFDC_state_fuel_2024!A:A, 0)), 0) + IFERROR(INDEX(AFDC_state_fuel_2024!F:F, MATCH(B46, AFDC_state_fuel_2024!A:A, 0)), 0) + IFERROR(INDEX(AFDC_state_fuel_2024!J:J, MATCH(B46, AFDC_state_fuel_2024!A:A, 0)), 0))+(IFERROR(INDEX(AFDC_state_fuel_2024!L:L, MATCH(B46, AFDC_state_fuel_2024!A:A, 0)), 0) + IFERROR(INDEX(AFDC_state_fuel_2024!E:E, MATCH(B46, AFDC_state_fuel_2024!A:A, 0)), 0)))</f>
        <v>201463.93637754902</v>
      </c>
      <c r="L46">
        <f>IFERROR(INDEX(AFDC_state_fuel_2024!C:C, MATCH(B46, AFDC_state_fuel_2024!A:A, 0)), 0)</f>
        <v>32100</v>
      </c>
      <c r="M46" t="str">
        <f>IF($B46=Keys!$C$62,"OVERRIDDEN (see Keys / methodology 9.5)","")</f>
        <v/>
      </c>
    </row>
    <row r="47" spans="1:13" x14ac:dyDescent="0.45">
      <c r="A47" t="s">
        <v>144</v>
      </c>
      <c r="B47" t="str">
        <f>INDEX(Geography!C:C, MATCH(A47, Geography!B:B, 0))</f>
        <v>Washington</v>
      </c>
      <c r="C47">
        <f>IFERROR(INDEX(AFDC_state_fuel_2024!B:B, MATCH(B47, AFDC_state_fuel_2024!A:A, 0)), 0)</f>
        <v>191400</v>
      </c>
      <c r="D47">
        <f>IF($B47=Keys!$C$62,C47*(IFERROR(INDEX(AFDC_state_fuel_2024!C:C, MATCH(Keys!$C$63, AFDC_state_fuel_2024!A:A, 0)), 0))/(IFERROR(INDEX(AFDC_state_fuel_2024!B:B, MATCH(Keys!$C$63, AFDC_state_fuel_2024!A:A, 0)), 0)),L47)</f>
        <v>48500</v>
      </c>
      <c r="E47">
        <f>IFERROR(INDEX(AFDC_state_fuel_2024!G:G, MATCH(B47, AFDC_state_fuel_2024!A:A, 0)), 0)</f>
        <v>100</v>
      </c>
      <c r="F47">
        <f>(IFERROR(INDEX(AFDC_state_fuel_2024!K:K, MATCH(B47, AFDC_state_fuel_2024!A:A, 0)), 0) + IFERROR(INDEX(AFDC_state_fuel_2024!D:D, MATCH(B47, AFDC_state_fuel_2024!A:A, 0)), 0) + IFERROR(INDEX(AFDC_state_fuel_2024!F:F, MATCH(B47, AFDC_state_fuel_2024!A:A, 0)), 0) + IFERROR(INDEX(AFDC_state_fuel_2024!J:J, MATCH(B47, AFDC_state_fuel_2024!A:A, 0)), 0)) + (IFERROR(INDEX(AFDC_state_fuel_2024!M:M, MATCH(B47, AFDC_state_fuel_2024!A:A, 0)), 0))*(IFERROR(INDEX(AFDC_state_fuel_2024!K:K, MATCH(B47, AFDC_state_fuel_2024!A:A, 0)), 0) + IFERROR(INDEX(AFDC_state_fuel_2024!D:D, MATCH(B47, AFDC_state_fuel_2024!A:A, 0)), 0) + IFERROR(INDEX(AFDC_state_fuel_2024!F:F, MATCH(B47, AFDC_state_fuel_2024!A:A, 0)), 0) + IFERROR(INDEX(AFDC_state_fuel_2024!J:J, MATCH(B47, AFDC_state_fuel_2024!A:A, 0)), 0))/((IFERROR(INDEX(AFDC_state_fuel_2024!K:K, MATCH(B47, AFDC_state_fuel_2024!A:A, 0)), 0) + IFERROR(INDEX(AFDC_state_fuel_2024!D:D, MATCH(B47, AFDC_state_fuel_2024!A:A, 0)), 0) + IFERROR(INDEX(AFDC_state_fuel_2024!F:F, MATCH(B47, AFDC_state_fuel_2024!A:A, 0)), 0) + IFERROR(INDEX(AFDC_state_fuel_2024!J:J, MATCH(B47, AFDC_state_fuel_2024!A:A, 0)), 0))+(IFERROR(INDEX(AFDC_state_fuel_2024!L:L, MATCH(B47, AFDC_state_fuel_2024!A:A, 0)), 0) + IFERROR(INDEX(AFDC_state_fuel_2024!E:E, MATCH(B47, AFDC_state_fuel_2024!A:A, 0)), 0)))</f>
        <v>6237634.3846894046</v>
      </c>
      <c r="G47">
        <f>National_totals!$F$2*K47/SUM(K3:K50)</f>
        <v>53781.379862093803</v>
      </c>
      <c r="H47">
        <f>IFERROR(INDEX(AFDC_state_fuel_2024!H:H, MATCH(B47, AFDC_state_fuel_2024!A:A, 0)), 0)</f>
        <v>100</v>
      </c>
      <c r="I47">
        <f>IFERROR(INDEX(AFDC_state_fuel_2024!I:I, MATCH(B47, AFDC_state_fuel_2024!A:A, 0)), 0)</f>
        <v>0</v>
      </c>
      <c r="J47">
        <f>IFERROR(INDEX(AFDC_state_fuel_2024!M:M, MATCH(B47, AFDC_state_fuel_2024!A:A, 0)), 0)</f>
        <v>44100</v>
      </c>
      <c r="K47">
        <f>(IFERROR(INDEX(AFDC_state_fuel_2024!L:L, MATCH(B47, AFDC_state_fuel_2024!A:A, 0)), 0) + IFERROR(INDEX(AFDC_state_fuel_2024!E:E, MATCH(B47, AFDC_state_fuel_2024!A:A, 0)), 0)) + (IFERROR(INDEX(AFDC_state_fuel_2024!M:M, MATCH(B47, AFDC_state_fuel_2024!A:A, 0)), 0))*(IFERROR(INDEX(AFDC_state_fuel_2024!L:L, MATCH(B47, AFDC_state_fuel_2024!A:A, 0)), 0) + IFERROR(INDEX(AFDC_state_fuel_2024!E:E, MATCH(B47, AFDC_state_fuel_2024!A:A, 0)), 0))/((IFERROR(INDEX(AFDC_state_fuel_2024!K:K, MATCH(B47, AFDC_state_fuel_2024!A:A, 0)), 0) + IFERROR(INDEX(AFDC_state_fuel_2024!D:D, MATCH(B47, AFDC_state_fuel_2024!A:A, 0)), 0) + IFERROR(INDEX(AFDC_state_fuel_2024!F:F, MATCH(B47, AFDC_state_fuel_2024!A:A, 0)), 0) + IFERROR(INDEX(AFDC_state_fuel_2024!J:J, MATCH(B47, AFDC_state_fuel_2024!A:A, 0)), 0))+(IFERROR(INDEX(AFDC_state_fuel_2024!L:L, MATCH(B47, AFDC_state_fuel_2024!A:A, 0)), 0) + IFERROR(INDEX(AFDC_state_fuel_2024!E:E, MATCH(B47, AFDC_state_fuel_2024!A:A, 0)), 0)))</f>
        <v>353565.61531059555</v>
      </c>
      <c r="L47">
        <f>IFERROR(INDEX(AFDC_state_fuel_2024!C:C, MATCH(B47, AFDC_state_fuel_2024!A:A, 0)), 0)</f>
        <v>48500</v>
      </c>
      <c r="M47" t="str">
        <f>IF($B47=Keys!$C$62,"OVERRIDDEN (see Keys / methodology 9.5)","")</f>
        <v/>
      </c>
    </row>
    <row r="48" spans="1:13" x14ac:dyDescent="0.45">
      <c r="A48" t="s">
        <v>146</v>
      </c>
      <c r="B48" t="str">
        <f>INDEX(Geography!C:C, MATCH(A48, Geography!B:B, 0))</f>
        <v>West Virginia</v>
      </c>
      <c r="C48">
        <f>IFERROR(INDEX(AFDC_state_fuel_2024!B:B, MATCH(B48, AFDC_state_fuel_2024!A:A, 0)), 0)</f>
        <v>3800</v>
      </c>
      <c r="D48">
        <f>IF($B48=Keys!$C$62,C48*(IFERROR(INDEX(AFDC_state_fuel_2024!C:C, MATCH(Keys!$C$63, AFDC_state_fuel_2024!A:A, 0)), 0))/(IFERROR(INDEX(AFDC_state_fuel_2024!B:B, MATCH(Keys!$C$63, AFDC_state_fuel_2024!A:A, 0)), 0)),L48)</f>
        <v>2200</v>
      </c>
      <c r="E48">
        <f>IFERROR(INDEX(AFDC_state_fuel_2024!G:G, MATCH(B48, AFDC_state_fuel_2024!A:A, 0)), 0)</f>
        <v>100</v>
      </c>
      <c r="F48">
        <f>(IFERROR(INDEX(AFDC_state_fuel_2024!K:K, MATCH(B48, AFDC_state_fuel_2024!A:A, 0)), 0) + IFERROR(INDEX(AFDC_state_fuel_2024!D:D, MATCH(B48, AFDC_state_fuel_2024!A:A, 0)), 0) + IFERROR(INDEX(AFDC_state_fuel_2024!F:F, MATCH(B48, AFDC_state_fuel_2024!A:A, 0)), 0) + IFERROR(INDEX(AFDC_state_fuel_2024!J:J, MATCH(B48, AFDC_state_fuel_2024!A:A, 0)), 0)) + (IFERROR(INDEX(AFDC_state_fuel_2024!M:M, MATCH(B48, AFDC_state_fuel_2024!A:A, 0)), 0))*(IFERROR(INDEX(AFDC_state_fuel_2024!K:K, MATCH(B48, AFDC_state_fuel_2024!A:A, 0)), 0) + IFERROR(INDEX(AFDC_state_fuel_2024!D:D, MATCH(B48, AFDC_state_fuel_2024!A:A, 0)), 0) + IFERROR(INDEX(AFDC_state_fuel_2024!F:F, MATCH(B48, AFDC_state_fuel_2024!A:A, 0)), 0) + IFERROR(INDEX(AFDC_state_fuel_2024!J:J, MATCH(B48, AFDC_state_fuel_2024!A:A, 0)), 0))/((IFERROR(INDEX(AFDC_state_fuel_2024!K:K, MATCH(B48, AFDC_state_fuel_2024!A:A, 0)), 0) + IFERROR(INDEX(AFDC_state_fuel_2024!D:D, MATCH(B48, AFDC_state_fuel_2024!A:A, 0)), 0) + IFERROR(INDEX(AFDC_state_fuel_2024!F:F, MATCH(B48, AFDC_state_fuel_2024!A:A, 0)), 0) + IFERROR(INDEX(AFDC_state_fuel_2024!J:J, MATCH(B48, AFDC_state_fuel_2024!A:A, 0)), 0))+(IFERROR(INDEX(AFDC_state_fuel_2024!L:L, MATCH(B48, AFDC_state_fuel_2024!A:A, 0)), 0) + IFERROR(INDEX(AFDC_state_fuel_2024!E:E, MATCH(B48, AFDC_state_fuel_2024!A:A, 0)), 0)))</f>
        <v>1448877.5864370577</v>
      </c>
      <c r="G48">
        <f>National_totals!$F$2*K48/SUM(K3:K50)</f>
        <v>10027.554184362994</v>
      </c>
      <c r="H48">
        <f>IFERROR(INDEX(AFDC_state_fuel_2024!H:H, MATCH(B48, AFDC_state_fuel_2024!A:A, 0)), 0)</f>
        <v>0</v>
      </c>
      <c r="I48">
        <f>IFERROR(INDEX(AFDC_state_fuel_2024!I:I, MATCH(B48, AFDC_state_fuel_2024!A:A, 0)), 0)</f>
        <v>0</v>
      </c>
      <c r="J48">
        <f>IFERROR(INDEX(AFDC_state_fuel_2024!M:M, MATCH(B48, AFDC_state_fuel_2024!A:A, 0)), 0)</f>
        <v>16600</v>
      </c>
      <c r="K48">
        <f>(IFERROR(INDEX(AFDC_state_fuel_2024!L:L, MATCH(B48, AFDC_state_fuel_2024!A:A, 0)), 0) + IFERROR(INDEX(AFDC_state_fuel_2024!E:E, MATCH(B48, AFDC_state_fuel_2024!A:A, 0)), 0)) + (IFERROR(INDEX(AFDC_state_fuel_2024!M:M, MATCH(B48, AFDC_state_fuel_2024!A:A, 0)), 0))*(IFERROR(INDEX(AFDC_state_fuel_2024!L:L, MATCH(B48, AFDC_state_fuel_2024!A:A, 0)), 0) + IFERROR(INDEX(AFDC_state_fuel_2024!E:E, MATCH(B48, AFDC_state_fuel_2024!A:A, 0)), 0))/((IFERROR(INDEX(AFDC_state_fuel_2024!K:K, MATCH(B48, AFDC_state_fuel_2024!A:A, 0)), 0) + IFERROR(INDEX(AFDC_state_fuel_2024!D:D, MATCH(B48, AFDC_state_fuel_2024!A:A, 0)), 0) + IFERROR(INDEX(AFDC_state_fuel_2024!F:F, MATCH(B48, AFDC_state_fuel_2024!A:A, 0)), 0) + IFERROR(INDEX(AFDC_state_fuel_2024!J:J, MATCH(B48, AFDC_state_fuel_2024!A:A, 0)), 0))+(IFERROR(INDEX(AFDC_state_fuel_2024!L:L, MATCH(B48, AFDC_state_fuel_2024!A:A, 0)), 0) + IFERROR(INDEX(AFDC_state_fuel_2024!E:E, MATCH(B48, AFDC_state_fuel_2024!A:A, 0)), 0)))</f>
        <v>65922.413562942194</v>
      </c>
      <c r="L48">
        <f>IFERROR(INDEX(AFDC_state_fuel_2024!C:C, MATCH(B48, AFDC_state_fuel_2024!A:A, 0)), 0)</f>
        <v>2200</v>
      </c>
      <c r="M48" t="str">
        <f>IF($B48=Keys!$C$62,"OVERRIDDEN (see Keys / methodology 9.5)","")</f>
        <v/>
      </c>
    </row>
    <row r="49" spans="1:13" x14ac:dyDescent="0.45">
      <c r="A49" t="s">
        <v>148</v>
      </c>
      <c r="B49" t="str">
        <f>INDEX(Geography!C:C, MATCH(A49, Geography!B:B, 0))</f>
        <v>Wisconsin</v>
      </c>
      <c r="C49">
        <f>IFERROR(INDEX(AFDC_state_fuel_2024!B:B, MATCH(B49, AFDC_state_fuel_2024!A:A, 0)), 0)</f>
        <v>32300</v>
      </c>
      <c r="D49">
        <f>IF($B49=Keys!$C$62,C49*(IFERROR(INDEX(AFDC_state_fuel_2024!C:C, MATCH(Keys!$C$63, AFDC_state_fuel_2024!A:A, 0)), 0))/(IFERROR(INDEX(AFDC_state_fuel_2024!B:B, MATCH(Keys!$C$63, AFDC_state_fuel_2024!A:A, 0)), 0)),L49)</f>
        <v>15100</v>
      </c>
      <c r="E49">
        <f>IFERROR(INDEX(AFDC_state_fuel_2024!G:G, MATCH(B49, AFDC_state_fuel_2024!A:A, 0)), 0)</f>
        <v>300</v>
      </c>
      <c r="F49">
        <f>(IFERROR(INDEX(AFDC_state_fuel_2024!K:K, MATCH(B49, AFDC_state_fuel_2024!A:A, 0)), 0) + IFERROR(INDEX(AFDC_state_fuel_2024!D:D, MATCH(B49, AFDC_state_fuel_2024!A:A, 0)), 0) + IFERROR(INDEX(AFDC_state_fuel_2024!F:F, MATCH(B49, AFDC_state_fuel_2024!A:A, 0)), 0) + IFERROR(INDEX(AFDC_state_fuel_2024!J:J, MATCH(B49, AFDC_state_fuel_2024!A:A, 0)), 0)) + (IFERROR(INDEX(AFDC_state_fuel_2024!M:M, MATCH(B49, AFDC_state_fuel_2024!A:A, 0)), 0))*(IFERROR(INDEX(AFDC_state_fuel_2024!K:K, MATCH(B49, AFDC_state_fuel_2024!A:A, 0)), 0) + IFERROR(INDEX(AFDC_state_fuel_2024!D:D, MATCH(B49, AFDC_state_fuel_2024!A:A, 0)), 0) + IFERROR(INDEX(AFDC_state_fuel_2024!F:F, MATCH(B49, AFDC_state_fuel_2024!A:A, 0)), 0) + IFERROR(INDEX(AFDC_state_fuel_2024!J:J, MATCH(B49, AFDC_state_fuel_2024!A:A, 0)), 0))/((IFERROR(INDEX(AFDC_state_fuel_2024!K:K, MATCH(B49, AFDC_state_fuel_2024!A:A, 0)), 0) + IFERROR(INDEX(AFDC_state_fuel_2024!D:D, MATCH(B49, AFDC_state_fuel_2024!A:A, 0)), 0) + IFERROR(INDEX(AFDC_state_fuel_2024!F:F, MATCH(B49, AFDC_state_fuel_2024!A:A, 0)), 0) + IFERROR(INDEX(AFDC_state_fuel_2024!J:J, MATCH(B49, AFDC_state_fuel_2024!A:A, 0)), 0))+(IFERROR(INDEX(AFDC_state_fuel_2024!L:L, MATCH(B49, AFDC_state_fuel_2024!A:A, 0)), 0) + IFERROR(INDEX(AFDC_state_fuel_2024!E:E, MATCH(B49, AFDC_state_fuel_2024!A:A, 0)), 0)))</f>
        <v>5316720.4672404071</v>
      </c>
      <c r="G49">
        <f>National_totals!$F$2*K49/SUM(K3:K50)</f>
        <v>31286.212805179846</v>
      </c>
      <c r="H49">
        <f>IFERROR(INDEX(AFDC_state_fuel_2024!H:H, MATCH(B49, AFDC_state_fuel_2024!A:A, 0)), 0)</f>
        <v>0</v>
      </c>
      <c r="I49">
        <f>IFERROR(INDEX(AFDC_state_fuel_2024!I:I, MATCH(B49, AFDC_state_fuel_2024!A:A, 0)), 0)</f>
        <v>0</v>
      </c>
      <c r="J49">
        <f>IFERROR(INDEX(AFDC_state_fuel_2024!M:M, MATCH(B49, AFDC_state_fuel_2024!A:A, 0)), 0)</f>
        <v>26300</v>
      </c>
      <c r="K49">
        <f>(IFERROR(INDEX(AFDC_state_fuel_2024!L:L, MATCH(B49, AFDC_state_fuel_2024!A:A, 0)), 0) + IFERROR(INDEX(AFDC_state_fuel_2024!E:E, MATCH(B49, AFDC_state_fuel_2024!A:A, 0)), 0)) + (IFERROR(INDEX(AFDC_state_fuel_2024!M:M, MATCH(B49, AFDC_state_fuel_2024!A:A, 0)), 0))*(IFERROR(INDEX(AFDC_state_fuel_2024!L:L, MATCH(B49, AFDC_state_fuel_2024!A:A, 0)), 0) + IFERROR(INDEX(AFDC_state_fuel_2024!E:E, MATCH(B49, AFDC_state_fuel_2024!A:A, 0)), 0))/((IFERROR(INDEX(AFDC_state_fuel_2024!K:K, MATCH(B49, AFDC_state_fuel_2024!A:A, 0)), 0) + IFERROR(INDEX(AFDC_state_fuel_2024!D:D, MATCH(B49, AFDC_state_fuel_2024!A:A, 0)), 0) + IFERROR(INDEX(AFDC_state_fuel_2024!F:F, MATCH(B49, AFDC_state_fuel_2024!A:A, 0)), 0) + IFERROR(INDEX(AFDC_state_fuel_2024!J:J, MATCH(B49, AFDC_state_fuel_2024!A:A, 0)), 0))+(IFERROR(INDEX(AFDC_state_fuel_2024!L:L, MATCH(B49, AFDC_state_fuel_2024!A:A, 0)), 0) + IFERROR(INDEX(AFDC_state_fuel_2024!E:E, MATCH(B49, AFDC_state_fuel_2024!A:A, 0)), 0)))</f>
        <v>205679.53275959316</v>
      </c>
      <c r="L49">
        <f>IFERROR(INDEX(AFDC_state_fuel_2024!C:C, MATCH(B49, AFDC_state_fuel_2024!A:A, 0)), 0)</f>
        <v>15100</v>
      </c>
      <c r="M49" t="str">
        <f>IF($B49=Keys!$C$62,"OVERRIDDEN (see Keys / methodology 9.5)","")</f>
        <v/>
      </c>
    </row>
    <row r="50" spans="1:13" x14ac:dyDescent="0.45">
      <c r="A50" t="s">
        <v>150</v>
      </c>
      <c r="B50" t="str">
        <f>INDEX(Geography!C:C, MATCH(A50, Geography!B:B, 0))</f>
        <v>Wyoming</v>
      </c>
      <c r="C50">
        <f>IFERROR(INDEX(AFDC_state_fuel_2024!B:B, MATCH(B50, AFDC_state_fuel_2024!A:A, 0)), 0)</f>
        <v>1500</v>
      </c>
      <c r="D50">
        <f>IF($B50=Keys!$C$62,C50*(IFERROR(INDEX(AFDC_state_fuel_2024!C:C, MATCH(Keys!$C$63, AFDC_state_fuel_2024!A:A, 0)), 0))/(IFERROR(INDEX(AFDC_state_fuel_2024!B:B, MATCH(Keys!$C$63, AFDC_state_fuel_2024!A:A, 0)), 0)),L50)</f>
        <v>1000</v>
      </c>
      <c r="E50">
        <f>IFERROR(INDEX(AFDC_state_fuel_2024!G:G, MATCH(B50, AFDC_state_fuel_2024!A:A, 0)), 0)</f>
        <v>0</v>
      </c>
      <c r="F50">
        <f>(IFERROR(INDEX(AFDC_state_fuel_2024!K:K, MATCH(B50, AFDC_state_fuel_2024!A:A, 0)), 0) + IFERROR(INDEX(AFDC_state_fuel_2024!D:D, MATCH(B50, AFDC_state_fuel_2024!A:A, 0)), 0) + IFERROR(INDEX(AFDC_state_fuel_2024!F:F, MATCH(B50, AFDC_state_fuel_2024!A:A, 0)), 0) + IFERROR(INDEX(AFDC_state_fuel_2024!J:J, MATCH(B50, AFDC_state_fuel_2024!A:A, 0)), 0)) + (IFERROR(INDEX(AFDC_state_fuel_2024!M:M, MATCH(B50, AFDC_state_fuel_2024!A:A, 0)), 0))*(IFERROR(INDEX(AFDC_state_fuel_2024!K:K, MATCH(B50, AFDC_state_fuel_2024!A:A, 0)), 0) + IFERROR(INDEX(AFDC_state_fuel_2024!D:D, MATCH(B50, AFDC_state_fuel_2024!A:A, 0)), 0) + IFERROR(INDEX(AFDC_state_fuel_2024!F:F, MATCH(B50, AFDC_state_fuel_2024!A:A, 0)), 0) + IFERROR(INDEX(AFDC_state_fuel_2024!J:J, MATCH(B50, AFDC_state_fuel_2024!A:A, 0)), 0))/((IFERROR(INDEX(AFDC_state_fuel_2024!K:K, MATCH(B50, AFDC_state_fuel_2024!A:A, 0)), 0) + IFERROR(INDEX(AFDC_state_fuel_2024!D:D, MATCH(B50, AFDC_state_fuel_2024!A:A, 0)), 0) + IFERROR(INDEX(AFDC_state_fuel_2024!F:F, MATCH(B50, AFDC_state_fuel_2024!A:A, 0)), 0) + IFERROR(INDEX(AFDC_state_fuel_2024!J:J, MATCH(B50, AFDC_state_fuel_2024!A:A, 0)), 0))+(IFERROR(INDEX(AFDC_state_fuel_2024!L:L, MATCH(B50, AFDC_state_fuel_2024!A:A, 0)), 0) + IFERROR(INDEX(AFDC_state_fuel_2024!E:E, MATCH(B50, AFDC_state_fuel_2024!A:A, 0)), 0)))</f>
        <v>578427.23221146455</v>
      </c>
      <c r="G50">
        <f>National_totals!$F$2*K50/SUM(K3:K50)</f>
        <v>13077.442720692765</v>
      </c>
      <c r="H50">
        <f>IFERROR(INDEX(AFDC_state_fuel_2024!H:H, MATCH(B50, AFDC_state_fuel_2024!A:A, 0)), 0)</f>
        <v>0</v>
      </c>
      <c r="I50">
        <f>IFERROR(INDEX(AFDC_state_fuel_2024!I:I, MATCH(B50, AFDC_state_fuel_2024!A:A, 0)), 0)</f>
        <v>0</v>
      </c>
      <c r="J50">
        <f>IFERROR(INDEX(AFDC_state_fuel_2024!M:M, MATCH(B50, AFDC_state_fuel_2024!A:A, 0)), 0)</f>
        <v>13700</v>
      </c>
      <c r="K50">
        <f>(IFERROR(INDEX(AFDC_state_fuel_2024!L:L, MATCH(B50, AFDC_state_fuel_2024!A:A, 0)), 0) + IFERROR(INDEX(AFDC_state_fuel_2024!E:E, MATCH(B50, AFDC_state_fuel_2024!A:A, 0)), 0)) + (IFERROR(INDEX(AFDC_state_fuel_2024!M:M, MATCH(B50, AFDC_state_fuel_2024!A:A, 0)), 0))*(IFERROR(INDEX(AFDC_state_fuel_2024!L:L, MATCH(B50, AFDC_state_fuel_2024!A:A, 0)), 0) + IFERROR(INDEX(AFDC_state_fuel_2024!E:E, MATCH(B50, AFDC_state_fuel_2024!A:A, 0)), 0))/((IFERROR(INDEX(AFDC_state_fuel_2024!K:K, MATCH(B50, AFDC_state_fuel_2024!A:A, 0)), 0) + IFERROR(INDEX(AFDC_state_fuel_2024!D:D, MATCH(B50, AFDC_state_fuel_2024!A:A, 0)), 0) + IFERROR(INDEX(AFDC_state_fuel_2024!F:F, MATCH(B50, AFDC_state_fuel_2024!A:A, 0)), 0) + IFERROR(INDEX(AFDC_state_fuel_2024!J:J, MATCH(B50, AFDC_state_fuel_2024!A:A, 0)), 0))+(IFERROR(INDEX(AFDC_state_fuel_2024!L:L, MATCH(B50, AFDC_state_fuel_2024!A:A, 0)), 0) + IFERROR(INDEX(AFDC_state_fuel_2024!E:E, MATCH(B50, AFDC_state_fuel_2024!A:A, 0)), 0)))</f>
        <v>85972.767788535421</v>
      </c>
      <c r="L50">
        <f>IFERROR(INDEX(AFDC_state_fuel_2024!C:C, MATCH(B50, AFDC_state_fuel_2024!A:A, 0)), 0)</f>
        <v>1000</v>
      </c>
      <c r="M50" t="str">
        <f>IF($B50=Keys!$C$62,"OVERRIDDEN (see Keys / methodology 9.5)","")</f>
        <v/>
      </c>
    </row>
    <row r="51" spans="1:13" x14ac:dyDescent="0.45">
      <c r="A51" s="4" t="s">
        <v>373</v>
      </c>
      <c r="C51" s="4">
        <f t="shared" ref="C51:L51" si="0">SUM(C3:C50)</f>
        <v>4460300</v>
      </c>
      <c r="D51" s="4">
        <f t="shared" si="0"/>
        <v>1480031.520749606</v>
      </c>
      <c r="E51" s="4">
        <f t="shared" si="0"/>
        <v>23600</v>
      </c>
      <c r="F51" s="4">
        <f t="shared" si="0"/>
        <v>271493469.55244309</v>
      </c>
      <c r="G51" s="4">
        <f t="shared" si="0"/>
        <v>1553093.0000000007</v>
      </c>
      <c r="H51" s="4">
        <f t="shared" si="0"/>
        <v>5700</v>
      </c>
      <c r="I51" s="4">
        <f t="shared" si="0"/>
        <v>16900</v>
      </c>
      <c r="J51" s="4">
        <f t="shared" si="0"/>
        <v>1655300</v>
      </c>
      <c r="K51" s="4">
        <f t="shared" si="0"/>
        <v>10210230.447556995</v>
      </c>
      <c r="L51" s="4">
        <f t="shared" si="0"/>
        <v>1506700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49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9" x14ac:dyDescent="0.45">
      <c r="A1" s="4" t="s">
        <v>381</v>
      </c>
      <c r="B1" s="4" t="s">
        <v>382</v>
      </c>
      <c r="C1" s="4" t="s">
        <v>350</v>
      </c>
      <c r="D1" s="4" t="s">
        <v>383</v>
      </c>
      <c r="E1" s="4" t="s">
        <v>384</v>
      </c>
      <c r="F1" s="4" t="s">
        <v>385</v>
      </c>
      <c r="G1" s="4" t="s">
        <v>386</v>
      </c>
      <c r="H1" s="4" t="s">
        <v>387</v>
      </c>
      <c r="I1" s="4" t="s">
        <v>388</v>
      </c>
    </row>
    <row r="2" spans="1:9" x14ac:dyDescent="0.45">
      <c r="A2" t="s">
        <v>389</v>
      </c>
      <c r="B2" t="s">
        <v>39</v>
      </c>
      <c r="C2" t="s">
        <v>38</v>
      </c>
      <c r="D2">
        <v>6</v>
      </c>
      <c r="E2" t="s">
        <v>390</v>
      </c>
      <c r="F2">
        <v>3</v>
      </c>
      <c r="G2" t="s">
        <v>391</v>
      </c>
      <c r="H2">
        <v>6</v>
      </c>
      <c r="I2" t="s">
        <v>390</v>
      </c>
    </row>
    <row r="3" spans="1:9" x14ac:dyDescent="0.45">
      <c r="A3" t="s">
        <v>392</v>
      </c>
      <c r="B3" t="s">
        <v>41</v>
      </c>
      <c r="C3" t="s">
        <v>40</v>
      </c>
      <c r="D3">
        <v>9</v>
      </c>
      <c r="E3" t="s">
        <v>393</v>
      </c>
      <c r="F3">
        <v>4</v>
      </c>
      <c r="G3" t="s">
        <v>394</v>
      </c>
      <c r="H3">
        <v>8</v>
      </c>
      <c r="I3" t="s">
        <v>395</v>
      </c>
    </row>
    <row r="4" spans="1:9" x14ac:dyDescent="0.45">
      <c r="A4" t="s">
        <v>396</v>
      </c>
      <c r="B4" t="s">
        <v>45</v>
      </c>
      <c r="C4" t="s">
        <v>44</v>
      </c>
      <c r="D4">
        <v>7</v>
      </c>
      <c r="E4" t="s">
        <v>397</v>
      </c>
      <c r="F4">
        <v>3</v>
      </c>
      <c r="G4" t="s">
        <v>391</v>
      </c>
      <c r="H4">
        <v>7</v>
      </c>
      <c r="I4" t="s">
        <v>397</v>
      </c>
    </row>
    <row r="5" spans="1:9" x14ac:dyDescent="0.45">
      <c r="A5" t="s">
        <v>398</v>
      </c>
      <c r="B5" t="s">
        <v>48</v>
      </c>
      <c r="C5" t="s">
        <v>35</v>
      </c>
      <c r="D5">
        <v>10</v>
      </c>
      <c r="E5" t="s">
        <v>399</v>
      </c>
      <c r="F5">
        <v>4</v>
      </c>
      <c r="G5" t="s">
        <v>394</v>
      </c>
      <c r="H5">
        <v>9</v>
      </c>
      <c r="I5" t="s">
        <v>399</v>
      </c>
    </row>
    <row r="6" spans="1:9" x14ac:dyDescent="0.45">
      <c r="A6" t="s">
        <v>400</v>
      </c>
      <c r="B6" t="s">
        <v>52</v>
      </c>
      <c r="C6" t="s">
        <v>51</v>
      </c>
      <c r="D6">
        <v>8</v>
      </c>
      <c r="E6" t="s">
        <v>401</v>
      </c>
      <c r="F6">
        <v>4</v>
      </c>
      <c r="G6" t="s">
        <v>394</v>
      </c>
      <c r="H6">
        <v>8</v>
      </c>
      <c r="I6" t="s">
        <v>395</v>
      </c>
    </row>
    <row r="7" spans="1:9" x14ac:dyDescent="0.45">
      <c r="A7" t="s">
        <v>402</v>
      </c>
      <c r="B7" t="s">
        <v>55</v>
      </c>
      <c r="C7" t="s">
        <v>54</v>
      </c>
      <c r="D7">
        <v>1</v>
      </c>
      <c r="E7" t="s">
        <v>403</v>
      </c>
      <c r="F7">
        <v>1</v>
      </c>
      <c r="G7" t="s">
        <v>404</v>
      </c>
      <c r="H7">
        <v>1</v>
      </c>
      <c r="I7" t="s">
        <v>403</v>
      </c>
    </row>
    <row r="8" spans="1:9" x14ac:dyDescent="0.45">
      <c r="A8" t="s">
        <v>405</v>
      </c>
      <c r="B8" t="s">
        <v>57</v>
      </c>
      <c r="C8" t="s">
        <v>56</v>
      </c>
      <c r="D8">
        <v>5</v>
      </c>
      <c r="E8" t="s">
        <v>406</v>
      </c>
      <c r="F8">
        <v>3</v>
      </c>
      <c r="G8" t="s">
        <v>391</v>
      </c>
      <c r="H8">
        <v>5</v>
      </c>
      <c r="I8" t="s">
        <v>406</v>
      </c>
    </row>
    <row r="9" spans="1:9" x14ac:dyDescent="0.45">
      <c r="A9" t="s">
        <v>407</v>
      </c>
      <c r="B9" t="s">
        <v>60</v>
      </c>
      <c r="C9" t="s">
        <v>59</v>
      </c>
      <c r="D9">
        <v>5</v>
      </c>
      <c r="E9" t="s">
        <v>406</v>
      </c>
      <c r="F9">
        <v>3</v>
      </c>
      <c r="G9" t="s">
        <v>391</v>
      </c>
      <c r="H9">
        <v>5</v>
      </c>
      <c r="I9" t="s">
        <v>406</v>
      </c>
    </row>
    <row r="10" spans="1:9" x14ac:dyDescent="0.45">
      <c r="A10" t="s">
        <v>408</v>
      </c>
      <c r="B10" t="s">
        <v>63</v>
      </c>
      <c r="C10" t="s">
        <v>62</v>
      </c>
      <c r="D10">
        <v>5</v>
      </c>
      <c r="E10" t="s">
        <v>406</v>
      </c>
      <c r="F10">
        <v>3</v>
      </c>
      <c r="G10" t="s">
        <v>391</v>
      </c>
      <c r="H10">
        <v>5</v>
      </c>
      <c r="I10" t="s">
        <v>406</v>
      </c>
    </row>
    <row r="11" spans="1:9" x14ac:dyDescent="0.45">
      <c r="A11" t="s">
        <v>409</v>
      </c>
      <c r="B11" t="s">
        <v>66</v>
      </c>
      <c r="C11" t="s">
        <v>65</v>
      </c>
      <c r="D11">
        <v>8</v>
      </c>
      <c r="E11" t="s">
        <v>401</v>
      </c>
      <c r="F11">
        <v>4</v>
      </c>
      <c r="G11" t="s">
        <v>394</v>
      </c>
      <c r="H11">
        <v>8</v>
      </c>
      <c r="I11" t="s">
        <v>395</v>
      </c>
    </row>
    <row r="12" spans="1:9" x14ac:dyDescent="0.45">
      <c r="A12" t="s">
        <v>410</v>
      </c>
      <c r="B12" t="s">
        <v>68</v>
      </c>
      <c r="C12" t="s">
        <v>67</v>
      </c>
      <c r="D12">
        <v>3</v>
      </c>
      <c r="E12" t="s">
        <v>411</v>
      </c>
      <c r="F12">
        <v>2</v>
      </c>
      <c r="G12" t="s">
        <v>412</v>
      </c>
      <c r="H12">
        <v>3</v>
      </c>
      <c r="I12" t="s">
        <v>411</v>
      </c>
    </row>
    <row r="13" spans="1:9" x14ac:dyDescent="0.45">
      <c r="A13" t="s">
        <v>413</v>
      </c>
      <c r="B13" t="s">
        <v>71</v>
      </c>
      <c r="C13" t="s">
        <v>70</v>
      </c>
      <c r="D13">
        <v>3</v>
      </c>
      <c r="E13" t="s">
        <v>411</v>
      </c>
      <c r="F13">
        <v>2</v>
      </c>
      <c r="G13" t="s">
        <v>412</v>
      </c>
      <c r="H13">
        <v>3</v>
      </c>
      <c r="I13" t="s">
        <v>411</v>
      </c>
    </row>
    <row r="14" spans="1:9" x14ac:dyDescent="0.45">
      <c r="A14" t="s">
        <v>414</v>
      </c>
      <c r="B14" t="s">
        <v>74</v>
      </c>
      <c r="C14" t="s">
        <v>73</v>
      </c>
      <c r="D14">
        <v>4</v>
      </c>
      <c r="E14" t="s">
        <v>415</v>
      </c>
      <c r="F14">
        <v>2</v>
      </c>
      <c r="G14" t="s">
        <v>412</v>
      </c>
      <c r="H14">
        <v>4</v>
      </c>
      <c r="I14" t="s">
        <v>415</v>
      </c>
    </row>
    <row r="15" spans="1:9" x14ac:dyDescent="0.45">
      <c r="A15" t="s">
        <v>416</v>
      </c>
      <c r="B15" t="s">
        <v>76</v>
      </c>
      <c r="C15" t="s">
        <v>75</v>
      </c>
      <c r="D15">
        <v>4</v>
      </c>
      <c r="E15" t="s">
        <v>415</v>
      </c>
      <c r="F15">
        <v>2</v>
      </c>
      <c r="G15" t="s">
        <v>412</v>
      </c>
      <c r="H15">
        <v>4</v>
      </c>
      <c r="I15" t="s">
        <v>415</v>
      </c>
    </row>
    <row r="16" spans="1:9" x14ac:dyDescent="0.45">
      <c r="A16" t="s">
        <v>417</v>
      </c>
      <c r="B16" t="s">
        <v>79</v>
      </c>
      <c r="C16" t="s">
        <v>78</v>
      </c>
      <c r="D16">
        <v>6</v>
      </c>
      <c r="E16" t="s">
        <v>390</v>
      </c>
      <c r="F16">
        <v>3</v>
      </c>
      <c r="G16" t="s">
        <v>391</v>
      </c>
      <c r="H16">
        <v>6</v>
      </c>
      <c r="I16" t="s">
        <v>390</v>
      </c>
    </row>
    <row r="17" spans="1:9" x14ac:dyDescent="0.45">
      <c r="A17" t="s">
        <v>418</v>
      </c>
      <c r="B17" t="s">
        <v>82</v>
      </c>
      <c r="C17" t="s">
        <v>81</v>
      </c>
      <c r="D17">
        <v>7</v>
      </c>
      <c r="E17" t="s">
        <v>397</v>
      </c>
      <c r="F17">
        <v>3</v>
      </c>
      <c r="G17" t="s">
        <v>391</v>
      </c>
      <c r="H17">
        <v>7</v>
      </c>
      <c r="I17" t="s">
        <v>397</v>
      </c>
    </row>
    <row r="18" spans="1:9" x14ac:dyDescent="0.45">
      <c r="A18" t="s">
        <v>419</v>
      </c>
      <c r="B18" t="s">
        <v>84</v>
      </c>
      <c r="C18" t="s">
        <v>83</v>
      </c>
      <c r="D18">
        <v>1</v>
      </c>
      <c r="E18" t="s">
        <v>403</v>
      </c>
      <c r="F18">
        <v>1</v>
      </c>
      <c r="G18" t="s">
        <v>404</v>
      </c>
      <c r="H18">
        <v>1</v>
      </c>
      <c r="I18" t="s">
        <v>403</v>
      </c>
    </row>
    <row r="19" spans="1:9" x14ac:dyDescent="0.45">
      <c r="A19" t="s">
        <v>420</v>
      </c>
      <c r="B19" t="s">
        <v>87</v>
      </c>
      <c r="C19" t="s">
        <v>86</v>
      </c>
      <c r="D19">
        <v>5</v>
      </c>
      <c r="E19" t="s">
        <v>406</v>
      </c>
      <c r="F19">
        <v>3</v>
      </c>
      <c r="G19" t="s">
        <v>391</v>
      </c>
      <c r="H19">
        <v>5</v>
      </c>
      <c r="I19" t="s">
        <v>406</v>
      </c>
    </row>
    <row r="20" spans="1:9" x14ac:dyDescent="0.45">
      <c r="A20" t="s">
        <v>421</v>
      </c>
      <c r="B20" t="s">
        <v>90</v>
      </c>
      <c r="C20" t="s">
        <v>89</v>
      </c>
      <c r="D20">
        <v>1</v>
      </c>
      <c r="E20" t="s">
        <v>403</v>
      </c>
      <c r="F20">
        <v>1</v>
      </c>
      <c r="G20" t="s">
        <v>404</v>
      </c>
      <c r="H20">
        <v>1</v>
      </c>
      <c r="I20" t="s">
        <v>403</v>
      </c>
    </row>
    <row r="21" spans="1:9" x14ac:dyDescent="0.45">
      <c r="A21" t="s">
        <v>422</v>
      </c>
      <c r="B21" t="s">
        <v>92</v>
      </c>
      <c r="C21" t="s">
        <v>91</v>
      </c>
      <c r="D21">
        <v>3</v>
      </c>
      <c r="E21" t="s">
        <v>411</v>
      </c>
      <c r="F21">
        <v>2</v>
      </c>
      <c r="G21" t="s">
        <v>412</v>
      </c>
      <c r="H21">
        <v>3</v>
      </c>
      <c r="I21" t="s">
        <v>411</v>
      </c>
    </row>
    <row r="22" spans="1:9" x14ac:dyDescent="0.45">
      <c r="A22" t="s">
        <v>423</v>
      </c>
      <c r="B22" t="s">
        <v>95</v>
      </c>
      <c r="C22" t="s">
        <v>94</v>
      </c>
      <c r="D22">
        <v>4</v>
      </c>
      <c r="E22" t="s">
        <v>415</v>
      </c>
      <c r="F22">
        <v>2</v>
      </c>
      <c r="G22" t="s">
        <v>412</v>
      </c>
      <c r="H22">
        <v>4</v>
      </c>
      <c r="I22" t="s">
        <v>415</v>
      </c>
    </row>
    <row r="23" spans="1:9" x14ac:dyDescent="0.45">
      <c r="A23" t="s">
        <v>424</v>
      </c>
      <c r="B23" t="s">
        <v>98</v>
      </c>
      <c r="C23" t="s">
        <v>97</v>
      </c>
      <c r="D23">
        <v>6</v>
      </c>
      <c r="E23" t="s">
        <v>390</v>
      </c>
      <c r="F23">
        <v>3</v>
      </c>
      <c r="G23" t="s">
        <v>391</v>
      </c>
      <c r="H23">
        <v>6</v>
      </c>
      <c r="I23" t="s">
        <v>390</v>
      </c>
    </row>
    <row r="24" spans="1:9" x14ac:dyDescent="0.45">
      <c r="A24" t="s">
        <v>425</v>
      </c>
      <c r="B24" t="s">
        <v>100</v>
      </c>
      <c r="C24" t="s">
        <v>99</v>
      </c>
      <c r="D24">
        <v>4</v>
      </c>
      <c r="E24" t="s">
        <v>415</v>
      </c>
      <c r="F24">
        <v>2</v>
      </c>
      <c r="G24" t="s">
        <v>412</v>
      </c>
      <c r="H24">
        <v>4</v>
      </c>
      <c r="I24" t="s">
        <v>415</v>
      </c>
    </row>
    <row r="25" spans="1:9" x14ac:dyDescent="0.45">
      <c r="A25" t="s">
        <v>426</v>
      </c>
      <c r="B25" t="s">
        <v>102</v>
      </c>
      <c r="C25" t="s">
        <v>101</v>
      </c>
      <c r="D25">
        <v>8</v>
      </c>
      <c r="E25" t="s">
        <v>401</v>
      </c>
      <c r="F25">
        <v>4</v>
      </c>
      <c r="G25" t="s">
        <v>394</v>
      </c>
      <c r="H25">
        <v>8</v>
      </c>
      <c r="I25" t="s">
        <v>395</v>
      </c>
    </row>
    <row r="26" spans="1:9" x14ac:dyDescent="0.45">
      <c r="A26" t="s">
        <v>427</v>
      </c>
      <c r="B26" t="s">
        <v>104</v>
      </c>
      <c r="C26" t="s">
        <v>103</v>
      </c>
      <c r="D26">
        <v>4</v>
      </c>
      <c r="E26" t="s">
        <v>415</v>
      </c>
      <c r="F26">
        <v>2</v>
      </c>
      <c r="G26" t="s">
        <v>412</v>
      </c>
      <c r="H26">
        <v>4</v>
      </c>
      <c r="I26" t="s">
        <v>415</v>
      </c>
    </row>
    <row r="27" spans="1:9" x14ac:dyDescent="0.45">
      <c r="A27" t="s">
        <v>428</v>
      </c>
      <c r="B27" t="s">
        <v>106</v>
      </c>
      <c r="C27" t="s">
        <v>105</v>
      </c>
      <c r="D27">
        <v>9</v>
      </c>
      <c r="E27" t="s">
        <v>393</v>
      </c>
      <c r="F27">
        <v>4</v>
      </c>
      <c r="G27" t="s">
        <v>394</v>
      </c>
      <c r="H27">
        <v>8</v>
      </c>
      <c r="I27" t="s">
        <v>395</v>
      </c>
    </row>
    <row r="28" spans="1:9" x14ac:dyDescent="0.45">
      <c r="A28" t="s">
        <v>429</v>
      </c>
      <c r="B28" t="s">
        <v>108</v>
      </c>
      <c r="C28" t="s">
        <v>107</v>
      </c>
      <c r="D28">
        <v>1</v>
      </c>
      <c r="E28" t="s">
        <v>403</v>
      </c>
      <c r="F28">
        <v>1</v>
      </c>
      <c r="G28" t="s">
        <v>404</v>
      </c>
      <c r="H28">
        <v>1</v>
      </c>
      <c r="I28" t="s">
        <v>403</v>
      </c>
    </row>
    <row r="29" spans="1:9" x14ac:dyDescent="0.45">
      <c r="A29" t="s">
        <v>430</v>
      </c>
      <c r="B29" t="s">
        <v>110</v>
      </c>
      <c r="C29" t="s">
        <v>109</v>
      </c>
      <c r="D29">
        <v>2</v>
      </c>
      <c r="E29" t="s">
        <v>431</v>
      </c>
      <c r="F29">
        <v>1</v>
      </c>
      <c r="G29" t="s">
        <v>404</v>
      </c>
      <c r="H29">
        <v>2</v>
      </c>
      <c r="I29" t="s">
        <v>431</v>
      </c>
    </row>
    <row r="30" spans="1:9" x14ac:dyDescent="0.45">
      <c r="A30" t="s">
        <v>432</v>
      </c>
      <c r="B30" t="s">
        <v>112</v>
      </c>
      <c r="C30" t="s">
        <v>111</v>
      </c>
      <c r="D30">
        <v>9</v>
      </c>
      <c r="E30" t="s">
        <v>393</v>
      </c>
      <c r="F30">
        <v>4</v>
      </c>
      <c r="G30" t="s">
        <v>394</v>
      </c>
      <c r="H30">
        <v>8</v>
      </c>
      <c r="I30" t="s">
        <v>395</v>
      </c>
    </row>
    <row r="31" spans="1:9" x14ac:dyDescent="0.45">
      <c r="A31" t="s">
        <v>433</v>
      </c>
      <c r="B31" t="s">
        <v>114</v>
      </c>
      <c r="C31" t="s">
        <v>113</v>
      </c>
      <c r="D31">
        <v>2</v>
      </c>
      <c r="E31" t="s">
        <v>431</v>
      </c>
      <c r="F31">
        <v>1</v>
      </c>
      <c r="G31" t="s">
        <v>404</v>
      </c>
      <c r="H31">
        <v>2</v>
      </c>
      <c r="I31" t="s">
        <v>431</v>
      </c>
    </row>
    <row r="32" spans="1:9" x14ac:dyDescent="0.45">
      <c r="A32" t="s">
        <v>434</v>
      </c>
      <c r="B32" t="s">
        <v>116</v>
      </c>
      <c r="C32" t="s">
        <v>115</v>
      </c>
      <c r="D32">
        <v>5</v>
      </c>
      <c r="E32" t="s">
        <v>406</v>
      </c>
      <c r="F32">
        <v>3</v>
      </c>
      <c r="G32" t="s">
        <v>391</v>
      </c>
      <c r="H32">
        <v>5</v>
      </c>
      <c r="I32" t="s">
        <v>406</v>
      </c>
    </row>
    <row r="33" spans="1:9" x14ac:dyDescent="0.45">
      <c r="A33" t="s">
        <v>435</v>
      </c>
      <c r="B33" t="s">
        <v>118</v>
      </c>
      <c r="C33" t="s">
        <v>117</v>
      </c>
      <c r="D33">
        <v>4</v>
      </c>
      <c r="E33" t="s">
        <v>415</v>
      </c>
      <c r="F33">
        <v>2</v>
      </c>
      <c r="G33" t="s">
        <v>412</v>
      </c>
      <c r="H33">
        <v>4</v>
      </c>
      <c r="I33" t="s">
        <v>415</v>
      </c>
    </row>
    <row r="34" spans="1:9" x14ac:dyDescent="0.45">
      <c r="A34" t="s">
        <v>436</v>
      </c>
      <c r="B34" t="s">
        <v>120</v>
      </c>
      <c r="C34" t="s">
        <v>119</v>
      </c>
      <c r="D34">
        <v>3</v>
      </c>
      <c r="E34" t="s">
        <v>411</v>
      </c>
      <c r="F34">
        <v>2</v>
      </c>
      <c r="G34" t="s">
        <v>412</v>
      </c>
      <c r="H34">
        <v>3</v>
      </c>
      <c r="I34" t="s">
        <v>411</v>
      </c>
    </row>
    <row r="35" spans="1:9" x14ac:dyDescent="0.45">
      <c r="A35" t="s">
        <v>437</v>
      </c>
      <c r="B35" t="s">
        <v>122</v>
      </c>
      <c r="C35" t="s">
        <v>121</v>
      </c>
      <c r="D35">
        <v>7</v>
      </c>
      <c r="E35" t="s">
        <v>397</v>
      </c>
      <c r="F35">
        <v>3</v>
      </c>
      <c r="G35" t="s">
        <v>391</v>
      </c>
      <c r="H35">
        <v>7</v>
      </c>
      <c r="I35" t="s">
        <v>397</v>
      </c>
    </row>
    <row r="36" spans="1:9" x14ac:dyDescent="0.45">
      <c r="A36" t="s">
        <v>438</v>
      </c>
      <c r="B36" t="s">
        <v>124</v>
      </c>
      <c r="C36" t="s">
        <v>123</v>
      </c>
      <c r="D36">
        <v>10</v>
      </c>
      <c r="E36" t="s">
        <v>399</v>
      </c>
      <c r="F36">
        <v>4</v>
      </c>
      <c r="G36" t="s">
        <v>394</v>
      </c>
      <c r="H36">
        <v>9</v>
      </c>
      <c r="I36" t="s">
        <v>399</v>
      </c>
    </row>
    <row r="37" spans="1:9" x14ac:dyDescent="0.45">
      <c r="A37" t="s">
        <v>439</v>
      </c>
      <c r="B37" t="s">
        <v>126</v>
      </c>
      <c r="C37" t="s">
        <v>125</v>
      </c>
      <c r="D37">
        <v>2</v>
      </c>
      <c r="E37" t="s">
        <v>431</v>
      </c>
      <c r="F37">
        <v>1</v>
      </c>
      <c r="G37" t="s">
        <v>404</v>
      </c>
      <c r="H37">
        <v>2</v>
      </c>
      <c r="I37" t="s">
        <v>431</v>
      </c>
    </row>
    <row r="38" spans="1:9" x14ac:dyDescent="0.45">
      <c r="A38" t="s">
        <v>440</v>
      </c>
      <c r="B38" t="s">
        <v>128</v>
      </c>
      <c r="C38" t="s">
        <v>127</v>
      </c>
      <c r="D38">
        <v>1</v>
      </c>
      <c r="E38" t="s">
        <v>403</v>
      </c>
      <c r="F38">
        <v>1</v>
      </c>
      <c r="G38" t="s">
        <v>404</v>
      </c>
      <c r="H38">
        <v>1</v>
      </c>
      <c r="I38" t="s">
        <v>403</v>
      </c>
    </row>
    <row r="39" spans="1:9" x14ac:dyDescent="0.45">
      <c r="A39" t="s">
        <v>441</v>
      </c>
      <c r="B39" t="s">
        <v>130</v>
      </c>
      <c r="C39" t="s">
        <v>129</v>
      </c>
      <c r="D39">
        <v>5</v>
      </c>
      <c r="E39" t="s">
        <v>406</v>
      </c>
      <c r="F39">
        <v>3</v>
      </c>
      <c r="G39" t="s">
        <v>391</v>
      </c>
      <c r="H39">
        <v>5</v>
      </c>
      <c r="I39" t="s">
        <v>406</v>
      </c>
    </row>
    <row r="40" spans="1:9" x14ac:dyDescent="0.45">
      <c r="A40" t="s">
        <v>442</v>
      </c>
      <c r="B40" t="s">
        <v>132</v>
      </c>
      <c r="C40" t="s">
        <v>131</v>
      </c>
      <c r="D40">
        <v>4</v>
      </c>
      <c r="E40" t="s">
        <v>415</v>
      </c>
      <c r="F40">
        <v>2</v>
      </c>
      <c r="G40" t="s">
        <v>412</v>
      </c>
      <c r="H40">
        <v>4</v>
      </c>
      <c r="I40" t="s">
        <v>415</v>
      </c>
    </row>
    <row r="41" spans="1:9" x14ac:dyDescent="0.45">
      <c r="A41" t="s">
        <v>443</v>
      </c>
      <c r="B41" t="s">
        <v>134</v>
      </c>
      <c r="C41" t="s">
        <v>133</v>
      </c>
      <c r="D41">
        <v>6</v>
      </c>
      <c r="E41" t="s">
        <v>390</v>
      </c>
      <c r="F41">
        <v>3</v>
      </c>
      <c r="G41" t="s">
        <v>391</v>
      </c>
      <c r="H41">
        <v>6</v>
      </c>
      <c r="I41" t="s">
        <v>390</v>
      </c>
    </row>
    <row r="42" spans="1:9" x14ac:dyDescent="0.45">
      <c r="A42" t="s">
        <v>444</v>
      </c>
      <c r="B42" t="s">
        <v>136</v>
      </c>
      <c r="C42" t="s">
        <v>135</v>
      </c>
      <c r="D42">
        <v>7</v>
      </c>
      <c r="E42" t="s">
        <v>397</v>
      </c>
      <c r="F42">
        <v>3</v>
      </c>
      <c r="G42" t="s">
        <v>391</v>
      </c>
      <c r="H42">
        <v>7</v>
      </c>
      <c r="I42" t="s">
        <v>397</v>
      </c>
    </row>
    <row r="43" spans="1:9" x14ac:dyDescent="0.45">
      <c r="A43" t="s">
        <v>445</v>
      </c>
      <c r="B43" t="s">
        <v>138</v>
      </c>
      <c r="C43" t="s">
        <v>137</v>
      </c>
      <c r="D43">
        <v>8</v>
      </c>
      <c r="E43" t="s">
        <v>401</v>
      </c>
      <c r="F43">
        <v>4</v>
      </c>
      <c r="G43" t="s">
        <v>394</v>
      </c>
      <c r="H43">
        <v>8</v>
      </c>
      <c r="I43" t="s">
        <v>395</v>
      </c>
    </row>
    <row r="44" spans="1:9" x14ac:dyDescent="0.45">
      <c r="A44" t="s">
        <v>446</v>
      </c>
      <c r="B44" t="s">
        <v>140</v>
      </c>
      <c r="C44" t="s">
        <v>139</v>
      </c>
      <c r="D44">
        <v>1</v>
      </c>
      <c r="E44" t="s">
        <v>403</v>
      </c>
      <c r="F44">
        <v>1</v>
      </c>
      <c r="G44" t="s">
        <v>404</v>
      </c>
      <c r="H44">
        <v>1</v>
      </c>
      <c r="I44" t="s">
        <v>403</v>
      </c>
    </row>
    <row r="45" spans="1:9" x14ac:dyDescent="0.45">
      <c r="A45" t="s">
        <v>447</v>
      </c>
      <c r="B45" t="s">
        <v>142</v>
      </c>
      <c r="C45" t="s">
        <v>141</v>
      </c>
      <c r="D45">
        <v>5</v>
      </c>
      <c r="E45" t="s">
        <v>406</v>
      </c>
      <c r="F45">
        <v>3</v>
      </c>
      <c r="G45" t="s">
        <v>391</v>
      </c>
      <c r="H45">
        <v>5</v>
      </c>
      <c r="I45" t="s">
        <v>406</v>
      </c>
    </row>
    <row r="46" spans="1:9" x14ac:dyDescent="0.45">
      <c r="A46" t="s">
        <v>448</v>
      </c>
      <c r="B46" t="s">
        <v>144</v>
      </c>
      <c r="C46" t="s">
        <v>143</v>
      </c>
      <c r="D46">
        <v>10</v>
      </c>
      <c r="E46" t="s">
        <v>399</v>
      </c>
      <c r="F46">
        <v>4</v>
      </c>
      <c r="G46" t="s">
        <v>394</v>
      </c>
      <c r="H46">
        <v>9</v>
      </c>
      <c r="I46" t="s">
        <v>399</v>
      </c>
    </row>
    <row r="47" spans="1:9" x14ac:dyDescent="0.45">
      <c r="A47" t="s">
        <v>449</v>
      </c>
      <c r="B47" t="s">
        <v>146</v>
      </c>
      <c r="C47" t="s">
        <v>145</v>
      </c>
      <c r="D47">
        <v>5</v>
      </c>
      <c r="E47" t="s">
        <v>406</v>
      </c>
      <c r="F47">
        <v>3</v>
      </c>
      <c r="G47" t="s">
        <v>391</v>
      </c>
      <c r="H47">
        <v>5</v>
      </c>
      <c r="I47" t="s">
        <v>406</v>
      </c>
    </row>
    <row r="48" spans="1:9" x14ac:dyDescent="0.45">
      <c r="A48" t="s">
        <v>450</v>
      </c>
      <c r="B48" t="s">
        <v>148</v>
      </c>
      <c r="C48" t="s">
        <v>147</v>
      </c>
      <c r="D48">
        <v>3</v>
      </c>
      <c r="E48" t="s">
        <v>411</v>
      </c>
      <c r="F48">
        <v>2</v>
      </c>
      <c r="G48" t="s">
        <v>412</v>
      </c>
      <c r="H48">
        <v>3</v>
      </c>
      <c r="I48" t="s">
        <v>411</v>
      </c>
    </row>
    <row r="49" spans="1:9" x14ac:dyDescent="0.45">
      <c r="A49" t="s">
        <v>451</v>
      </c>
      <c r="B49" t="s">
        <v>150</v>
      </c>
      <c r="C49" t="s">
        <v>149</v>
      </c>
      <c r="D49">
        <v>8</v>
      </c>
      <c r="E49" t="s">
        <v>401</v>
      </c>
      <c r="F49">
        <v>4</v>
      </c>
      <c r="G49" t="s">
        <v>394</v>
      </c>
      <c r="H49">
        <v>8</v>
      </c>
      <c r="I49" t="s">
        <v>395</v>
      </c>
    </row>
  </sheetData>
  <autoFilter ref="A1:I49" xr:uid="{00000000-0009-0000-0000-000013000000}"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P64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16" x14ac:dyDescent="0.45">
      <c r="A1" t="s">
        <v>452</v>
      </c>
    </row>
    <row r="3" spans="1:16" x14ac:dyDescent="0.45">
      <c r="A3" t="s">
        <v>453</v>
      </c>
      <c r="P3" t="s">
        <v>454</v>
      </c>
    </row>
    <row r="5" spans="1:16" x14ac:dyDescent="0.45">
      <c r="B5" t="s">
        <v>455</v>
      </c>
      <c r="E5" t="s">
        <v>456</v>
      </c>
      <c r="H5" t="s">
        <v>457</v>
      </c>
      <c r="K5" t="s">
        <v>458</v>
      </c>
      <c r="N5" t="s">
        <v>459</v>
      </c>
    </row>
    <row r="6" spans="1:16" x14ac:dyDescent="0.45">
      <c r="A6" t="s">
        <v>460</v>
      </c>
      <c r="B6" t="s">
        <v>461</v>
      </c>
    </row>
    <row r="7" spans="1:16" x14ac:dyDescent="0.45">
      <c r="B7" t="s">
        <v>462</v>
      </c>
      <c r="C7" t="s">
        <v>463</v>
      </c>
      <c r="E7" t="s">
        <v>461</v>
      </c>
      <c r="F7" t="s">
        <v>463</v>
      </c>
      <c r="H7" t="s">
        <v>461</v>
      </c>
      <c r="I7" t="s">
        <v>463</v>
      </c>
      <c r="K7" t="s">
        <v>461</v>
      </c>
      <c r="L7" t="s">
        <v>463</v>
      </c>
      <c r="N7" t="s">
        <v>461</v>
      </c>
      <c r="O7" t="s">
        <v>463</v>
      </c>
    </row>
    <row r="8" spans="1:16" x14ac:dyDescent="0.45">
      <c r="B8" t="s">
        <v>464</v>
      </c>
      <c r="C8" t="s">
        <v>465</v>
      </c>
      <c r="D8" t="s">
        <v>375</v>
      </c>
      <c r="E8" t="s">
        <v>462</v>
      </c>
      <c r="F8" t="s">
        <v>465</v>
      </c>
      <c r="G8" t="s">
        <v>375</v>
      </c>
      <c r="H8" t="s">
        <v>462</v>
      </c>
      <c r="I8" t="s">
        <v>465</v>
      </c>
      <c r="J8" t="s">
        <v>375</v>
      </c>
      <c r="K8" t="s">
        <v>462</v>
      </c>
      <c r="L8" t="s">
        <v>465</v>
      </c>
      <c r="M8" t="s">
        <v>375</v>
      </c>
      <c r="N8" t="s">
        <v>462</v>
      </c>
      <c r="O8" t="s">
        <v>465</v>
      </c>
      <c r="P8" t="s">
        <v>375</v>
      </c>
    </row>
    <row r="9" spans="1:16" x14ac:dyDescent="0.45">
      <c r="B9" t="s">
        <v>466</v>
      </c>
    </row>
    <row r="10" spans="1:16" x14ac:dyDescent="0.45">
      <c r="A10" t="s">
        <v>467</v>
      </c>
      <c r="B10">
        <v>1932886</v>
      </c>
      <c r="C10">
        <v>4444</v>
      </c>
      <c r="D10">
        <v>1937330</v>
      </c>
      <c r="E10">
        <v>3246</v>
      </c>
      <c r="F10">
        <v>123</v>
      </c>
      <c r="G10">
        <v>3369</v>
      </c>
      <c r="H10">
        <v>3572635</v>
      </c>
      <c r="I10">
        <v>12996</v>
      </c>
      <c r="J10">
        <v>3585631</v>
      </c>
      <c r="K10">
        <v>129014</v>
      </c>
      <c r="L10">
        <v>0</v>
      </c>
      <c r="M10">
        <v>129014</v>
      </c>
      <c r="N10">
        <v>5637781</v>
      </c>
      <c r="O10">
        <v>17563</v>
      </c>
      <c r="P10">
        <v>5655344</v>
      </c>
    </row>
    <row r="11" spans="1:16" x14ac:dyDescent="0.45">
      <c r="A11" t="s">
        <v>468</v>
      </c>
      <c r="B11">
        <v>120421</v>
      </c>
      <c r="C11">
        <v>2257</v>
      </c>
      <c r="D11">
        <v>122678</v>
      </c>
      <c r="E11">
        <v>8488</v>
      </c>
      <c r="F11">
        <v>601</v>
      </c>
      <c r="G11">
        <v>9089</v>
      </c>
      <c r="H11">
        <v>514116</v>
      </c>
      <c r="I11">
        <v>11599</v>
      </c>
      <c r="J11">
        <v>525715</v>
      </c>
      <c r="K11">
        <v>25530</v>
      </c>
      <c r="L11">
        <v>10</v>
      </c>
      <c r="M11">
        <v>25540</v>
      </c>
      <c r="N11">
        <v>668555</v>
      </c>
      <c r="O11">
        <v>14467</v>
      </c>
      <c r="P11">
        <v>683022</v>
      </c>
    </row>
    <row r="12" spans="1:16" x14ac:dyDescent="0.45">
      <c r="A12" t="s">
        <v>40</v>
      </c>
      <c r="B12">
        <v>2254643</v>
      </c>
      <c r="C12">
        <v>32888</v>
      </c>
      <c r="D12">
        <v>2287531</v>
      </c>
      <c r="E12">
        <v>5083</v>
      </c>
      <c r="F12">
        <v>17534</v>
      </c>
      <c r="G12">
        <v>22617</v>
      </c>
      <c r="H12">
        <v>4024184</v>
      </c>
      <c r="I12">
        <v>66285</v>
      </c>
      <c r="J12">
        <v>4090469</v>
      </c>
      <c r="K12">
        <v>290639</v>
      </c>
      <c r="L12">
        <v>1375</v>
      </c>
      <c r="M12">
        <v>292014</v>
      </c>
      <c r="N12">
        <v>6574549</v>
      </c>
      <c r="O12">
        <v>118082</v>
      </c>
      <c r="P12">
        <v>6692631</v>
      </c>
    </row>
    <row r="13" spans="1:16" x14ac:dyDescent="0.45">
      <c r="A13" t="s">
        <v>469</v>
      </c>
      <c r="B13">
        <v>892704</v>
      </c>
      <c r="C13">
        <v>19065</v>
      </c>
      <c r="D13">
        <v>911769</v>
      </c>
      <c r="E13">
        <v>4657</v>
      </c>
      <c r="F13">
        <v>6148</v>
      </c>
      <c r="G13">
        <v>10805</v>
      </c>
      <c r="H13">
        <v>2292346</v>
      </c>
      <c r="I13">
        <v>51233</v>
      </c>
      <c r="J13">
        <v>2343579</v>
      </c>
      <c r="K13">
        <v>100497</v>
      </c>
      <c r="L13">
        <v>0</v>
      </c>
      <c r="M13">
        <v>100497</v>
      </c>
      <c r="N13">
        <v>3290204</v>
      </c>
      <c r="O13">
        <v>76446</v>
      </c>
      <c r="P13">
        <v>3366650</v>
      </c>
    </row>
    <row r="14" spans="1:16" x14ac:dyDescent="0.45">
      <c r="A14" t="s">
        <v>470</v>
      </c>
      <c r="B14">
        <v>12737763</v>
      </c>
      <c r="C14">
        <v>241759</v>
      </c>
      <c r="D14">
        <v>12979522</v>
      </c>
      <c r="E14">
        <v>28069</v>
      </c>
      <c r="F14">
        <v>68160</v>
      </c>
      <c r="G14">
        <v>96229</v>
      </c>
      <c r="H14">
        <v>16752902</v>
      </c>
      <c r="I14">
        <v>360861</v>
      </c>
      <c r="J14">
        <v>17113763</v>
      </c>
      <c r="K14">
        <v>737824</v>
      </c>
      <c r="L14">
        <v>13314</v>
      </c>
      <c r="M14">
        <v>751138</v>
      </c>
      <c r="N14">
        <v>30256558</v>
      </c>
      <c r="O14">
        <v>684094</v>
      </c>
      <c r="P14">
        <v>30940652</v>
      </c>
    </row>
    <row r="15" spans="1:16" x14ac:dyDescent="0.45">
      <c r="A15" t="s">
        <v>471</v>
      </c>
      <c r="B15">
        <v>1341494</v>
      </c>
      <c r="C15">
        <v>15032</v>
      </c>
      <c r="D15">
        <v>1356526</v>
      </c>
      <c r="E15">
        <v>4797</v>
      </c>
      <c r="F15">
        <v>7805</v>
      </c>
      <c r="G15">
        <v>12602</v>
      </c>
      <c r="H15">
        <v>3684600</v>
      </c>
      <c r="I15">
        <v>46491</v>
      </c>
      <c r="J15">
        <v>3731091</v>
      </c>
      <c r="K15">
        <v>176484</v>
      </c>
      <c r="L15">
        <v>0</v>
      </c>
      <c r="M15">
        <v>176484</v>
      </c>
      <c r="N15">
        <v>5207375</v>
      </c>
      <c r="O15">
        <v>69328</v>
      </c>
      <c r="P15">
        <v>5276703</v>
      </c>
    </row>
    <row r="16" spans="1:16" x14ac:dyDescent="0.45">
      <c r="A16" t="s">
        <v>472</v>
      </c>
      <c r="B16">
        <v>1028325</v>
      </c>
      <c r="C16">
        <v>474</v>
      </c>
      <c r="D16">
        <v>1028799</v>
      </c>
      <c r="E16">
        <v>9854</v>
      </c>
      <c r="F16">
        <v>35</v>
      </c>
      <c r="G16">
        <v>9889</v>
      </c>
      <c r="H16">
        <v>1684267</v>
      </c>
      <c r="I16">
        <v>4505</v>
      </c>
      <c r="J16">
        <v>1688772</v>
      </c>
      <c r="K16">
        <v>81996</v>
      </c>
      <c r="L16">
        <v>0</v>
      </c>
      <c r="M16">
        <v>81996</v>
      </c>
      <c r="N16">
        <v>2804442</v>
      </c>
      <c r="O16">
        <v>5014</v>
      </c>
      <c r="P16">
        <v>2809456</v>
      </c>
    </row>
    <row r="17" spans="1:16" x14ac:dyDescent="0.45">
      <c r="A17" t="s">
        <v>473</v>
      </c>
      <c r="B17">
        <v>146701</v>
      </c>
      <c r="C17">
        <v>1792</v>
      </c>
      <c r="D17">
        <v>148493</v>
      </c>
      <c r="E17">
        <v>1904</v>
      </c>
      <c r="F17">
        <v>1579</v>
      </c>
      <c r="G17">
        <v>3483</v>
      </c>
      <c r="H17">
        <v>266034</v>
      </c>
      <c r="I17">
        <v>4390</v>
      </c>
      <c r="J17">
        <v>270424</v>
      </c>
      <c r="K17">
        <v>24607</v>
      </c>
      <c r="L17">
        <v>87</v>
      </c>
      <c r="M17">
        <v>24694</v>
      </c>
      <c r="N17">
        <v>439246</v>
      </c>
      <c r="O17">
        <v>7848</v>
      </c>
      <c r="P17">
        <v>447094</v>
      </c>
    </row>
    <row r="18" spans="1:16" x14ac:dyDescent="0.45">
      <c r="A18" t="s">
        <v>474</v>
      </c>
      <c r="B18">
        <v>138559</v>
      </c>
      <c r="C18">
        <v>11917</v>
      </c>
      <c r="D18">
        <v>150476</v>
      </c>
      <c r="E18">
        <v>2453</v>
      </c>
      <c r="F18">
        <v>3034</v>
      </c>
      <c r="G18">
        <v>5487</v>
      </c>
      <c r="H18">
        <v>129193</v>
      </c>
      <c r="I18">
        <v>13869</v>
      </c>
      <c r="J18">
        <v>143062</v>
      </c>
      <c r="K18">
        <v>3267</v>
      </c>
      <c r="L18">
        <v>355</v>
      </c>
      <c r="M18">
        <v>3622</v>
      </c>
      <c r="N18">
        <v>273472</v>
      </c>
      <c r="O18">
        <v>29175</v>
      </c>
      <c r="P18">
        <v>302647</v>
      </c>
    </row>
    <row r="19" spans="1:16" x14ac:dyDescent="0.45">
      <c r="A19" t="s">
        <v>475</v>
      </c>
      <c r="B19">
        <v>7113843</v>
      </c>
      <c r="C19">
        <v>96271</v>
      </c>
      <c r="D19">
        <v>7210114</v>
      </c>
      <c r="E19">
        <v>22196</v>
      </c>
      <c r="F19">
        <v>35272</v>
      </c>
      <c r="G19">
        <v>57468</v>
      </c>
      <c r="H19">
        <v>11617475</v>
      </c>
      <c r="I19">
        <v>176659</v>
      </c>
      <c r="J19">
        <v>11794134</v>
      </c>
      <c r="K19">
        <v>631452</v>
      </c>
      <c r="L19">
        <v>2912</v>
      </c>
      <c r="M19">
        <v>634364</v>
      </c>
      <c r="N19">
        <v>19384966</v>
      </c>
      <c r="O19">
        <v>311114</v>
      </c>
      <c r="P19">
        <v>19696080</v>
      </c>
    </row>
    <row r="20" spans="1:16" x14ac:dyDescent="0.45">
      <c r="A20" t="s">
        <v>476</v>
      </c>
      <c r="B20">
        <v>3154970</v>
      </c>
      <c r="C20">
        <v>51640</v>
      </c>
      <c r="D20">
        <v>3206610</v>
      </c>
      <c r="E20">
        <v>10816</v>
      </c>
      <c r="F20">
        <v>28565</v>
      </c>
      <c r="G20">
        <v>39381</v>
      </c>
      <c r="H20">
        <v>5738067</v>
      </c>
      <c r="I20">
        <v>104056</v>
      </c>
      <c r="J20">
        <v>5842123</v>
      </c>
      <c r="K20">
        <v>221253</v>
      </c>
      <c r="L20">
        <v>41</v>
      </c>
      <c r="M20">
        <v>221294</v>
      </c>
      <c r="N20">
        <v>9125106</v>
      </c>
      <c r="O20">
        <v>184302</v>
      </c>
      <c r="P20">
        <v>9309408</v>
      </c>
    </row>
    <row r="21" spans="1:16" x14ac:dyDescent="0.45">
      <c r="A21" t="s">
        <v>477</v>
      </c>
      <c r="B21">
        <v>415330</v>
      </c>
      <c r="C21">
        <v>6962</v>
      </c>
      <c r="D21">
        <v>422292</v>
      </c>
      <c r="E21">
        <v>1054</v>
      </c>
      <c r="F21">
        <v>741</v>
      </c>
      <c r="G21">
        <v>1795</v>
      </c>
      <c r="H21">
        <v>804155</v>
      </c>
      <c r="I21">
        <v>17356</v>
      </c>
      <c r="J21">
        <v>821511</v>
      </c>
      <c r="K21">
        <v>24181</v>
      </c>
      <c r="L21">
        <v>374</v>
      </c>
      <c r="M21">
        <v>24555</v>
      </c>
      <c r="N21">
        <v>1244720</v>
      </c>
      <c r="O21">
        <v>25433</v>
      </c>
      <c r="P21">
        <v>1270153</v>
      </c>
    </row>
    <row r="22" spans="1:16" x14ac:dyDescent="0.45">
      <c r="A22" t="s">
        <v>65</v>
      </c>
      <c r="B22">
        <v>504204</v>
      </c>
      <c r="C22">
        <v>6312</v>
      </c>
      <c r="D22">
        <v>510516</v>
      </c>
      <c r="E22">
        <v>1567</v>
      </c>
      <c r="F22">
        <v>2515</v>
      </c>
      <c r="G22">
        <v>4082</v>
      </c>
      <c r="H22">
        <v>1419807</v>
      </c>
      <c r="I22">
        <v>20749</v>
      </c>
      <c r="J22">
        <v>1440556</v>
      </c>
      <c r="K22">
        <v>74815</v>
      </c>
      <c r="L22">
        <v>100</v>
      </c>
      <c r="M22">
        <v>74915</v>
      </c>
      <c r="N22">
        <v>2000393</v>
      </c>
      <c r="O22">
        <v>29676</v>
      </c>
      <c r="P22">
        <v>2030069</v>
      </c>
    </row>
    <row r="23" spans="1:16" x14ac:dyDescent="0.45">
      <c r="A23" t="s">
        <v>478</v>
      </c>
      <c r="B23">
        <v>3443638</v>
      </c>
      <c r="C23">
        <v>70600</v>
      </c>
      <c r="D23">
        <v>3514238</v>
      </c>
      <c r="E23">
        <v>35404</v>
      </c>
      <c r="F23">
        <v>3779</v>
      </c>
      <c r="G23">
        <v>39183</v>
      </c>
      <c r="H23">
        <v>6580751</v>
      </c>
      <c r="I23">
        <v>146582</v>
      </c>
      <c r="J23">
        <v>6727333</v>
      </c>
      <c r="K23">
        <v>264596</v>
      </c>
      <c r="L23">
        <v>677</v>
      </c>
      <c r="M23">
        <v>265273</v>
      </c>
      <c r="N23">
        <v>10324389</v>
      </c>
      <c r="O23">
        <v>221638</v>
      </c>
      <c r="P23">
        <v>10546027</v>
      </c>
    </row>
    <row r="24" spans="1:16" x14ac:dyDescent="0.45">
      <c r="A24" t="s">
        <v>479</v>
      </c>
      <c r="B24">
        <v>1752726</v>
      </c>
      <c r="C24">
        <v>38382</v>
      </c>
      <c r="D24">
        <v>1791108</v>
      </c>
      <c r="E24">
        <v>10464</v>
      </c>
      <c r="F24">
        <v>21897</v>
      </c>
      <c r="G24">
        <v>32361</v>
      </c>
      <c r="H24">
        <v>3981452</v>
      </c>
      <c r="I24">
        <v>91939</v>
      </c>
      <c r="J24">
        <v>4073391</v>
      </c>
      <c r="K24">
        <v>203508</v>
      </c>
      <c r="L24">
        <v>363</v>
      </c>
      <c r="M24">
        <v>203871</v>
      </c>
      <c r="N24">
        <v>5948150</v>
      </c>
      <c r="O24">
        <v>152581</v>
      </c>
      <c r="P24">
        <v>6100731</v>
      </c>
    </row>
    <row r="25" spans="1:16" x14ac:dyDescent="0.45">
      <c r="A25" t="s">
        <v>480</v>
      </c>
      <c r="B25">
        <v>998101</v>
      </c>
      <c r="C25">
        <v>8893</v>
      </c>
      <c r="D25">
        <v>1006994</v>
      </c>
      <c r="E25">
        <v>3843</v>
      </c>
      <c r="F25">
        <v>5324</v>
      </c>
      <c r="G25">
        <v>9167</v>
      </c>
      <c r="H25">
        <v>2621876</v>
      </c>
      <c r="I25">
        <v>25446</v>
      </c>
      <c r="J25">
        <v>2647322</v>
      </c>
      <c r="K25">
        <v>192834</v>
      </c>
      <c r="L25">
        <v>330</v>
      </c>
      <c r="M25">
        <v>193164</v>
      </c>
      <c r="N25">
        <v>3816654</v>
      </c>
      <c r="O25">
        <v>39993</v>
      </c>
      <c r="P25">
        <v>3856647</v>
      </c>
    </row>
    <row r="26" spans="1:16" x14ac:dyDescent="0.45">
      <c r="A26" t="s">
        <v>75</v>
      </c>
      <c r="B26">
        <v>592793</v>
      </c>
      <c r="C26">
        <v>1993</v>
      </c>
      <c r="D26">
        <v>594786</v>
      </c>
      <c r="E26">
        <v>1272</v>
      </c>
      <c r="F26">
        <v>162</v>
      </c>
      <c r="G26">
        <v>1434</v>
      </c>
      <c r="H26">
        <v>1309881</v>
      </c>
      <c r="I26">
        <v>6989</v>
      </c>
      <c r="J26">
        <v>1316870</v>
      </c>
      <c r="K26">
        <v>94483</v>
      </c>
      <c r="L26">
        <v>13</v>
      </c>
      <c r="M26">
        <v>94496</v>
      </c>
      <c r="N26">
        <v>1998429</v>
      </c>
      <c r="O26">
        <v>9157</v>
      </c>
      <c r="P26">
        <v>2007586</v>
      </c>
    </row>
    <row r="27" spans="1:16" x14ac:dyDescent="0.45">
      <c r="A27" t="s">
        <v>78</v>
      </c>
      <c r="B27">
        <v>1431848</v>
      </c>
      <c r="C27">
        <v>26811</v>
      </c>
      <c r="D27">
        <v>1458659</v>
      </c>
      <c r="E27">
        <v>151</v>
      </c>
      <c r="F27">
        <v>15277</v>
      </c>
      <c r="G27">
        <v>15428</v>
      </c>
      <c r="H27">
        <v>2914155</v>
      </c>
      <c r="I27">
        <v>57410</v>
      </c>
      <c r="J27">
        <v>2971565</v>
      </c>
      <c r="K27">
        <v>115807</v>
      </c>
      <c r="L27">
        <v>80</v>
      </c>
      <c r="M27">
        <v>115887</v>
      </c>
      <c r="N27">
        <v>4461961</v>
      </c>
      <c r="O27">
        <v>99578</v>
      </c>
      <c r="P27">
        <v>4561539</v>
      </c>
    </row>
    <row r="28" spans="1:16" x14ac:dyDescent="0.45">
      <c r="A28" t="s">
        <v>81</v>
      </c>
      <c r="B28">
        <v>1337616</v>
      </c>
      <c r="C28">
        <v>32947</v>
      </c>
      <c r="D28">
        <v>1370563</v>
      </c>
      <c r="E28">
        <v>24228</v>
      </c>
      <c r="F28">
        <v>9401</v>
      </c>
      <c r="G28">
        <v>33629</v>
      </c>
      <c r="H28">
        <v>2969301</v>
      </c>
      <c r="I28">
        <v>77439</v>
      </c>
      <c r="J28">
        <v>3046740</v>
      </c>
      <c r="K28">
        <v>104991</v>
      </c>
      <c r="L28">
        <v>513</v>
      </c>
      <c r="M28">
        <v>105504</v>
      </c>
      <c r="N28">
        <v>4436136</v>
      </c>
      <c r="O28">
        <v>120300</v>
      </c>
      <c r="P28">
        <v>4556436</v>
      </c>
    </row>
    <row r="29" spans="1:16" x14ac:dyDescent="0.45">
      <c r="A29" t="s">
        <v>481</v>
      </c>
      <c r="B29">
        <v>305020</v>
      </c>
      <c r="C29">
        <v>7453</v>
      </c>
      <c r="D29">
        <v>312473</v>
      </c>
      <c r="E29">
        <v>1184</v>
      </c>
      <c r="F29">
        <v>464</v>
      </c>
      <c r="G29">
        <v>1648</v>
      </c>
      <c r="H29">
        <v>823735</v>
      </c>
      <c r="I29">
        <v>21426</v>
      </c>
      <c r="J29">
        <v>845161</v>
      </c>
      <c r="K29">
        <v>47656</v>
      </c>
      <c r="L29">
        <v>29</v>
      </c>
      <c r="M29">
        <v>47685</v>
      </c>
      <c r="N29">
        <v>1177595</v>
      </c>
      <c r="O29">
        <v>29372</v>
      </c>
      <c r="P29">
        <v>1206967</v>
      </c>
    </row>
    <row r="30" spans="1:16" x14ac:dyDescent="0.45">
      <c r="A30" t="s">
        <v>86</v>
      </c>
      <c r="B30">
        <v>1882459</v>
      </c>
      <c r="C30">
        <v>25993</v>
      </c>
      <c r="D30">
        <v>1908452</v>
      </c>
      <c r="E30">
        <v>6965</v>
      </c>
      <c r="F30">
        <v>8942</v>
      </c>
      <c r="G30">
        <v>15907</v>
      </c>
      <c r="H30">
        <v>2893645</v>
      </c>
      <c r="I30">
        <v>48495</v>
      </c>
      <c r="J30">
        <v>2942140</v>
      </c>
      <c r="K30">
        <v>99009</v>
      </c>
      <c r="L30">
        <v>97</v>
      </c>
      <c r="M30">
        <v>99106</v>
      </c>
      <c r="N30">
        <v>4882078</v>
      </c>
      <c r="O30">
        <v>83527</v>
      </c>
      <c r="P30">
        <v>4965605</v>
      </c>
    </row>
    <row r="31" spans="1:16" x14ac:dyDescent="0.45">
      <c r="A31" t="s">
        <v>482</v>
      </c>
      <c r="B31">
        <v>1690199</v>
      </c>
      <c r="C31">
        <v>16515</v>
      </c>
      <c r="D31">
        <v>1706714</v>
      </c>
      <c r="E31">
        <v>10865</v>
      </c>
      <c r="F31">
        <v>3038</v>
      </c>
      <c r="G31">
        <v>13903</v>
      </c>
      <c r="H31">
        <v>3194932</v>
      </c>
      <c r="I31">
        <v>37430</v>
      </c>
      <c r="J31">
        <v>3232362</v>
      </c>
      <c r="K31">
        <v>140949</v>
      </c>
      <c r="L31">
        <v>761</v>
      </c>
      <c r="M31">
        <v>141710</v>
      </c>
      <c r="N31">
        <v>5036945</v>
      </c>
      <c r="O31">
        <v>57744</v>
      </c>
      <c r="P31">
        <v>5094689</v>
      </c>
    </row>
    <row r="32" spans="1:16" x14ac:dyDescent="0.45">
      <c r="A32" t="s">
        <v>483</v>
      </c>
      <c r="B32">
        <v>2493266</v>
      </c>
      <c r="C32">
        <v>970</v>
      </c>
      <c r="D32">
        <v>2494236</v>
      </c>
      <c r="E32">
        <v>2182</v>
      </c>
      <c r="F32">
        <v>74</v>
      </c>
      <c r="G32">
        <v>2256</v>
      </c>
      <c r="H32">
        <v>6850142</v>
      </c>
      <c r="I32">
        <v>10702</v>
      </c>
      <c r="J32">
        <v>6860844</v>
      </c>
      <c r="K32">
        <v>249465</v>
      </c>
      <c r="L32">
        <v>0</v>
      </c>
      <c r="M32">
        <v>249465</v>
      </c>
      <c r="N32">
        <v>9595055</v>
      </c>
      <c r="O32">
        <v>11746</v>
      </c>
      <c r="P32">
        <v>9606801</v>
      </c>
    </row>
    <row r="33" spans="1:16" x14ac:dyDescent="0.45">
      <c r="A33" t="s">
        <v>484</v>
      </c>
      <c r="B33">
        <v>1592071</v>
      </c>
      <c r="C33">
        <v>16971</v>
      </c>
      <c r="D33">
        <v>1609042</v>
      </c>
      <c r="E33">
        <v>14159</v>
      </c>
      <c r="F33">
        <v>26</v>
      </c>
      <c r="G33">
        <v>14185</v>
      </c>
      <c r="H33">
        <v>4040621</v>
      </c>
      <c r="I33">
        <v>47020</v>
      </c>
      <c r="J33">
        <v>4087641</v>
      </c>
      <c r="K33">
        <v>226544</v>
      </c>
      <c r="L33">
        <v>0</v>
      </c>
      <c r="M33">
        <v>226544</v>
      </c>
      <c r="N33">
        <v>5873395</v>
      </c>
      <c r="O33">
        <v>64017</v>
      </c>
      <c r="P33">
        <v>5937412</v>
      </c>
    </row>
    <row r="34" spans="1:16" x14ac:dyDescent="0.45">
      <c r="A34" t="s">
        <v>485</v>
      </c>
      <c r="B34">
        <v>754721</v>
      </c>
      <c r="C34">
        <v>2220</v>
      </c>
      <c r="D34">
        <v>756941</v>
      </c>
      <c r="E34">
        <v>2006</v>
      </c>
      <c r="F34">
        <v>6499</v>
      </c>
      <c r="G34">
        <v>8505</v>
      </c>
      <c r="H34">
        <v>1411201</v>
      </c>
      <c r="I34">
        <v>7181</v>
      </c>
      <c r="J34">
        <v>1418382</v>
      </c>
      <c r="K34">
        <v>30421</v>
      </c>
      <c r="L34">
        <v>0</v>
      </c>
      <c r="M34">
        <v>30421</v>
      </c>
      <c r="N34">
        <v>2198349</v>
      </c>
      <c r="O34">
        <v>15900</v>
      </c>
      <c r="P34">
        <v>2214249</v>
      </c>
    </row>
    <row r="35" spans="1:16" x14ac:dyDescent="0.45">
      <c r="A35" t="s">
        <v>486</v>
      </c>
      <c r="B35">
        <v>1644583</v>
      </c>
      <c r="C35">
        <v>1131</v>
      </c>
      <c r="D35">
        <v>1645714</v>
      </c>
      <c r="E35">
        <v>22786</v>
      </c>
      <c r="F35">
        <v>119</v>
      </c>
      <c r="G35">
        <v>22905</v>
      </c>
      <c r="H35">
        <v>3611893</v>
      </c>
      <c r="I35">
        <v>8106</v>
      </c>
      <c r="J35">
        <v>3619999</v>
      </c>
      <c r="K35">
        <v>133801</v>
      </c>
      <c r="L35">
        <v>0</v>
      </c>
      <c r="M35">
        <v>133801</v>
      </c>
      <c r="N35">
        <v>5413063</v>
      </c>
      <c r="O35">
        <v>9356</v>
      </c>
      <c r="P35">
        <v>5422419</v>
      </c>
    </row>
    <row r="36" spans="1:16" x14ac:dyDescent="0.45">
      <c r="A36" t="s">
        <v>487</v>
      </c>
      <c r="B36">
        <v>524624</v>
      </c>
      <c r="C36">
        <v>602</v>
      </c>
      <c r="D36">
        <v>525226</v>
      </c>
      <c r="E36">
        <v>5409</v>
      </c>
      <c r="F36">
        <v>220</v>
      </c>
      <c r="G36">
        <v>5629</v>
      </c>
      <c r="H36">
        <v>1490120</v>
      </c>
      <c r="I36">
        <v>4351</v>
      </c>
      <c r="J36">
        <v>1494471</v>
      </c>
      <c r="K36">
        <v>447935</v>
      </c>
      <c r="L36">
        <v>8</v>
      </c>
      <c r="M36">
        <v>447943</v>
      </c>
      <c r="N36">
        <v>2468088</v>
      </c>
      <c r="O36">
        <v>5181</v>
      </c>
      <c r="P36">
        <v>2473269</v>
      </c>
    </row>
    <row r="37" spans="1:16" x14ac:dyDescent="0.45">
      <c r="A37" t="s">
        <v>103</v>
      </c>
      <c r="B37">
        <v>551466</v>
      </c>
      <c r="C37">
        <v>9645</v>
      </c>
      <c r="D37">
        <v>561111</v>
      </c>
      <c r="E37">
        <v>3632</v>
      </c>
      <c r="F37">
        <v>5374</v>
      </c>
      <c r="G37">
        <v>9006</v>
      </c>
      <c r="H37">
        <v>1343041</v>
      </c>
      <c r="I37">
        <v>25261</v>
      </c>
      <c r="J37">
        <v>1368302</v>
      </c>
      <c r="K37">
        <v>50655</v>
      </c>
      <c r="L37">
        <v>98</v>
      </c>
      <c r="M37">
        <v>50753</v>
      </c>
      <c r="N37">
        <v>1948794</v>
      </c>
      <c r="O37">
        <v>40378</v>
      </c>
      <c r="P37">
        <v>1989172</v>
      </c>
    </row>
    <row r="38" spans="1:16" x14ac:dyDescent="0.45">
      <c r="A38" t="s">
        <v>488</v>
      </c>
      <c r="B38">
        <v>832098</v>
      </c>
      <c r="C38">
        <v>11001</v>
      </c>
      <c r="D38">
        <v>843099</v>
      </c>
      <c r="E38">
        <v>1167</v>
      </c>
      <c r="F38">
        <v>6714</v>
      </c>
      <c r="G38">
        <v>7881</v>
      </c>
      <c r="H38">
        <v>1427942</v>
      </c>
      <c r="I38">
        <v>22292</v>
      </c>
      <c r="J38">
        <v>1450234</v>
      </c>
      <c r="K38">
        <v>85715</v>
      </c>
      <c r="L38">
        <v>1987</v>
      </c>
      <c r="M38">
        <v>87702</v>
      </c>
      <c r="N38">
        <v>2346922</v>
      </c>
      <c r="O38">
        <v>41994</v>
      </c>
      <c r="P38">
        <v>2388916</v>
      </c>
    </row>
    <row r="39" spans="1:16" x14ac:dyDescent="0.45">
      <c r="A39" t="s">
        <v>107</v>
      </c>
      <c r="B39">
        <v>387846</v>
      </c>
      <c r="C39">
        <v>3218</v>
      </c>
      <c r="D39">
        <v>391064</v>
      </c>
      <c r="E39">
        <v>1729</v>
      </c>
      <c r="F39">
        <v>718</v>
      </c>
      <c r="G39">
        <v>2447</v>
      </c>
      <c r="H39">
        <v>902330</v>
      </c>
      <c r="I39">
        <v>8561</v>
      </c>
      <c r="J39">
        <v>910891</v>
      </c>
      <c r="K39">
        <v>86178</v>
      </c>
      <c r="L39">
        <v>30</v>
      </c>
      <c r="M39">
        <v>86208</v>
      </c>
      <c r="N39">
        <v>1378083</v>
      </c>
      <c r="O39">
        <v>12527</v>
      </c>
      <c r="P39">
        <v>1390610</v>
      </c>
    </row>
    <row r="40" spans="1:16" x14ac:dyDescent="0.45">
      <c r="A40" t="s">
        <v>489</v>
      </c>
      <c r="B40">
        <v>2251730</v>
      </c>
      <c r="C40">
        <v>23325</v>
      </c>
      <c r="D40">
        <v>2275055</v>
      </c>
      <c r="E40">
        <v>22486</v>
      </c>
      <c r="F40">
        <v>2731</v>
      </c>
      <c r="G40">
        <v>25217</v>
      </c>
      <c r="H40">
        <v>3762020</v>
      </c>
      <c r="I40">
        <v>47802</v>
      </c>
      <c r="J40">
        <v>3809822</v>
      </c>
      <c r="K40">
        <v>146003</v>
      </c>
      <c r="L40">
        <v>0</v>
      </c>
      <c r="M40">
        <v>146003</v>
      </c>
      <c r="N40">
        <v>6182239</v>
      </c>
      <c r="O40">
        <v>73858</v>
      </c>
      <c r="P40">
        <v>6256097</v>
      </c>
    </row>
    <row r="41" spans="1:16" x14ac:dyDescent="0.45">
      <c r="A41" t="s">
        <v>111</v>
      </c>
      <c r="B41">
        <v>571192</v>
      </c>
      <c r="C41">
        <v>18842</v>
      </c>
      <c r="D41">
        <v>590034</v>
      </c>
      <c r="E41">
        <v>2161</v>
      </c>
      <c r="F41">
        <v>4852</v>
      </c>
      <c r="G41">
        <v>7013</v>
      </c>
      <c r="H41">
        <v>1230750</v>
      </c>
      <c r="I41">
        <v>46059</v>
      </c>
      <c r="J41">
        <v>1276809</v>
      </c>
      <c r="K41">
        <v>56104</v>
      </c>
      <c r="L41">
        <v>393</v>
      </c>
      <c r="M41">
        <v>56497</v>
      </c>
      <c r="N41">
        <v>1860207</v>
      </c>
      <c r="O41">
        <v>70146</v>
      </c>
      <c r="P41">
        <v>1930353</v>
      </c>
    </row>
    <row r="42" spans="1:16" x14ac:dyDescent="0.45">
      <c r="A42" t="s">
        <v>490</v>
      </c>
      <c r="B42">
        <v>6452828</v>
      </c>
      <c r="C42">
        <v>21231</v>
      </c>
      <c r="D42">
        <v>6474059</v>
      </c>
      <c r="E42">
        <v>184779</v>
      </c>
      <c r="F42">
        <v>10896</v>
      </c>
      <c r="G42">
        <v>195675</v>
      </c>
      <c r="H42">
        <v>13469243</v>
      </c>
      <c r="I42">
        <v>57301</v>
      </c>
      <c r="J42">
        <v>13526544</v>
      </c>
      <c r="K42">
        <v>794796</v>
      </c>
      <c r="L42">
        <v>24</v>
      </c>
      <c r="M42">
        <v>794820</v>
      </c>
      <c r="N42">
        <v>20901646</v>
      </c>
      <c r="O42">
        <v>89452</v>
      </c>
      <c r="P42">
        <v>20991098</v>
      </c>
    </row>
    <row r="43" spans="1:16" x14ac:dyDescent="0.45">
      <c r="A43" t="s">
        <v>115</v>
      </c>
      <c r="B43">
        <v>2963141</v>
      </c>
      <c r="C43">
        <v>42508</v>
      </c>
      <c r="D43">
        <v>3005649</v>
      </c>
      <c r="E43">
        <v>9859</v>
      </c>
      <c r="F43">
        <v>22624</v>
      </c>
      <c r="G43">
        <v>32483</v>
      </c>
      <c r="H43">
        <v>5546131</v>
      </c>
      <c r="I43">
        <v>88423</v>
      </c>
      <c r="J43">
        <v>5634554</v>
      </c>
      <c r="K43">
        <v>189380</v>
      </c>
      <c r="L43">
        <v>354</v>
      </c>
      <c r="M43">
        <v>189734</v>
      </c>
      <c r="N43">
        <v>8708511</v>
      </c>
      <c r="O43">
        <v>153909</v>
      </c>
      <c r="P43">
        <v>8862420</v>
      </c>
    </row>
    <row r="44" spans="1:16" x14ac:dyDescent="0.45">
      <c r="A44" t="s">
        <v>117</v>
      </c>
      <c r="B44">
        <v>211559</v>
      </c>
      <c r="C44">
        <v>3730</v>
      </c>
      <c r="D44">
        <v>215289</v>
      </c>
      <c r="E44">
        <v>1142</v>
      </c>
      <c r="F44">
        <v>2466</v>
      </c>
      <c r="G44">
        <v>3608</v>
      </c>
      <c r="H44">
        <v>798031</v>
      </c>
      <c r="I44">
        <v>15596</v>
      </c>
      <c r="J44">
        <v>813627</v>
      </c>
      <c r="K44">
        <v>44145</v>
      </c>
      <c r="L44">
        <v>21</v>
      </c>
      <c r="M44">
        <v>44166</v>
      </c>
      <c r="N44">
        <v>1054877</v>
      </c>
      <c r="O44">
        <v>21813</v>
      </c>
      <c r="P44">
        <v>1076690</v>
      </c>
    </row>
    <row r="45" spans="1:16" x14ac:dyDescent="0.45">
      <c r="A45" t="s">
        <v>119</v>
      </c>
      <c r="B45">
        <v>3767531</v>
      </c>
      <c r="C45">
        <v>38083</v>
      </c>
      <c r="D45">
        <v>3805614</v>
      </c>
      <c r="E45">
        <v>27986</v>
      </c>
      <c r="F45">
        <v>7265</v>
      </c>
      <c r="G45">
        <v>35251</v>
      </c>
      <c r="H45">
        <v>7022748</v>
      </c>
      <c r="I45">
        <v>80678</v>
      </c>
      <c r="J45">
        <v>7103426</v>
      </c>
      <c r="K45">
        <v>422378</v>
      </c>
      <c r="L45">
        <v>26</v>
      </c>
      <c r="M45">
        <v>422404</v>
      </c>
      <c r="N45">
        <v>11240643</v>
      </c>
      <c r="O45">
        <v>126052</v>
      </c>
      <c r="P45">
        <v>11366695</v>
      </c>
    </row>
    <row r="46" spans="1:16" x14ac:dyDescent="0.45">
      <c r="A46" t="s">
        <v>121</v>
      </c>
      <c r="B46">
        <v>1055607</v>
      </c>
      <c r="C46">
        <v>5507</v>
      </c>
      <c r="D46">
        <v>1061114</v>
      </c>
      <c r="E46">
        <v>1535</v>
      </c>
      <c r="F46">
        <v>518</v>
      </c>
      <c r="G46">
        <v>2053</v>
      </c>
      <c r="H46">
        <v>2488103</v>
      </c>
      <c r="I46">
        <v>17060</v>
      </c>
      <c r="J46">
        <v>2505163</v>
      </c>
      <c r="K46">
        <v>139357</v>
      </c>
      <c r="L46">
        <v>30</v>
      </c>
      <c r="M46">
        <v>139387</v>
      </c>
      <c r="N46">
        <v>3684602</v>
      </c>
      <c r="O46">
        <v>23115</v>
      </c>
      <c r="P46">
        <v>3707717</v>
      </c>
    </row>
    <row r="47" spans="1:16" x14ac:dyDescent="0.45">
      <c r="A47" t="s">
        <v>491</v>
      </c>
      <c r="B47">
        <v>1291044</v>
      </c>
      <c r="C47">
        <v>17941</v>
      </c>
      <c r="D47">
        <v>1308985</v>
      </c>
      <c r="E47">
        <v>9697</v>
      </c>
      <c r="F47">
        <v>8486</v>
      </c>
      <c r="G47">
        <v>18183</v>
      </c>
      <c r="H47">
        <v>2741416</v>
      </c>
      <c r="I47">
        <v>42837</v>
      </c>
      <c r="J47">
        <v>2784253</v>
      </c>
      <c r="K47">
        <v>142492</v>
      </c>
      <c r="L47">
        <v>575</v>
      </c>
      <c r="M47">
        <v>143067</v>
      </c>
      <c r="N47">
        <v>4184649</v>
      </c>
      <c r="O47">
        <v>69839</v>
      </c>
      <c r="P47">
        <v>4254488</v>
      </c>
    </row>
    <row r="48" spans="1:16" x14ac:dyDescent="0.45">
      <c r="A48" t="s">
        <v>125</v>
      </c>
      <c r="B48">
        <v>3331835</v>
      </c>
      <c r="C48">
        <v>39746</v>
      </c>
      <c r="D48">
        <v>3371581</v>
      </c>
      <c r="E48">
        <v>50979</v>
      </c>
      <c r="F48">
        <v>2810</v>
      </c>
      <c r="G48">
        <v>53789</v>
      </c>
      <c r="H48">
        <v>6753528</v>
      </c>
      <c r="I48">
        <v>91146</v>
      </c>
      <c r="J48">
        <v>6844674</v>
      </c>
      <c r="K48">
        <v>341336</v>
      </c>
      <c r="L48">
        <v>778</v>
      </c>
      <c r="M48">
        <v>342114</v>
      </c>
      <c r="N48">
        <v>10477678</v>
      </c>
      <c r="O48">
        <v>134480</v>
      </c>
      <c r="P48">
        <v>10612158</v>
      </c>
    </row>
    <row r="49" spans="1:16" x14ac:dyDescent="0.45">
      <c r="A49" t="s">
        <v>492</v>
      </c>
      <c r="B49">
        <v>304190</v>
      </c>
      <c r="C49">
        <v>4509</v>
      </c>
      <c r="D49">
        <v>308699</v>
      </c>
      <c r="E49">
        <v>1824</v>
      </c>
      <c r="F49">
        <v>373</v>
      </c>
      <c r="G49">
        <v>2197</v>
      </c>
      <c r="H49">
        <v>494038</v>
      </c>
      <c r="I49">
        <v>8557</v>
      </c>
      <c r="J49">
        <v>502595</v>
      </c>
      <c r="K49">
        <v>25276</v>
      </c>
      <c r="L49">
        <v>99</v>
      </c>
      <c r="M49">
        <v>25375</v>
      </c>
      <c r="N49">
        <v>825328</v>
      </c>
      <c r="O49">
        <v>13538</v>
      </c>
      <c r="P49">
        <v>838866</v>
      </c>
    </row>
    <row r="50" spans="1:16" x14ac:dyDescent="0.45">
      <c r="A50" t="s">
        <v>129</v>
      </c>
      <c r="B50">
        <v>1659552</v>
      </c>
      <c r="C50">
        <v>60826</v>
      </c>
      <c r="D50">
        <v>1720378</v>
      </c>
      <c r="E50">
        <v>4735</v>
      </c>
      <c r="F50">
        <v>9638</v>
      </c>
      <c r="G50">
        <v>14373</v>
      </c>
      <c r="H50">
        <v>3086803</v>
      </c>
      <c r="I50">
        <v>118071</v>
      </c>
      <c r="J50">
        <v>3204874</v>
      </c>
      <c r="K50">
        <v>125073</v>
      </c>
      <c r="L50">
        <v>453</v>
      </c>
      <c r="M50">
        <v>125526</v>
      </c>
      <c r="N50">
        <v>4876163</v>
      </c>
      <c r="O50">
        <v>188988</v>
      </c>
      <c r="P50">
        <v>5065151</v>
      </c>
    </row>
    <row r="51" spans="1:16" x14ac:dyDescent="0.45">
      <c r="A51" t="s">
        <v>493</v>
      </c>
      <c r="B51">
        <v>275993</v>
      </c>
      <c r="C51">
        <v>6496</v>
      </c>
      <c r="D51">
        <v>282489</v>
      </c>
      <c r="E51">
        <v>1354</v>
      </c>
      <c r="F51">
        <v>21750</v>
      </c>
      <c r="G51">
        <v>23104</v>
      </c>
      <c r="H51">
        <v>931133</v>
      </c>
      <c r="I51">
        <v>22943</v>
      </c>
      <c r="J51">
        <v>954076</v>
      </c>
      <c r="K51">
        <v>146142</v>
      </c>
      <c r="L51">
        <v>1112</v>
      </c>
      <c r="M51">
        <v>147254</v>
      </c>
      <c r="N51">
        <v>1354622</v>
      </c>
      <c r="O51">
        <v>52301</v>
      </c>
      <c r="P51">
        <v>1406923</v>
      </c>
    </row>
    <row r="52" spans="1:16" x14ac:dyDescent="0.45">
      <c r="A52" t="s">
        <v>494</v>
      </c>
      <c r="B52">
        <v>2211560</v>
      </c>
      <c r="C52">
        <v>41468</v>
      </c>
      <c r="D52">
        <v>2253028</v>
      </c>
      <c r="E52">
        <v>13967</v>
      </c>
      <c r="F52">
        <v>7897</v>
      </c>
      <c r="G52">
        <v>21864</v>
      </c>
      <c r="H52">
        <v>4604748</v>
      </c>
      <c r="I52">
        <v>91648</v>
      </c>
      <c r="J52">
        <v>4696396</v>
      </c>
      <c r="K52">
        <v>203210</v>
      </c>
      <c r="L52">
        <v>1143</v>
      </c>
      <c r="M52">
        <v>204353</v>
      </c>
      <c r="N52">
        <v>7033485</v>
      </c>
      <c r="O52">
        <v>142156</v>
      </c>
      <c r="P52">
        <v>7175641</v>
      </c>
    </row>
    <row r="53" spans="1:16" x14ac:dyDescent="0.45">
      <c r="A53" t="s">
        <v>495</v>
      </c>
      <c r="B53">
        <v>7184055</v>
      </c>
      <c r="C53">
        <v>97558</v>
      </c>
      <c r="D53">
        <v>7281613</v>
      </c>
      <c r="E53">
        <v>15549</v>
      </c>
      <c r="F53">
        <v>49536</v>
      </c>
      <c r="G53">
        <v>65085</v>
      </c>
      <c r="H53">
        <v>15701836</v>
      </c>
      <c r="I53">
        <v>231681</v>
      </c>
      <c r="J53">
        <v>15933517</v>
      </c>
      <c r="K53">
        <v>324381</v>
      </c>
      <c r="L53">
        <v>1805</v>
      </c>
      <c r="M53">
        <v>326186</v>
      </c>
      <c r="N53">
        <v>23225821</v>
      </c>
      <c r="O53">
        <v>380580</v>
      </c>
      <c r="P53">
        <v>23606401</v>
      </c>
    </row>
    <row r="54" spans="1:16" x14ac:dyDescent="0.45">
      <c r="A54" t="s">
        <v>137</v>
      </c>
      <c r="B54">
        <v>952444</v>
      </c>
      <c r="C54">
        <v>18528</v>
      </c>
      <c r="D54">
        <v>970972</v>
      </c>
      <c r="E54">
        <v>1768</v>
      </c>
      <c r="F54">
        <v>6258</v>
      </c>
      <c r="G54">
        <v>8026</v>
      </c>
      <c r="H54">
        <v>1930442</v>
      </c>
      <c r="I54">
        <v>40920</v>
      </c>
      <c r="J54">
        <v>1971362</v>
      </c>
      <c r="K54">
        <v>255974</v>
      </c>
      <c r="L54">
        <v>806</v>
      </c>
      <c r="M54">
        <v>256780</v>
      </c>
      <c r="N54">
        <v>3140628</v>
      </c>
      <c r="O54">
        <v>66512</v>
      </c>
      <c r="P54">
        <v>3207140</v>
      </c>
    </row>
    <row r="55" spans="1:16" x14ac:dyDescent="0.45">
      <c r="A55" t="s">
        <v>139</v>
      </c>
      <c r="B55">
        <v>162650</v>
      </c>
      <c r="C55">
        <v>1581</v>
      </c>
      <c r="D55">
        <v>164231</v>
      </c>
      <c r="E55">
        <v>1103</v>
      </c>
      <c r="F55">
        <v>1059</v>
      </c>
      <c r="G55">
        <v>2162</v>
      </c>
      <c r="H55">
        <v>468644</v>
      </c>
      <c r="I55">
        <v>4912</v>
      </c>
      <c r="J55">
        <v>473556</v>
      </c>
      <c r="K55">
        <v>31396</v>
      </c>
      <c r="L55">
        <v>31</v>
      </c>
      <c r="M55">
        <v>31427</v>
      </c>
      <c r="N55">
        <v>663793</v>
      </c>
      <c r="O55">
        <v>7583</v>
      </c>
      <c r="P55">
        <v>671376</v>
      </c>
    </row>
    <row r="56" spans="1:16" x14ac:dyDescent="0.45">
      <c r="A56" t="s">
        <v>141</v>
      </c>
      <c r="B56">
        <v>2794568</v>
      </c>
      <c r="C56">
        <v>39296</v>
      </c>
      <c r="D56">
        <v>2833864</v>
      </c>
      <c r="E56">
        <v>8034</v>
      </c>
      <c r="F56">
        <v>28545</v>
      </c>
      <c r="G56">
        <v>36579</v>
      </c>
      <c r="H56">
        <v>4844718</v>
      </c>
      <c r="I56">
        <v>79754</v>
      </c>
      <c r="J56">
        <v>4924472</v>
      </c>
      <c r="K56">
        <v>189873</v>
      </c>
      <c r="L56">
        <v>742</v>
      </c>
      <c r="M56">
        <v>190615</v>
      </c>
      <c r="N56">
        <v>7837193</v>
      </c>
      <c r="O56">
        <v>148337</v>
      </c>
      <c r="P56">
        <v>7985530</v>
      </c>
    </row>
    <row r="57" spans="1:16" x14ac:dyDescent="0.45">
      <c r="A57" t="s">
        <v>496</v>
      </c>
      <c r="B57">
        <v>2476547</v>
      </c>
      <c r="C57">
        <v>59372</v>
      </c>
      <c r="D57">
        <v>2535919</v>
      </c>
      <c r="E57">
        <v>4267</v>
      </c>
      <c r="F57">
        <v>19987</v>
      </c>
      <c r="G57">
        <v>24254</v>
      </c>
      <c r="H57">
        <v>4637317</v>
      </c>
      <c r="I57">
        <v>121262</v>
      </c>
      <c r="J57">
        <v>4758579</v>
      </c>
      <c r="K57">
        <v>200298</v>
      </c>
      <c r="L57">
        <v>0</v>
      </c>
      <c r="M57">
        <v>200298</v>
      </c>
      <c r="N57">
        <v>7318429</v>
      </c>
      <c r="O57">
        <v>200621</v>
      </c>
      <c r="P57">
        <v>7519050</v>
      </c>
    </row>
    <row r="58" spans="1:16" x14ac:dyDescent="0.45">
      <c r="A58" t="s">
        <v>497</v>
      </c>
      <c r="B58">
        <v>391085</v>
      </c>
      <c r="C58">
        <v>7529</v>
      </c>
      <c r="D58">
        <v>398614</v>
      </c>
      <c r="E58">
        <v>106</v>
      </c>
      <c r="F58">
        <v>54</v>
      </c>
      <c r="G58">
        <v>160</v>
      </c>
      <c r="H58">
        <v>1011669</v>
      </c>
      <c r="I58">
        <v>21025</v>
      </c>
      <c r="J58">
        <v>1032694</v>
      </c>
      <c r="K58">
        <v>46809</v>
      </c>
      <c r="L58">
        <v>853</v>
      </c>
      <c r="M58">
        <v>47662</v>
      </c>
      <c r="N58">
        <v>1449669</v>
      </c>
      <c r="O58">
        <v>29461</v>
      </c>
      <c r="P58">
        <v>1479130</v>
      </c>
    </row>
    <row r="59" spans="1:16" x14ac:dyDescent="0.45">
      <c r="A59" t="s">
        <v>498</v>
      </c>
      <c r="B59">
        <v>1594530</v>
      </c>
      <c r="C59">
        <v>32421</v>
      </c>
      <c r="D59">
        <v>1626951</v>
      </c>
      <c r="E59">
        <v>11485</v>
      </c>
      <c r="F59">
        <v>51</v>
      </c>
      <c r="G59">
        <v>11536</v>
      </c>
      <c r="H59">
        <v>3836626</v>
      </c>
      <c r="I59">
        <v>82355</v>
      </c>
      <c r="J59">
        <v>3918981</v>
      </c>
      <c r="K59">
        <v>278835</v>
      </c>
      <c r="L59">
        <v>473</v>
      </c>
      <c r="M59">
        <v>279308</v>
      </c>
      <c r="N59">
        <v>5721476</v>
      </c>
      <c r="O59">
        <v>115300</v>
      </c>
      <c r="P59">
        <v>5836776</v>
      </c>
    </row>
    <row r="60" spans="1:16" x14ac:dyDescent="0.45">
      <c r="A60" t="s">
        <v>499</v>
      </c>
      <c r="B60">
        <v>157686</v>
      </c>
      <c r="C60">
        <v>8421</v>
      </c>
      <c r="D60">
        <v>166107</v>
      </c>
      <c r="E60">
        <v>1048</v>
      </c>
      <c r="F60">
        <v>905</v>
      </c>
      <c r="G60">
        <v>1953</v>
      </c>
      <c r="H60">
        <v>644502</v>
      </c>
      <c r="I60">
        <v>35977</v>
      </c>
      <c r="J60">
        <v>680479</v>
      </c>
      <c r="K60">
        <v>28561</v>
      </c>
      <c r="L60">
        <v>52</v>
      </c>
      <c r="M60">
        <v>28613</v>
      </c>
      <c r="N60">
        <v>831797</v>
      </c>
      <c r="O60">
        <v>45355</v>
      </c>
      <c r="P60">
        <v>877152</v>
      </c>
    </row>
    <row r="61" spans="1:16" x14ac:dyDescent="0.45">
      <c r="A61" t="s">
        <v>500</v>
      </c>
      <c r="B61">
        <v>96058245</v>
      </c>
      <c r="C61">
        <v>1355076</v>
      </c>
      <c r="D61">
        <v>97413321</v>
      </c>
      <c r="E61">
        <v>627494</v>
      </c>
      <c r="F61">
        <v>468841</v>
      </c>
      <c r="G61">
        <v>1096335</v>
      </c>
      <c r="H61">
        <v>186871245</v>
      </c>
      <c r="I61">
        <v>2883686</v>
      </c>
      <c r="J61">
        <v>189754931</v>
      </c>
      <c r="K61">
        <v>9227925</v>
      </c>
      <c r="L61">
        <v>33324</v>
      </c>
      <c r="M61">
        <v>9261249</v>
      </c>
      <c r="N61">
        <v>292784909</v>
      </c>
      <c r="O61">
        <v>4740927</v>
      </c>
      <c r="P61">
        <v>297525836</v>
      </c>
    </row>
    <row r="62" spans="1:16" x14ac:dyDescent="0.45">
      <c r="A62" t="s">
        <v>501</v>
      </c>
    </row>
    <row r="63" spans="1:16" x14ac:dyDescent="0.45">
      <c r="A63" t="s">
        <v>502</v>
      </c>
    </row>
    <row r="64" spans="1:16" x14ac:dyDescent="0.45">
      <c r="A64" t="s">
        <v>503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B2:C54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2" spans="2:3" x14ac:dyDescent="0.45">
      <c r="B2" t="s">
        <v>504</v>
      </c>
    </row>
    <row r="3" spans="2:3" x14ac:dyDescent="0.45">
      <c r="B3" t="s">
        <v>36</v>
      </c>
      <c r="C3" t="s">
        <v>505</v>
      </c>
    </row>
    <row r="4" spans="2:3" x14ac:dyDescent="0.45">
      <c r="B4" t="s">
        <v>38</v>
      </c>
      <c r="C4">
        <v>13047</v>
      </c>
    </row>
    <row r="5" spans="2:3" x14ac:dyDescent="0.45">
      <c r="B5" t="s">
        <v>506</v>
      </c>
      <c r="C5">
        <v>2697</v>
      </c>
    </row>
    <row r="6" spans="2:3" x14ac:dyDescent="0.45">
      <c r="B6" t="s">
        <v>40</v>
      </c>
      <c r="C6">
        <v>89798</v>
      </c>
    </row>
    <row r="7" spans="2:3" x14ac:dyDescent="0.45">
      <c r="B7" t="s">
        <v>44</v>
      </c>
      <c r="C7">
        <v>7108</v>
      </c>
    </row>
    <row r="8" spans="2:3" x14ac:dyDescent="0.45">
      <c r="B8" t="s">
        <v>35</v>
      </c>
      <c r="C8">
        <v>1256646</v>
      </c>
    </row>
    <row r="9" spans="2:3" x14ac:dyDescent="0.45">
      <c r="B9" t="s">
        <v>51</v>
      </c>
      <c r="C9">
        <v>90083</v>
      </c>
    </row>
    <row r="10" spans="2:3" x14ac:dyDescent="0.45">
      <c r="B10" t="s">
        <v>54</v>
      </c>
      <c r="C10">
        <v>31557</v>
      </c>
    </row>
    <row r="11" spans="2:3" x14ac:dyDescent="0.45">
      <c r="B11" t="s">
        <v>56</v>
      </c>
      <c r="C11">
        <v>8435</v>
      </c>
    </row>
    <row r="12" spans="2:3" x14ac:dyDescent="0.45">
      <c r="B12" t="s">
        <v>507</v>
      </c>
      <c r="C12">
        <v>8066</v>
      </c>
    </row>
    <row r="13" spans="2:3" x14ac:dyDescent="0.45">
      <c r="B13" t="s">
        <v>59</v>
      </c>
      <c r="C13">
        <v>254878</v>
      </c>
    </row>
    <row r="14" spans="2:3" x14ac:dyDescent="0.45">
      <c r="B14" t="s">
        <v>62</v>
      </c>
      <c r="C14">
        <v>92368</v>
      </c>
    </row>
    <row r="15" spans="2:3" x14ac:dyDescent="0.45">
      <c r="B15" t="s">
        <v>477</v>
      </c>
      <c r="C15">
        <v>25565</v>
      </c>
    </row>
    <row r="16" spans="2:3" x14ac:dyDescent="0.45">
      <c r="B16" t="s">
        <v>65</v>
      </c>
      <c r="C16">
        <v>8501</v>
      </c>
    </row>
    <row r="17" spans="2:3" x14ac:dyDescent="0.45">
      <c r="B17" t="s">
        <v>67</v>
      </c>
      <c r="C17">
        <v>99573</v>
      </c>
    </row>
    <row r="18" spans="2:3" x14ac:dyDescent="0.45">
      <c r="B18" t="s">
        <v>70</v>
      </c>
      <c r="C18">
        <v>26101</v>
      </c>
    </row>
    <row r="19" spans="2:3" x14ac:dyDescent="0.45">
      <c r="B19" t="s">
        <v>73</v>
      </c>
      <c r="C19">
        <v>9031</v>
      </c>
    </row>
    <row r="20" spans="2:3" x14ac:dyDescent="0.45">
      <c r="B20" t="s">
        <v>75</v>
      </c>
      <c r="C20">
        <v>11271</v>
      </c>
    </row>
    <row r="21" spans="2:3" x14ac:dyDescent="0.45">
      <c r="B21" t="s">
        <v>78</v>
      </c>
      <c r="C21">
        <v>11617</v>
      </c>
    </row>
    <row r="22" spans="2:3" x14ac:dyDescent="0.45">
      <c r="B22" t="s">
        <v>81</v>
      </c>
      <c r="C22">
        <v>8150</v>
      </c>
    </row>
    <row r="23" spans="2:3" x14ac:dyDescent="0.45">
      <c r="B23" t="s">
        <v>83</v>
      </c>
      <c r="C23">
        <v>7377</v>
      </c>
    </row>
    <row r="24" spans="2:3" x14ac:dyDescent="0.45">
      <c r="B24" t="s">
        <v>86</v>
      </c>
      <c r="C24">
        <v>72139</v>
      </c>
    </row>
    <row r="25" spans="2:3" x14ac:dyDescent="0.45">
      <c r="B25" t="s">
        <v>89</v>
      </c>
      <c r="C25">
        <v>73768</v>
      </c>
    </row>
    <row r="26" spans="2:3" x14ac:dyDescent="0.45">
      <c r="B26" t="s">
        <v>91</v>
      </c>
      <c r="C26">
        <v>50284</v>
      </c>
    </row>
    <row r="27" spans="2:3" x14ac:dyDescent="0.45">
      <c r="B27" t="s">
        <v>94</v>
      </c>
      <c r="C27">
        <v>37050</v>
      </c>
    </row>
    <row r="28" spans="2:3" x14ac:dyDescent="0.45">
      <c r="B28" t="s">
        <v>97</v>
      </c>
      <c r="C28">
        <v>3590</v>
      </c>
    </row>
    <row r="29" spans="2:3" x14ac:dyDescent="0.45">
      <c r="B29" t="s">
        <v>99</v>
      </c>
      <c r="C29">
        <v>26861</v>
      </c>
    </row>
    <row r="30" spans="2:3" x14ac:dyDescent="0.45">
      <c r="B30" t="s">
        <v>101</v>
      </c>
      <c r="C30">
        <v>4608</v>
      </c>
    </row>
    <row r="31" spans="2:3" x14ac:dyDescent="0.45">
      <c r="B31" t="s">
        <v>103</v>
      </c>
      <c r="C31">
        <v>6920</v>
      </c>
    </row>
    <row r="32" spans="2:3" x14ac:dyDescent="0.45">
      <c r="B32" t="s">
        <v>105</v>
      </c>
      <c r="C32">
        <v>47361</v>
      </c>
    </row>
    <row r="33" spans="2:3" x14ac:dyDescent="0.45">
      <c r="B33" t="s">
        <v>107</v>
      </c>
      <c r="C33">
        <v>9861</v>
      </c>
    </row>
    <row r="34" spans="2:3" x14ac:dyDescent="0.45">
      <c r="B34" t="s">
        <v>109</v>
      </c>
      <c r="C34">
        <v>134753</v>
      </c>
    </row>
    <row r="35" spans="2:3" x14ac:dyDescent="0.45">
      <c r="B35" t="s">
        <v>111</v>
      </c>
      <c r="C35">
        <v>10276</v>
      </c>
    </row>
    <row r="36" spans="2:3" x14ac:dyDescent="0.45">
      <c r="B36" t="s">
        <v>113</v>
      </c>
      <c r="C36">
        <v>131250</v>
      </c>
    </row>
    <row r="37" spans="2:3" x14ac:dyDescent="0.45">
      <c r="B37" t="s">
        <v>115</v>
      </c>
      <c r="C37">
        <v>70164</v>
      </c>
    </row>
    <row r="38" spans="2:3" x14ac:dyDescent="0.45">
      <c r="B38" t="s">
        <v>117</v>
      </c>
      <c r="C38">
        <v>959</v>
      </c>
    </row>
    <row r="39" spans="2:3" x14ac:dyDescent="0.45">
      <c r="B39" t="s">
        <v>119</v>
      </c>
      <c r="C39">
        <v>50393</v>
      </c>
    </row>
    <row r="40" spans="2:3" x14ac:dyDescent="0.45">
      <c r="B40" t="s">
        <v>121</v>
      </c>
      <c r="C40">
        <v>22843</v>
      </c>
    </row>
    <row r="41" spans="2:3" x14ac:dyDescent="0.45">
      <c r="B41" t="s">
        <v>123</v>
      </c>
      <c r="C41">
        <v>64361</v>
      </c>
    </row>
    <row r="42" spans="2:3" x14ac:dyDescent="0.45">
      <c r="B42" t="s">
        <v>125</v>
      </c>
      <c r="C42">
        <v>70154</v>
      </c>
    </row>
    <row r="43" spans="2:3" x14ac:dyDescent="0.45">
      <c r="B43" t="s">
        <v>127</v>
      </c>
      <c r="C43">
        <v>6396</v>
      </c>
    </row>
    <row r="44" spans="2:3" x14ac:dyDescent="0.45">
      <c r="B44" t="s">
        <v>129</v>
      </c>
      <c r="C44">
        <v>20873</v>
      </c>
    </row>
    <row r="45" spans="2:3" x14ac:dyDescent="0.45">
      <c r="B45" t="s">
        <v>131</v>
      </c>
      <c r="C45">
        <v>1675</v>
      </c>
    </row>
    <row r="46" spans="2:3" x14ac:dyDescent="0.45">
      <c r="B46" t="s">
        <v>133</v>
      </c>
      <c r="C46">
        <v>33221</v>
      </c>
    </row>
    <row r="47" spans="2:3" x14ac:dyDescent="0.45">
      <c r="B47" t="s">
        <v>135</v>
      </c>
      <c r="C47">
        <v>230125</v>
      </c>
    </row>
    <row r="48" spans="2:3" x14ac:dyDescent="0.45">
      <c r="B48" t="s">
        <v>137</v>
      </c>
      <c r="C48">
        <v>39998</v>
      </c>
    </row>
    <row r="49" spans="2:3" x14ac:dyDescent="0.45">
      <c r="B49" t="s">
        <v>139</v>
      </c>
      <c r="C49">
        <v>7816</v>
      </c>
    </row>
    <row r="50" spans="2:3" x14ac:dyDescent="0.45">
      <c r="B50" t="s">
        <v>141</v>
      </c>
      <c r="C50">
        <v>84936</v>
      </c>
    </row>
    <row r="51" spans="2:3" x14ac:dyDescent="0.45">
      <c r="B51" t="s">
        <v>143</v>
      </c>
      <c r="C51">
        <v>152101</v>
      </c>
    </row>
    <row r="52" spans="2:3" x14ac:dyDescent="0.45">
      <c r="B52" t="s">
        <v>145</v>
      </c>
      <c r="C52">
        <v>2758</v>
      </c>
    </row>
    <row r="53" spans="2:3" x14ac:dyDescent="0.45">
      <c r="B53" t="s">
        <v>147</v>
      </c>
      <c r="C53">
        <v>24943</v>
      </c>
    </row>
    <row r="54" spans="2:3" x14ac:dyDescent="0.45">
      <c r="B54" t="s">
        <v>149</v>
      </c>
      <c r="C54">
        <v>1139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M57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13" x14ac:dyDescent="0.45">
      <c r="A1" t="s">
        <v>508</v>
      </c>
    </row>
    <row r="2" spans="1:13" x14ac:dyDescent="0.45">
      <c r="A2" t="s">
        <v>509</v>
      </c>
    </row>
    <row r="3" spans="1:13" x14ac:dyDescent="0.45">
      <c r="A3" t="s">
        <v>510</v>
      </c>
    </row>
    <row r="5" spans="1:13" x14ac:dyDescent="0.45">
      <c r="A5" t="s">
        <v>36</v>
      </c>
      <c r="B5" t="s">
        <v>511</v>
      </c>
      <c r="C5" t="s">
        <v>512</v>
      </c>
      <c r="D5" t="s">
        <v>513</v>
      </c>
      <c r="E5" t="s">
        <v>514</v>
      </c>
      <c r="F5" t="s">
        <v>515</v>
      </c>
      <c r="G5" t="s">
        <v>516</v>
      </c>
      <c r="H5" t="s">
        <v>517</v>
      </c>
      <c r="I5" t="s">
        <v>518</v>
      </c>
      <c r="J5" t="s">
        <v>519</v>
      </c>
      <c r="K5" t="s">
        <v>520</v>
      </c>
      <c r="L5" t="s">
        <v>521</v>
      </c>
      <c r="M5" t="s">
        <v>522</v>
      </c>
    </row>
    <row r="6" spans="1:13" x14ac:dyDescent="0.45">
      <c r="A6" t="s">
        <v>38</v>
      </c>
      <c r="B6">
        <v>17500</v>
      </c>
      <c r="C6">
        <v>6800</v>
      </c>
      <c r="D6">
        <v>77600</v>
      </c>
      <c r="E6">
        <v>59500</v>
      </c>
      <c r="F6">
        <v>435400</v>
      </c>
      <c r="G6">
        <v>100</v>
      </c>
      <c r="H6">
        <v>100</v>
      </c>
      <c r="I6">
        <v>0</v>
      </c>
      <c r="J6">
        <v>0</v>
      </c>
      <c r="K6">
        <v>4129300</v>
      </c>
      <c r="L6">
        <v>127400</v>
      </c>
      <c r="M6">
        <v>28000</v>
      </c>
    </row>
    <row r="7" spans="1:13" x14ac:dyDescent="0.45">
      <c r="A7" t="s">
        <v>506</v>
      </c>
      <c r="B7">
        <v>3400</v>
      </c>
      <c r="C7">
        <v>1100</v>
      </c>
      <c r="D7">
        <v>12100</v>
      </c>
      <c r="E7">
        <v>10600</v>
      </c>
      <c r="F7">
        <v>46800</v>
      </c>
      <c r="G7">
        <v>0</v>
      </c>
      <c r="H7">
        <v>0</v>
      </c>
      <c r="I7">
        <v>0</v>
      </c>
      <c r="J7">
        <v>0</v>
      </c>
      <c r="K7">
        <v>460800</v>
      </c>
      <c r="L7">
        <v>30200</v>
      </c>
      <c r="M7">
        <v>5100</v>
      </c>
    </row>
    <row r="8" spans="1:13" x14ac:dyDescent="0.45">
      <c r="A8" t="s">
        <v>40</v>
      </c>
      <c r="B8">
        <v>111200</v>
      </c>
      <c r="C8">
        <v>29300</v>
      </c>
      <c r="D8">
        <v>202200</v>
      </c>
      <c r="E8">
        <v>75500</v>
      </c>
      <c r="F8">
        <v>429300</v>
      </c>
      <c r="G8">
        <v>500</v>
      </c>
      <c r="H8">
        <v>700</v>
      </c>
      <c r="I8">
        <v>0</v>
      </c>
      <c r="J8">
        <v>0</v>
      </c>
      <c r="K8">
        <v>5479600</v>
      </c>
      <c r="L8">
        <v>198400</v>
      </c>
      <c r="M8">
        <v>60200</v>
      </c>
    </row>
    <row r="9" spans="1:13" x14ac:dyDescent="0.45">
      <c r="A9" t="s">
        <v>44</v>
      </c>
      <c r="B9">
        <v>9500</v>
      </c>
      <c r="C9">
        <v>3800</v>
      </c>
      <c r="D9">
        <v>44500</v>
      </c>
      <c r="E9">
        <v>39700</v>
      </c>
      <c r="F9">
        <v>272900</v>
      </c>
      <c r="G9">
        <v>200</v>
      </c>
      <c r="H9">
        <v>0</v>
      </c>
      <c r="I9">
        <v>0</v>
      </c>
      <c r="J9">
        <v>0</v>
      </c>
      <c r="K9">
        <v>2265200</v>
      </c>
      <c r="L9">
        <v>91400</v>
      </c>
      <c r="M9">
        <v>10000</v>
      </c>
    </row>
    <row r="10" spans="1:13" x14ac:dyDescent="0.45">
      <c r="A10" t="s">
        <v>35</v>
      </c>
      <c r="B10">
        <v>1533900</v>
      </c>
      <c r="C10">
        <v>447100</v>
      </c>
      <c r="D10">
        <v>1895100</v>
      </c>
      <c r="E10">
        <v>217000</v>
      </c>
      <c r="F10">
        <v>1309800</v>
      </c>
      <c r="G10">
        <v>10000</v>
      </c>
      <c r="H10">
        <v>1500</v>
      </c>
      <c r="I10">
        <v>16900</v>
      </c>
      <c r="J10">
        <v>0</v>
      </c>
      <c r="K10">
        <v>31251600</v>
      </c>
      <c r="L10">
        <v>737900</v>
      </c>
      <c r="M10">
        <v>7900</v>
      </c>
    </row>
    <row r="11" spans="1:13" x14ac:dyDescent="0.45">
      <c r="A11" t="s">
        <v>51</v>
      </c>
      <c r="B11">
        <v>127000</v>
      </c>
      <c r="C11">
        <v>48700</v>
      </c>
      <c r="D11">
        <v>171200</v>
      </c>
      <c r="E11">
        <v>72900</v>
      </c>
      <c r="F11">
        <v>326400</v>
      </c>
      <c r="G11">
        <v>300</v>
      </c>
      <c r="H11">
        <v>100</v>
      </c>
      <c r="I11">
        <v>0</v>
      </c>
      <c r="J11">
        <v>0</v>
      </c>
      <c r="K11">
        <v>4501600</v>
      </c>
      <c r="L11">
        <v>200300</v>
      </c>
      <c r="M11">
        <v>45500</v>
      </c>
    </row>
    <row r="12" spans="1:13" x14ac:dyDescent="0.45">
      <c r="A12" t="s">
        <v>54</v>
      </c>
      <c r="B12">
        <v>39400</v>
      </c>
      <c r="C12">
        <v>22500</v>
      </c>
      <c r="D12">
        <v>85200</v>
      </c>
      <c r="E12">
        <v>11900</v>
      </c>
      <c r="F12">
        <v>130500</v>
      </c>
      <c r="G12">
        <v>100</v>
      </c>
      <c r="H12">
        <v>0</v>
      </c>
      <c r="I12">
        <v>0</v>
      </c>
      <c r="J12">
        <v>0</v>
      </c>
      <c r="K12">
        <v>2572400</v>
      </c>
      <c r="L12">
        <v>40500</v>
      </c>
      <c r="M12">
        <v>20200</v>
      </c>
    </row>
    <row r="13" spans="1:13" x14ac:dyDescent="0.45">
      <c r="A13" t="s">
        <v>56</v>
      </c>
      <c r="B13">
        <v>11100</v>
      </c>
      <c r="C13">
        <v>4600</v>
      </c>
      <c r="D13">
        <v>26400</v>
      </c>
      <c r="E13">
        <v>5500</v>
      </c>
      <c r="F13">
        <v>62900</v>
      </c>
      <c r="G13">
        <v>0</v>
      </c>
      <c r="H13">
        <v>0</v>
      </c>
      <c r="I13">
        <v>0</v>
      </c>
      <c r="J13">
        <v>0</v>
      </c>
      <c r="K13">
        <v>790600</v>
      </c>
      <c r="L13">
        <v>13900</v>
      </c>
      <c r="M13">
        <v>5000</v>
      </c>
    </row>
    <row r="14" spans="1:13" x14ac:dyDescent="0.45">
      <c r="A14" t="s">
        <v>507</v>
      </c>
      <c r="B14">
        <v>10100</v>
      </c>
      <c r="C14">
        <v>4300</v>
      </c>
      <c r="D14">
        <v>19300</v>
      </c>
      <c r="E14">
        <v>500</v>
      </c>
      <c r="F14">
        <v>16200</v>
      </c>
      <c r="G14">
        <v>100</v>
      </c>
      <c r="H14">
        <v>0</v>
      </c>
      <c r="I14">
        <v>0</v>
      </c>
      <c r="J14">
        <v>0</v>
      </c>
      <c r="K14">
        <v>255300</v>
      </c>
      <c r="L14">
        <v>1800</v>
      </c>
      <c r="M14">
        <v>500</v>
      </c>
    </row>
    <row r="15" spans="1:13" x14ac:dyDescent="0.45">
      <c r="A15" t="s">
        <v>59</v>
      </c>
      <c r="B15">
        <v>334800</v>
      </c>
      <c r="C15">
        <v>70400</v>
      </c>
      <c r="D15">
        <v>499300</v>
      </c>
      <c r="E15">
        <v>188100</v>
      </c>
      <c r="F15">
        <v>1079800</v>
      </c>
      <c r="G15">
        <v>400</v>
      </c>
      <c r="H15">
        <v>100</v>
      </c>
      <c r="I15">
        <v>0</v>
      </c>
      <c r="J15">
        <v>0</v>
      </c>
      <c r="K15">
        <v>16122400</v>
      </c>
      <c r="L15">
        <v>352800</v>
      </c>
      <c r="M15">
        <v>94400</v>
      </c>
    </row>
    <row r="16" spans="1:13" x14ac:dyDescent="0.45">
      <c r="A16" t="s">
        <v>62</v>
      </c>
      <c r="B16">
        <v>120000</v>
      </c>
      <c r="C16">
        <v>26400</v>
      </c>
      <c r="D16">
        <v>206300</v>
      </c>
      <c r="E16">
        <v>101500</v>
      </c>
      <c r="F16">
        <v>705700</v>
      </c>
      <c r="G16">
        <v>300</v>
      </c>
      <c r="H16">
        <v>200</v>
      </c>
      <c r="I16">
        <v>0</v>
      </c>
      <c r="J16">
        <v>0</v>
      </c>
      <c r="K16">
        <v>8261200</v>
      </c>
      <c r="L16">
        <v>205900</v>
      </c>
      <c r="M16">
        <v>74900</v>
      </c>
    </row>
    <row r="17" spans="1:13" x14ac:dyDescent="0.45">
      <c r="A17" t="s">
        <v>477</v>
      </c>
      <c r="B17">
        <v>29900</v>
      </c>
      <c r="C17">
        <v>8700</v>
      </c>
      <c r="D17">
        <v>40000</v>
      </c>
      <c r="E17">
        <v>3700</v>
      </c>
      <c r="F17">
        <v>35800</v>
      </c>
      <c r="G17">
        <v>0</v>
      </c>
      <c r="H17">
        <v>0</v>
      </c>
      <c r="I17">
        <v>0</v>
      </c>
      <c r="J17">
        <v>0</v>
      </c>
      <c r="K17">
        <v>944100</v>
      </c>
      <c r="L17">
        <v>15300</v>
      </c>
      <c r="M17">
        <v>3600</v>
      </c>
    </row>
    <row r="18" spans="1:13" x14ac:dyDescent="0.45">
      <c r="A18" t="s">
        <v>65</v>
      </c>
      <c r="B18">
        <v>11000</v>
      </c>
      <c r="C18">
        <v>5600</v>
      </c>
      <c r="D18">
        <v>50200</v>
      </c>
      <c r="E18">
        <v>51000</v>
      </c>
      <c r="F18">
        <v>134200</v>
      </c>
      <c r="G18">
        <v>100</v>
      </c>
      <c r="H18">
        <v>100</v>
      </c>
      <c r="I18">
        <v>0</v>
      </c>
      <c r="J18">
        <v>0</v>
      </c>
      <c r="K18">
        <v>1595100</v>
      </c>
      <c r="L18">
        <v>141200</v>
      </c>
      <c r="M18">
        <v>30400</v>
      </c>
    </row>
    <row r="19" spans="1:13" x14ac:dyDescent="0.45">
      <c r="A19" t="s">
        <v>67</v>
      </c>
      <c r="B19">
        <v>125500</v>
      </c>
      <c r="C19">
        <v>40400</v>
      </c>
      <c r="D19">
        <v>325700</v>
      </c>
      <c r="E19">
        <v>66400</v>
      </c>
      <c r="F19">
        <v>758800</v>
      </c>
      <c r="G19">
        <v>300</v>
      </c>
      <c r="H19">
        <v>0</v>
      </c>
      <c r="I19">
        <v>0</v>
      </c>
      <c r="J19">
        <v>0</v>
      </c>
      <c r="K19">
        <v>8571800</v>
      </c>
      <c r="L19">
        <v>169000</v>
      </c>
      <c r="M19">
        <v>67800</v>
      </c>
    </row>
    <row r="20" spans="1:13" x14ac:dyDescent="0.45">
      <c r="A20" t="s">
        <v>70</v>
      </c>
      <c r="B20">
        <v>34600</v>
      </c>
      <c r="C20">
        <v>15300</v>
      </c>
      <c r="D20">
        <v>135000</v>
      </c>
      <c r="E20">
        <v>60200</v>
      </c>
      <c r="F20">
        <v>570400</v>
      </c>
      <c r="G20">
        <v>300</v>
      </c>
      <c r="H20">
        <v>0</v>
      </c>
      <c r="I20">
        <v>0</v>
      </c>
      <c r="J20">
        <v>0</v>
      </c>
      <c r="K20">
        <v>5186300</v>
      </c>
      <c r="L20">
        <v>154900</v>
      </c>
      <c r="M20">
        <v>57600</v>
      </c>
    </row>
    <row r="21" spans="1:13" x14ac:dyDescent="0.45">
      <c r="A21" t="s">
        <v>73</v>
      </c>
      <c r="B21">
        <v>11700</v>
      </c>
      <c r="C21">
        <v>7300</v>
      </c>
      <c r="D21">
        <v>65600</v>
      </c>
      <c r="E21">
        <v>44500</v>
      </c>
      <c r="F21">
        <v>326400</v>
      </c>
      <c r="G21">
        <v>100</v>
      </c>
      <c r="H21">
        <v>0</v>
      </c>
      <c r="I21">
        <v>0</v>
      </c>
      <c r="J21">
        <v>0</v>
      </c>
      <c r="K21">
        <v>2556700</v>
      </c>
      <c r="L21">
        <v>105400</v>
      </c>
      <c r="M21">
        <v>56800</v>
      </c>
    </row>
    <row r="22" spans="1:13" x14ac:dyDescent="0.45">
      <c r="A22" t="s">
        <v>75</v>
      </c>
      <c r="B22">
        <v>14500</v>
      </c>
      <c r="C22">
        <v>6600</v>
      </c>
      <c r="D22">
        <v>57700</v>
      </c>
      <c r="E22">
        <v>30300</v>
      </c>
      <c r="F22">
        <v>250700</v>
      </c>
      <c r="G22">
        <v>200</v>
      </c>
      <c r="H22">
        <v>100</v>
      </c>
      <c r="I22">
        <v>0</v>
      </c>
      <c r="J22">
        <v>0</v>
      </c>
      <c r="K22">
        <v>2186000</v>
      </c>
      <c r="L22">
        <v>87600</v>
      </c>
      <c r="M22">
        <v>15300</v>
      </c>
    </row>
    <row r="23" spans="1:13" x14ac:dyDescent="0.45">
      <c r="A23" t="s">
        <v>78</v>
      </c>
      <c r="B23">
        <v>15000</v>
      </c>
      <c r="C23">
        <v>6400</v>
      </c>
      <c r="D23">
        <v>75600</v>
      </c>
      <c r="E23">
        <v>40200</v>
      </c>
      <c r="F23">
        <v>352100</v>
      </c>
      <c r="G23">
        <v>300</v>
      </c>
      <c r="H23">
        <v>0</v>
      </c>
      <c r="I23">
        <v>0</v>
      </c>
      <c r="J23">
        <v>0</v>
      </c>
      <c r="K23">
        <v>3358000</v>
      </c>
      <c r="L23">
        <v>115600</v>
      </c>
      <c r="M23">
        <v>22100</v>
      </c>
    </row>
    <row r="24" spans="1:13" x14ac:dyDescent="0.45">
      <c r="A24" t="s">
        <v>81</v>
      </c>
      <c r="B24">
        <v>11600</v>
      </c>
      <c r="C24">
        <v>4600</v>
      </c>
      <c r="D24">
        <v>49600</v>
      </c>
      <c r="E24">
        <v>68000</v>
      </c>
      <c r="F24">
        <v>371400</v>
      </c>
      <c r="G24">
        <v>100</v>
      </c>
      <c r="H24">
        <v>0</v>
      </c>
      <c r="I24">
        <v>0</v>
      </c>
      <c r="J24">
        <v>0</v>
      </c>
      <c r="K24">
        <v>3142700</v>
      </c>
      <c r="L24">
        <v>115400</v>
      </c>
      <c r="M24">
        <v>18500</v>
      </c>
    </row>
    <row r="25" spans="1:13" x14ac:dyDescent="0.45">
      <c r="A25" t="s">
        <v>83</v>
      </c>
      <c r="B25">
        <v>9700</v>
      </c>
      <c r="C25">
        <v>9200</v>
      </c>
      <c r="D25">
        <v>38200</v>
      </c>
      <c r="E25">
        <v>13200</v>
      </c>
      <c r="F25">
        <v>102300</v>
      </c>
      <c r="G25">
        <v>0</v>
      </c>
      <c r="H25">
        <v>0</v>
      </c>
      <c r="I25">
        <v>0</v>
      </c>
      <c r="J25">
        <v>0</v>
      </c>
      <c r="K25">
        <v>1048000</v>
      </c>
      <c r="L25">
        <v>26900</v>
      </c>
      <c r="M25">
        <v>8500</v>
      </c>
    </row>
    <row r="26" spans="1:13" x14ac:dyDescent="0.45">
      <c r="A26" t="s">
        <v>86</v>
      </c>
      <c r="B26">
        <v>94900</v>
      </c>
      <c r="C26">
        <v>36600</v>
      </c>
      <c r="D26">
        <v>191800</v>
      </c>
      <c r="E26">
        <v>33600</v>
      </c>
      <c r="F26">
        <v>297500</v>
      </c>
      <c r="G26">
        <v>200</v>
      </c>
      <c r="H26">
        <v>0</v>
      </c>
      <c r="I26">
        <v>0</v>
      </c>
      <c r="J26">
        <v>0</v>
      </c>
      <c r="K26">
        <v>4261500</v>
      </c>
      <c r="L26">
        <v>84800</v>
      </c>
      <c r="M26">
        <v>31000</v>
      </c>
    </row>
    <row r="27" spans="1:13" x14ac:dyDescent="0.45">
      <c r="A27" t="s">
        <v>89</v>
      </c>
      <c r="B27">
        <v>91100</v>
      </c>
      <c r="C27">
        <v>52200</v>
      </c>
      <c r="D27">
        <v>212900</v>
      </c>
      <c r="E27">
        <v>23100</v>
      </c>
      <c r="F27">
        <v>279600</v>
      </c>
      <c r="G27">
        <v>200</v>
      </c>
      <c r="H27">
        <v>0</v>
      </c>
      <c r="I27">
        <v>0</v>
      </c>
      <c r="J27">
        <v>0</v>
      </c>
      <c r="K27">
        <v>4789300</v>
      </c>
      <c r="L27">
        <v>56500</v>
      </c>
      <c r="M27">
        <v>29900</v>
      </c>
    </row>
    <row r="28" spans="1:13" x14ac:dyDescent="0.45">
      <c r="A28" t="s">
        <v>91</v>
      </c>
      <c r="B28">
        <v>75800</v>
      </c>
      <c r="C28">
        <v>33600</v>
      </c>
      <c r="D28">
        <v>179300</v>
      </c>
      <c r="E28">
        <v>76200</v>
      </c>
      <c r="F28">
        <v>864700</v>
      </c>
      <c r="G28">
        <v>300</v>
      </c>
      <c r="H28">
        <v>0</v>
      </c>
      <c r="I28">
        <v>0</v>
      </c>
      <c r="J28">
        <v>0</v>
      </c>
      <c r="K28">
        <v>7131900</v>
      </c>
      <c r="L28">
        <v>173400</v>
      </c>
      <c r="M28">
        <v>49300</v>
      </c>
    </row>
    <row r="29" spans="1:13" x14ac:dyDescent="0.45">
      <c r="A29" t="s">
        <v>94</v>
      </c>
      <c r="B29">
        <v>47400</v>
      </c>
      <c r="C29">
        <v>20100</v>
      </c>
      <c r="D29">
        <v>143300</v>
      </c>
      <c r="E29">
        <v>56700</v>
      </c>
      <c r="F29">
        <v>508000</v>
      </c>
      <c r="G29">
        <v>100</v>
      </c>
      <c r="H29">
        <v>0</v>
      </c>
      <c r="I29">
        <v>0</v>
      </c>
      <c r="J29">
        <v>0</v>
      </c>
      <c r="K29">
        <v>4259000</v>
      </c>
      <c r="L29">
        <v>126800</v>
      </c>
      <c r="M29">
        <v>24200</v>
      </c>
    </row>
    <row r="30" spans="1:13" x14ac:dyDescent="0.45">
      <c r="A30" t="s">
        <v>97</v>
      </c>
      <c r="B30">
        <v>4900</v>
      </c>
      <c r="C30">
        <v>2400</v>
      </c>
      <c r="D30">
        <v>34400</v>
      </c>
      <c r="E30">
        <v>37700</v>
      </c>
      <c r="F30">
        <v>291400</v>
      </c>
      <c r="G30">
        <v>100</v>
      </c>
      <c r="H30">
        <v>0</v>
      </c>
      <c r="I30">
        <v>0</v>
      </c>
      <c r="J30">
        <v>0</v>
      </c>
      <c r="K30">
        <v>2272700</v>
      </c>
      <c r="L30">
        <v>75000</v>
      </c>
      <c r="M30">
        <v>8200</v>
      </c>
    </row>
    <row r="31" spans="1:13" x14ac:dyDescent="0.45">
      <c r="A31" t="s">
        <v>99</v>
      </c>
      <c r="B31">
        <v>34200</v>
      </c>
      <c r="C31">
        <v>16800</v>
      </c>
      <c r="D31">
        <v>132100</v>
      </c>
      <c r="E31">
        <v>76500</v>
      </c>
      <c r="F31">
        <v>570100</v>
      </c>
      <c r="G31">
        <v>800</v>
      </c>
      <c r="H31">
        <v>100</v>
      </c>
      <c r="I31">
        <v>0</v>
      </c>
      <c r="J31">
        <v>0</v>
      </c>
      <c r="K31">
        <v>4682900</v>
      </c>
      <c r="L31">
        <v>176400</v>
      </c>
      <c r="M31">
        <v>36600</v>
      </c>
    </row>
    <row r="32" spans="1:13" x14ac:dyDescent="0.45">
      <c r="A32" t="s">
        <v>101</v>
      </c>
      <c r="B32">
        <v>5600</v>
      </c>
      <c r="C32">
        <v>3200</v>
      </c>
      <c r="D32">
        <v>24700</v>
      </c>
      <c r="E32">
        <v>41100</v>
      </c>
      <c r="F32">
        <v>91800</v>
      </c>
      <c r="G32">
        <v>0</v>
      </c>
      <c r="H32">
        <v>0</v>
      </c>
      <c r="I32">
        <v>0</v>
      </c>
      <c r="J32">
        <v>0</v>
      </c>
      <c r="K32">
        <v>792500</v>
      </c>
      <c r="L32">
        <v>68900</v>
      </c>
      <c r="M32">
        <v>10800</v>
      </c>
    </row>
    <row r="33" spans="1:13" x14ac:dyDescent="0.45">
      <c r="A33" t="s">
        <v>103</v>
      </c>
      <c r="B33">
        <v>9100</v>
      </c>
      <c r="C33">
        <v>4700</v>
      </c>
      <c r="D33">
        <v>37900</v>
      </c>
      <c r="E33">
        <v>31100</v>
      </c>
      <c r="F33">
        <v>195000</v>
      </c>
      <c r="G33">
        <v>100</v>
      </c>
      <c r="H33">
        <v>0</v>
      </c>
      <c r="I33">
        <v>0</v>
      </c>
      <c r="J33">
        <v>0</v>
      </c>
      <c r="K33">
        <v>1610600</v>
      </c>
      <c r="L33">
        <v>76200</v>
      </c>
      <c r="M33">
        <v>24900</v>
      </c>
    </row>
    <row r="34" spans="1:13" x14ac:dyDescent="0.45">
      <c r="A34" t="s">
        <v>105</v>
      </c>
      <c r="B34">
        <v>65600</v>
      </c>
      <c r="C34">
        <v>13400</v>
      </c>
      <c r="D34">
        <v>81600</v>
      </c>
      <c r="E34">
        <v>29300</v>
      </c>
      <c r="F34">
        <v>123200</v>
      </c>
      <c r="G34">
        <v>200</v>
      </c>
      <c r="H34">
        <v>100</v>
      </c>
      <c r="I34">
        <v>0</v>
      </c>
      <c r="J34">
        <v>0</v>
      </c>
      <c r="K34">
        <v>2187600</v>
      </c>
      <c r="L34">
        <v>86100</v>
      </c>
      <c r="M34">
        <v>19900</v>
      </c>
    </row>
    <row r="35" spans="1:13" x14ac:dyDescent="0.45">
      <c r="A35" t="s">
        <v>107</v>
      </c>
      <c r="B35">
        <v>12700</v>
      </c>
      <c r="C35">
        <v>8200</v>
      </c>
      <c r="D35">
        <v>42500</v>
      </c>
      <c r="E35">
        <v>14700</v>
      </c>
      <c r="F35">
        <v>86900</v>
      </c>
      <c r="G35">
        <v>100</v>
      </c>
      <c r="H35">
        <v>0</v>
      </c>
      <c r="I35">
        <v>0</v>
      </c>
      <c r="J35">
        <v>0</v>
      </c>
      <c r="K35">
        <v>1194400</v>
      </c>
      <c r="L35">
        <v>28700</v>
      </c>
      <c r="M35">
        <v>12400</v>
      </c>
    </row>
    <row r="36" spans="1:13" x14ac:dyDescent="0.45">
      <c r="A36" t="s">
        <v>109</v>
      </c>
      <c r="B36">
        <v>173800</v>
      </c>
      <c r="C36">
        <v>51600</v>
      </c>
      <c r="D36">
        <v>205200</v>
      </c>
      <c r="E36">
        <v>29900</v>
      </c>
      <c r="F36">
        <v>387500</v>
      </c>
      <c r="G36">
        <v>300</v>
      </c>
      <c r="H36">
        <v>0</v>
      </c>
      <c r="I36">
        <v>0</v>
      </c>
      <c r="J36">
        <v>0</v>
      </c>
      <c r="K36">
        <v>6460100</v>
      </c>
      <c r="L36">
        <v>82400</v>
      </c>
      <c r="M36">
        <v>35600</v>
      </c>
    </row>
    <row r="37" spans="1:13" x14ac:dyDescent="0.45">
      <c r="A37" t="s">
        <v>111</v>
      </c>
      <c r="B37">
        <v>13000</v>
      </c>
      <c r="C37">
        <v>5800</v>
      </c>
      <c r="D37">
        <v>50500</v>
      </c>
      <c r="E37">
        <v>35000</v>
      </c>
      <c r="F37">
        <v>148600</v>
      </c>
      <c r="G37">
        <v>100</v>
      </c>
      <c r="H37">
        <v>100</v>
      </c>
      <c r="I37">
        <v>0</v>
      </c>
      <c r="J37">
        <v>0</v>
      </c>
      <c r="K37">
        <v>1592600</v>
      </c>
      <c r="L37">
        <v>88200</v>
      </c>
      <c r="M37">
        <v>22000</v>
      </c>
    </row>
    <row r="38" spans="1:13" x14ac:dyDescent="0.45">
      <c r="A38" t="s">
        <v>113</v>
      </c>
      <c r="B38">
        <v>168100</v>
      </c>
      <c r="C38">
        <v>111400</v>
      </c>
      <c r="D38">
        <v>361000</v>
      </c>
      <c r="E38">
        <v>59200</v>
      </c>
      <c r="F38">
        <v>577800</v>
      </c>
      <c r="G38">
        <v>300</v>
      </c>
      <c r="H38">
        <v>0</v>
      </c>
      <c r="I38">
        <v>0</v>
      </c>
      <c r="J38">
        <v>0</v>
      </c>
      <c r="K38">
        <v>9824900</v>
      </c>
      <c r="L38">
        <v>148000</v>
      </c>
      <c r="M38">
        <v>78600</v>
      </c>
    </row>
    <row r="39" spans="1:13" x14ac:dyDescent="0.45">
      <c r="A39" t="s">
        <v>115</v>
      </c>
      <c r="B39">
        <v>91000</v>
      </c>
      <c r="C39">
        <v>28300</v>
      </c>
      <c r="D39">
        <v>248200</v>
      </c>
      <c r="E39">
        <v>88300</v>
      </c>
      <c r="F39">
        <v>641200</v>
      </c>
      <c r="G39">
        <v>300</v>
      </c>
      <c r="H39">
        <v>100</v>
      </c>
      <c r="I39">
        <v>0</v>
      </c>
      <c r="J39">
        <v>0</v>
      </c>
      <c r="K39">
        <v>7803000</v>
      </c>
      <c r="L39">
        <v>209400</v>
      </c>
      <c r="M39">
        <v>69900</v>
      </c>
    </row>
    <row r="40" spans="1:13" x14ac:dyDescent="0.45">
      <c r="A40" t="s">
        <v>117</v>
      </c>
      <c r="B40">
        <v>1300</v>
      </c>
      <c r="C40">
        <v>1000</v>
      </c>
      <c r="D40">
        <v>10100</v>
      </c>
      <c r="E40">
        <v>21800</v>
      </c>
      <c r="F40">
        <v>88100</v>
      </c>
      <c r="G40">
        <v>0</v>
      </c>
      <c r="H40">
        <v>0</v>
      </c>
      <c r="I40">
        <v>0</v>
      </c>
      <c r="J40">
        <v>0</v>
      </c>
      <c r="K40">
        <v>631700</v>
      </c>
      <c r="L40">
        <v>45000</v>
      </c>
      <c r="M40">
        <v>6900</v>
      </c>
    </row>
    <row r="41" spans="1:13" x14ac:dyDescent="0.45">
      <c r="A41" t="s">
        <v>119</v>
      </c>
      <c r="B41">
        <v>69400</v>
      </c>
      <c r="C41">
        <v>29700</v>
      </c>
      <c r="D41">
        <v>233900</v>
      </c>
      <c r="E41">
        <v>76300</v>
      </c>
      <c r="F41">
        <v>824400</v>
      </c>
      <c r="G41">
        <v>600</v>
      </c>
      <c r="H41">
        <v>100</v>
      </c>
      <c r="I41">
        <v>0</v>
      </c>
      <c r="J41">
        <v>0</v>
      </c>
      <c r="K41">
        <v>8894800</v>
      </c>
      <c r="L41">
        <v>195500</v>
      </c>
      <c r="M41">
        <v>60300</v>
      </c>
    </row>
    <row r="42" spans="1:13" x14ac:dyDescent="0.45">
      <c r="A42" t="s">
        <v>121</v>
      </c>
      <c r="B42">
        <v>22600</v>
      </c>
      <c r="C42">
        <v>34300</v>
      </c>
      <c r="D42">
        <v>73000</v>
      </c>
      <c r="E42">
        <v>65900</v>
      </c>
      <c r="F42">
        <v>343200</v>
      </c>
      <c r="G42">
        <v>1700</v>
      </c>
      <c r="H42">
        <v>200</v>
      </c>
      <c r="I42">
        <v>0</v>
      </c>
      <c r="J42">
        <v>0</v>
      </c>
      <c r="K42">
        <v>3506700</v>
      </c>
      <c r="L42">
        <v>146500</v>
      </c>
      <c r="M42">
        <v>44000</v>
      </c>
    </row>
    <row r="43" spans="1:13" x14ac:dyDescent="0.45">
      <c r="A43" t="s">
        <v>123</v>
      </c>
      <c r="B43">
        <v>78400</v>
      </c>
      <c r="C43">
        <v>33200</v>
      </c>
      <c r="D43">
        <v>171400</v>
      </c>
      <c r="E43">
        <v>59600</v>
      </c>
      <c r="F43">
        <v>183100</v>
      </c>
      <c r="G43">
        <v>100</v>
      </c>
      <c r="H43">
        <v>100</v>
      </c>
      <c r="I43">
        <v>0</v>
      </c>
      <c r="J43">
        <v>0</v>
      </c>
      <c r="K43">
        <v>3059000</v>
      </c>
      <c r="L43">
        <v>216000</v>
      </c>
      <c r="M43">
        <v>49300</v>
      </c>
    </row>
    <row r="44" spans="1:13" x14ac:dyDescent="0.45">
      <c r="A44" t="s">
        <v>125</v>
      </c>
      <c r="B44">
        <v>89900</v>
      </c>
      <c r="C44">
        <v>47600</v>
      </c>
      <c r="D44">
        <v>288100</v>
      </c>
      <c r="E44">
        <v>76200</v>
      </c>
      <c r="F44">
        <v>646000</v>
      </c>
      <c r="G44">
        <v>500</v>
      </c>
      <c r="H44">
        <v>0</v>
      </c>
      <c r="I44">
        <v>0</v>
      </c>
      <c r="J44">
        <v>0</v>
      </c>
      <c r="K44">
        <v>8866100</v>
      </c>
      <c r="L44">
        <v>191400</v>
      </c>
      <c r="M44">
        <v>39800</v>
      </c>
    </row>
    <row r="45" spans="1:13" x14ac:dyDescent="0.45">
      <c r="A45" t="s">
        <v>127</v>
      </c>
      <c r="B45">
        <v>8300</v>
      </c>
      <c r="C45">
        <v>6000</v>
      </c>
      <c r="D45">
        <v>25300</v>
      </c>
      <c r="E45">
        <v>3500</v>
      </c>
      <c r="F45">
        <v>41200</v>
      </c>
      <c r="G45">
        <v>0</v>
      </c>
      <c r="H45">
        <v>0</v>
      </c>
      <c r="I45">
        <v>0</v>
      </c>
      <c r="J45">
        <v>0</v>
      </c>
      <c r="K45">
        <v>771500</v>
      </c>
      <c r="L45">
        <v>10800</v>
      </c>
      <c r="M45">
        <v>5500</v>
      </c>
    </row>
    <row r="46" spans="1:13" x14ac:dyDescent="0.45">
      <c r="A46" t="s">
        <v>129</v>
      </c>
      <c r="B46">
        <v>26800</v>
      </c>
      <c r="C46">
        <v>11100</v>
      </c>
      <c r="D46">
        <v>99100</v>
      </c>
      <c r="E46">
        <v>49300</v>
      </c>
      <c r="F46">
        <v>399800</v>
      </c>
      <c r="G46">
        <v>100</v>
      </c>
      <c r="H46">
        <v>100</v>
      </c>
      <c r="I46">
        <v>0</v>
      </c>
      <c r="J46">
        <v>0</v>
      </c>
      <c r="K46">
        <v>4372500</v>
      </c>
      <c r="L46">
        <v>111400</v>
      </c>
      <c r="M46">
        <v>44500</v>
      </c>
    </row>
    <row r="47" spans="1:13" x14ac:dyDescent="0.45">
      <c r="A47" t="s">
        <v>131</v>
      </c>
      <c r="B47">
        <v>2300</v>
      </c>
      <c r="C47">
        <v>1700</v>
      </c>
      <c r="D47">
        <v>14700</v>
      </c>
      <c r="E47">
        <v>24400</v>
      </c>
      <c r="F47">
        <v>103200</v>
      </c>
      <c r="G47">
        <v>0</v>
      </c>
      <c r="H47">
        <v>0</v>
      </c>
      <c r="I47">
        <v>0</v>
      </c>
      <c r="J47">
        <v>0</v>
      </c>
      <c r="K47">
        <v>765600</v>
      </c>
      <c r="L47">
        <v>54600</v>
      </c>
      <c r="M47">
        <v>13500</v>
      </c>
    </row>
    <row r="48" spans="1:13" x14ac:dyDescent="0.45">
      <c r="A48" t="s">
        <v>133</v>
      </c>
      <c r="B48">
        <v>42600</v>
      </c>
      <c r="C48">
        <v>12800</v>
      </c>
      <c r="D48">
        <v>131600</v>
      </c>
      <c r="E48">
        <v>58800</v>
      </c>
      <c r="F48">
        <v>503400</v>
      </c>
      <c r="G48">
        <v>100</v>
      </c>
      <c r="H48">
        <v>100</v>
      </c>
      <c r="I48">
        <v>0</v>
      </c>
      <c r="J48">
        <v>0</v>
      </c>
      <c r="K48">
        <v>5652900</v>
      </c>
      <c r="L48">
        <v>162000</v>
      </c>
      <c r="M48">
        <v>36100</v>
      </c>
    </row>
    <row r="49" spans="1:13" x14ac:dyDescent="0.45">
      <c r="A49" t="s">
        <v>135</v>
      </c>
      <c r="B49">
        <v>294700</v>
      </c>
      <c r="C49">
        <v>64700</v>
      </c>
      <c r="D49">
        <v>538900</v>
      </c>
      <c r="E49">
        <v>493800</v>
      </c>
      <c r="F49">
        <v>2267600</v>
      </c>
      <c r="G49">
        <v>1300</v>
      </c>
      <c r="H49">
        <v>1200</v>
      </c>
      <c r="I49">
        <v>0</v>
      </c>
      <c r="J49">
        <v>0</v>
      </c>
      <c r="K49">
        <v>21601400</v>
      </c>
      <c r="L49">
        <v>773300</v>
      </c>
      <c r="M49">
        <v>118400</v>
      </c>
    </row>
    <row r="50" spans="1:13" x14ac:dyDescent="0.45">
      <c r="A50" t="s">
        <v>137</v>
      </c>
      <c r="B50">
        <v>52200</v>
      </c>
      <c r="C50">
        <v>15500</v>
      </c>
      <c r="D50">
        <v>96000</v>
      </c>
      <c r="E50">
        <v>74700</v>
      </c>
      <c r="F50">
        <v>183000</v>
      </c>
      <c r="G50">
        <v>2000</v>
      </c>
      <c r="H50">
        <v>500</v>
      </c>
      <c r="I50">
        <v>0</v>
      </c>
      <c r="J50">
        <v>0</v>
      </c>
      <c r="K50">
        <v>2529000</v>
      </c>
      <c r="L50">
        <v>161300</v>
      </c>
      <c r="M50">
        <v>25900</v>
      </c>
    </row>
    <row r="51" spans="1:13" x14ac:dyDescent="0.45">
      <c r="A51" t="s">
        <v>139</v>
      </c>
      <c r="B51">
        <v>10200</v>
      </c>
      <c r="C51">
        <v>6900</v>
      </c>
      <c r="D51">
        <v>22200</v>
      </c>
      <c r="E51">
        <v>7400</v>
      </c>
      <c r="F51">
        <v>35000</v>
      </c>
      <c r="G51">
        <v>0</v>
      </c>
      <c r="H51">
        <v>0</v>
      </c>
      <c r="I51">
        <v>0</v>
      </c>
      <c r="J51">
        <v>0</v>
      </c>
      <c r="K51">
        <v>486200</v>
      </c>
      <c r="L51">
        <v>14300</v>
      </c>
      <c r="M51">
        <v>4900</v>
      </c>
    </row>
    <row r="52" spans="1:13" x14ac:dyDescent="0.45">
      <c r="A52" t="s">
        <v>141</v>
      </c>
      <c r="B52">
        <v>107400</v>
      </c>
      <c r="C52">
        <v>32100</v>
      </c>
      <c r="D52">
        <v>262000</v>
      </c>
      <c r="E52">
        <v>48200</v>
      </c>
      <c r="F52">
        <v>475400</v>
      </c>
      <c r="G52">
        <v>300</v>
      </c>
      <c r="H52">
        <v>0</v>
      </c>
      <c r="I52">
        <v>0</v>
      </c>
      <c r="J52">
        <v>0</v>
      </c>
      <c r="K52">
        <v>6707000</v>
      </c>
      <c r="L52">
        <v>152500</v>
      </c>
      <c r="M52">
        <v>29100</v>
      </c>
    </row>
    <row r="53" spans="1:13" x14ac:dyDescent="0.45">
      <c r="A53" t="s">
        <v>143</v>
      </c>
      <c r="B53">
        <v>191400</v>
      </c>
      <c r="C53">
        <v>48500</v>
      </c>
      <c r="D53">
        <v>336500</v>
      </c>
      <c r="E53">
        <v>79100</v>
      </c>
      <c r="F53">
        <v>330900</v>
      </c>
      <c r="G53">
        <v>100</v>
      </c>
      <c r="H53">
        <v>100</v>
      </c>
      <c r="I53">
        <v>0</v>
      </c>
      <c r="J53">
        <v>0</v>
      </c>
      <c r="K53">
        <v>5528500</v>
      </c>
      <c r="L53">
        <v>272100</v>
      </c>
      <c r="M53">
        <v>44100</v>
      </c>
    </row>
    <row r="54" spans="1:13" x14ac:dyDescent="0.45">
      <c r="A54" t="s">
        <v>145</v>
      </c>
      <c r="B54">
        <v>3800</v>
      </c>
      <c r="C54">
        <v>2200</v>
      </c>
      <c r="D54">
        <v>26600</v>
      </c>
      <c r="E54">
        <v>18700</v>
      </c>
      <c r="F54">
        <v>120500</v>
      </c>
      <c r="G54">
        <v>100</v>
      </c>
      <c r="H54">
        <v>0</v>
      </c>
      <c r="I54">
        <v>0</v>
      </c>
      <c r="J54">
        <v>0</v>
      </c>
      <c r="K54">
        <v>1285900</v>
      </c>
      <c r="L54">
        <v>46500</v>
      </c>
      <c r="M54">
        <v>16600</v>
      </c>
    </row>
    <row r="55" spans="1:13" x14ac:dyDescent="0.45">
      <c r="A55" t="s">
        <v>147</v>
      </c>
      <c r="B55">
        <v>32300</v>
      </c>
      <c r="C55">
        <v>15100</v>
      </c>
      <c r="D55">
        <v>141200</v>
      </c>
      <c r="E55">
        <v>57400</v>
      </c>
      <c r="F55">
        <v>528500</v>
      </c>
      <c r="G55">
        <v>300</v>
      </c>
      <c r="H55">
        <v>0</v>
      </c>
      <c r="I55">
        <v>0</v>
      </c>
      <c r="J55">
        <v>0</v>
      </c>
      <c r="K55">
        <v>4621700</v>
      </c>
      <c r="L55">
        <v>147300</v>
      </c>
      <c r="M55">
        <v>26300</v>
      </c>
    </row>
    <row r="56" spans="1:13" x14ac:dyDescent="0.45">
      <c r="A56" t="s">
        <v>149</v>
      </c>
      <c r="B56">
        <v>1500</v>
      </c>
      <c r="C56">
        <v>1000</v>
      </c>
      <c r="D56">
        <v>9800</v>
      </c>
      <c r="E56">
        <v>22900</v>
      </c>
      <c r="F56">
        <v>58400</v>
      </c>
      <c r="G56">
        <v>0</v>
      </c>
      <c r="H56">
        <v>0</v>
      </c>
      <c r="I56">
        <v>0</v>
      </c>
      <c r="J56">
        <v>0</v>
      </c>
      <c r="K56">
        <v>498300</v>
      </c>
      <c r="L56">
        <v>61300</v>
      </c>
      <c r="M56">
        <v>13700</v>
      </c>
    </row>
    <row r="57" spans="1:13" x14ac:dyDescent="0.45">
      <c r="A57" t="s">
        <v>332</v>
      </c>
      <c r="B57">
        <v>4503700</v>
      </c>
      <c r="C57">
        <v>1520800</v>
      </c>
      <c r="D57">
        <v>8502600</v>
      </c>
      <c r="E57">
        <v>3030600</v>
      </c>
      <c r="F57">
        <v>19912800</v>
      </c>
      <c r="G57">
        <v>23700</v>
      </c>
      <c r="H57">
        <v>5700</v>
      </c>
      <c r="I57">
        <v>16900</v>
      </c>
      <c r="J57">
        <v>0</v>
      </c>
      <c r="K57">
        <v>243320500</v>
      </c>
      <c r="L57">
        <v>7174400</v>
      </c>
      <c r="M57">
        <v>1664500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BA56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53" x14ac:dyDescent="0.45">
      <c r="A1" t="s">
        <v>523</v>
      </c>
    </row>
    <row r="3" spans="1:53" x14ac:dyDescent="0.45">
      <c r="A3" t="s">
        <v>524</v>
      </c>
      <c r="I3" t="s">
        <v>525</v>
      </c>
      <c r="N3" t="s">
        <v>526</v>
      </c>
      <c r="P3" t="s">
        <v>527</v>
      </c>
      <c r="W3" t="s">
        <v>528</v>
      </c>
      <c r="AD3" t="s">
        <v>529</v>
      </c>
      <c r="AQ3" t="s">
        <v>530</v>
      </c>
      <c r="AU3" t="s">
        <v>531</v>
      </c>
      <c r="AY3" t="s">
        <v>532</v>
      </c>
    </row>
    <row r="4" spans="1:53" x14ac:dyDescent="0.45">
      <c r="A4" t="s">
        <v>36</v>
      </c>
      <c r="B4" t="s">
        <v>36</v>
      </c>
      <c r="C4" t="s">
        <v>533</v>
      </c>
      <c r="D4" t="s">
        <v>534</v>
      </c>
      <c r="E4" t="s">
        <v>535</v>
      </c>
      <c r="F4" t="s">
        <v>536</v>
      </c>
      <c r="G4" t="s">
        <v>537</v>
      </c>
      <c r="I4" t="s">
        <v>36</v>
      </c>
      <c r="J4" t="s">
        <v>36</v>
      </c>
      <c r="K4" t="s">
        <v>538</v>
      </c>
      <c r="L4" t="s">
        <v>539</v>
      </c>
      <c r="N4" t="s">
        <v>36</v>
      </c>
      <c r="O4" t="s">
        <v>36</v>
      </c>
      <c r="P4" t="s">
        <v>540</v>
      </c>
      <c r="Q4" t="s">
        <v>541</v>
      </c>
      <c r="R4" t="s">
        <v>542</v>
      </c>
      <c r="S4" t="s">
        <v>543</v>
      </c>
      <c r="T4" t="s">
        <v>544</v>
      </c>
      <c r="U4" t="s">
        <v>545</v>
      </c>
      <c r="V4" t="s">
        <v>45</v>
      </c>
      <c r="W4" t="s">
        <v>540</v>
      </c>
      <c r="X4" t="s">
        <v>541</v>
      </c>
      <c r="Y4" t="s">
        <v>542</v>
      </c>
      <c r="Z4" t="s">
        <v>543</v>
      </c>
      <c r="AA4" t="s">
        <v>544</v>
      </c>
      <c r="AB4" t="s">
        <v>545</v>
      </c>
      <c r="AC4" t="s">
        <v>45</v>
      </c>
      <c r="AD4" t="s">
        <v>540</v>
      </c>
      <c r="AE4" t="s">
        <v>541</v>
      </c>
      <c r="AF4" t="s">
        <v>542</v>
      </c>
      <c r="AG4" t="s">
        <v>543</v>
      </c>
      <c r="AH4" t="s">
        <v>544</v>
      </c>
      <c r="AI4" t="s">
        <v>545</v>
      </c>
      <c r="AJ4" t="s">
        <v>45</v>
      </c>
      <c r="AK4" t="s">
        <v>546</v>
      </c>
      <c r="AL4" t="s">
        <v>547</v>
      </c>
      <c r="AM4" t="s">
        <v>548</v>
      </c>
      <c r="AN4" t="s">
        <v>547</v>
      </c>
      <c r="AO4" t="s">
        <v>548</v>
      </c>
      <c r="AQ4" t="s">
        <v>36</v>
      </c>
      <c r="AR4" t="s">
        <v>36</v>
      </c>
      <c r="AS4" t="s">
        <v>549</v>
      </c>
      <c r="AU4" t="s">
        <v>36</v>
      </c>
      <c r="AV4" t="s">
        <v>36</v>
      </c>
      <c r="AW4" t="s">
        <v>550</v>
      </c>
      <c r="AY4" t="s">
        <v>36</v>
      </c>
      <c r="AZ4" t="s">
        <v>36</v>
      </c>
      <c r="BA4" t="s">
        <v>551</v>
      </c>
    </row>
    <row r="5" spans="1:53" x14ac:dyDescent="0.45">
      <c r="A5" t="s">
        <v>38</v>
      </c>
      <c r="B5" t="s">
        <v>39</v>
      </c>
      <c r="C5">
        <v>1.943024261653167E-2</v>
      </c>
      <c r="D5">
        <v>5.6199143564644076E-3</v>
      </c>
      <c r="E5">
        <v>1.9360510759416159E-2</v>
      </c>
      <c r="F5">
        <v>1.9360510759416159E-2</v>
      </c>
      <c r="G5">
        <v>1.91261383714737E-2</v>
      </c>
      <c r="I5" t="s">
        <v>38</v>
      </c>
      <c r="J5" t="s">
        <v>39</v>
      </c>
      <c r="K5">
        <v>3.0236421761916212E-3</v>
      </c>
      <c r="L5">
        <v>4.1757720260783794E-3</v>
      </c>
      <c r="N5" t="s">
        <v>38</v>
      </c>
      <c r="O5" t="s">
        <v>39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Q5" t="s">
        <v>38</v>
      </c>
      <c r="AR5" t="s">
        <v>39</v>
      </c>
      <c r="AS5">
        <v>1.510545711408314E-2</v>
      </c>
      <c r="AU5" t="s">
        <v>38</v>
      </c>
      <c r="AV5" t="s">
        <v>39</v>
      </c>
      <c r="AW5">
        <v>2.1365724347645259E-2</v>
      </c>
      <c r="AY5" t="s">
        <v>38</v>
      </c>
      <c r="AZ5" t="s">
        <v>39</v>
      </c>
      <c r="BA5">
        <v>2.45719100219874E-2</v>
      </c>
    </row>
    <row r="6" spans="1:53" x14ac:dyDescent="0.45">
      <c r="A6" t="s">
        <v>506</v>
      </c>
      <c r="B6" t="s">
        <v>552</v>
      </c>
      <c r="C6">
        <v>1.644587564340822E-3</v>
      </c>
      <c r="D6">
        <v>8.6879846494438261E-3</v>
      </c>
      <c r="E6">
        <v>3.6626263291543669E-3</v>
      </c>
      <c r="F6">
        <v>3.6626263291543669E-3</v>
      </c>
      <c r="G6">
        <v>2.8763113095518602E-3</v>
      </c>
      <c r="I6" t="s">
        <v>506</v>
      </c>
      <c r="J6" t="s">
        <v>552</v>
      </c>
      <c r="K6">
        <v>5.7149773803734883E-3</v>
      </c>
      <c r="L6">
        <v>0.10138057301022239</v>
      </c>
      <c r="N6" t="s">
        <v>506</v>
      </c>
      <c r="O6" t="s">
        <v>552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5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1409597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5</v>
      </c>
      <c r="AL6">
        <v>5</v>
      </c>
      <c r="AM6">
        <v>0</v>
      </c>
      <c r="AN6">
        <v>2.8901734104046239E-2</v>
      </c>
      <c r="AO6">
        <v>0</v>
      </c>
      <c r="AQ6" t="s">
        <v>506</v>
      </c>
      <c r="AR6" t="s">
        <v>552</v>
      </c>
      <c r="AS6">
        <v>0</v>
      </c>
      <c r="AU6" t="s">
        <v>506</v>
      </c>
      <c r="AV6" t="s">
        <v>552</v>
      </c>
      <c r="AW6">
        <v>4.4450299557348043E-3</v>
      </c>
      <c r="AY6" t="s">
        <v>506</v>
      </c>
      <c r="AZ6" t="s">
        <v>552</v>
      </c>
      <c r="BA6">
        <v>1.1597818782036759E-2</v>
      </c>
    </row>
    <row r="7" spans="1:53" x14ac:dyDescent="0.45">
      <c r="A7" t="s">
        <v>40</v>
      </c>
      <c r="B7" t="s">
        <v>41</v>
      </c>
      <c r="C7">
        <v>2.2164987745011539E-2</v>
      </c>
      <c r="D7">
        <v>8.4485933444564294E-3</v>
      </c>
      <c r="E7">
        <v>2.1519812986439599E-2</v>
      </c>
      <c r="F7">
        <v>2.1519812986439599E-2</v>
      </c>
      <c r="G7">
        <v>2.163743312063434E-2</v>
      </c>
      <c r="I7" t="s">
        <v>40</v>
      </c>
      <c r="J7" t="s">
        <v>41</v>
      </c>
      <c r="K7">
        <v>2.7747641771999398E-2</v>
      </c>
      <c r="L7">
        <v>1.306331273367509E-2</v>
      </c>
      <c r="N7" t="s">
        <v>40</v>
      </c>
      <c r="O7" t="s">
        <v>41</v>
      </c>
      <c r="P7">
        <v>0</v>
      </c>
      <c r="Q7">
        <v>0</v>
      </c>
      <c r="R7">
        <v>18</v>
      </c>
      <c r="S7">
        <v>0</v>
      </c>
      <c r="T7">
        <v>6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3396815</v>
      </c>
      <c r="AG7">
        <v>0</v>
      </c>
      <c r="AH7">
        <v>205434</v>
      </c>
      <c r="AI7">
        <v>0</v>
      </c>
      <c r="AJ7">
        <v>0</v>
      </c>
      <c r="AK7">
        <v>24</v>
      </c>
      <c r="AL7">
        <v>0</v>
      </c>
      <c r="AM7">
        <v>24</v>
      </c>
      <c r="AN7">
        <v>0</v>
      </c>
      <c r="AO7">
        <v>9.3603744149765994E-3</v>
      </c>
      <c r="AQ7" t="s">
        <v>40</v>
      </c>
      <c r="AR7" t="s">
        <v>41</v>
      </c>
      <c r="AS7">
        <v>7.7615350885098756E-3</v>
      </c>
      <c r="AU7" t="s">
        <v>40</v>
      </c>
      <c r="AV7" t="s">
        <v>41</v>
      </c>
      <c r="AW7">
        <v>1.134291679672873E-2</v>
      </c>
      <c r="AY7" t="s">
        <v>40</v>
      </c>
      <c r="AZ7" t="s">
        <v>41</v>
      </c>
      <c r="BA7">
        <v>0</v>
      </c>
    </row>
    <row r="8" spans="1:53" x14ac:dyDescent="0.45">
      <c r="A8" t="s">
        <v>44</v>
      </c>
      <c r="B8" t="s">
        <v>45</v>
      </c>
      <c r="C8">
        <v>8.1682688224501768E-3</v>
      </c>
      <c r="D8">
        <v>1.2091637864138969E-2</v>
      </c>
      <c r="E8">
        <v>1.157948751337446E-2</v>
      </c>
      <c r="F8">
        <v>1.157948751337446E-2</v>
      </c>
      <c r="G8">
        <v>1.049621503238201E-2</v>
      </c>
      <c r="I8" t="s">
        <v>44</v>
      </c>
      <c r="J8" t="s">
        <v>45</v>
      </c>
      <c r="K8">
        <v>2.2710347894970609E-3</v>
      </c>
      <c r="L8">
        <v>8.4646075306704703E-4</v>
      </c>
      <c r="N8" t="s">
        <v>44</v>
      </c>
      <c r="O8" t="s">
        <v>45</v>
      </c>
      <c r="P8">
        <v>0</v>
      </c>
      <c r="Q8">
        <v>0</v>
      </c>
      <c r="R8">
        <v>0</v>
      </c>
      <c r="S8">
        <v>0</v>
      </c>
      <c r="T8">
        <v>3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53469</v>
      </c>
      <c r="AI8">
        <v>0</v>
      </c>
      <c r="AJ8">
        <v>0</v>
      </c>
      <c r="AK8">
        <v>3</v>
      </c>
      <c r="AL8">
        <v>0</v>
      </c>
      <c r="AM8">
        <v>3</v>
      </c>
      <c r="AN8">
        <v>0</v>
      </c>
      <c r="AO8">
        <v>1.1700468018720749E-3</v>
      </c>
      <c r="AQ8" t="s">
        <v>44</v>
      </c>
      <c r="AR8" t="s">
        <v>45</v>
      </c>
      <c r="AS8">
        <v>1.0997143990664031E-2</v>
      </c>
      <c r="AU8" t="s">
        <v>44</v>
      </c>
      <c r="AV8" t="s">
        <v>45</v>
      </c>
      <c r="AW8">
        <v>1.6922409992161509E-2</v>
      </c>
      <c r="AY8" t="s">
        <v>44</v>
      </c>
      <c r="AZ8" t="s">
        <v>45</v>
      </c>
      <c r="BA8">
        <v>0</v>
      </c>
    </row>
    <row r="9" spans="1:53" x14ac:dyDescent="0.45">
      <c r="A9" t="s">
        <v>35</v>
      </c>
      <c r="B9" t="s">
        <v>48</v>
      </c>
      <c r="C9">
        <v>0.13721995673783</v>
      </c>
      <c r="D9">
        <v>0.101027981854176</v>
      </c>
      <c r="E9">
        <v>9.7526036934624083E-2</v>
      </c>
      <c r="F9">
        <v>9.7526036934624083E-2</v>
      </c>
      <c r="G9">
        <v>0.1130136256941762</v>
      </c>
      <c r="I9" t="s">
        <v>35</v>
      </c>
      <c r="J9" t="s">
        <v>48</v>
      </c>
      <c r="K9">
        <v>0.1288742811339319</v>
      </c>
      <c r="L9">
        <v>0.1109819038590491</v>
      </c>
      <c r="N9" t="s">
        <v>35</v>
      </c>
      <c r="O9" t="s">
        <v>48</v>
      </c>
      <c r="P9">
        <v>77</v>
      </c>
      <c r="Q9">
        <v>6</v>
      </c>
      <c r="R9">
        <v>297</v>
      </c>
      <c r="S9">
        <v>76</v>
      </c>
      <c r="T9">
        <v>21</v>
      </c>
      <c r="U9">
        <v>0</v>
      </c>
      <c r="V9">
        <v>0</v>
      </c>
      <c r="W9">
        <v>0</v>
      </c>
      <c r="X9">
        <v>2024280</v>
      </c>
      <c r="Y9">
        <v>0</v>
      </c>
      <c r="Z9">
        <v>5874080</v>
      </c>
      <c r="AA9">
        <v>0</v>
      </c>
      <c r="AB9">
        <v>0</v>
      </c>
      <c r="AC9">
        <v>0</v>
      </c>
      <c r="AD9">
        <v>87221536</v>
      </c>
      <c r="AE9">
        <v>0</v>
      </c>
      <c r="AF9">
        <v>41767817</v>
      </c>
      <c r="AG9">
        <v>0</v>
      </c>
      <c r="AH9">
        <v>526002</v>
      </c>
      <c r="AI9">
        <v>0</v>
      </c>
      <c r="AJ9">
        <v>0</v>
      </c>
      <c r="AK9">
        <v>477</v>
      </c>
      <c r="AL9">
        <v>27</v>
      </c>
      <c r="AM9">
        <v>450</v>
      </c>
      <c r="AN9">
        <v>0.15606936416184969</v>
      </c>
      <c r="AO9">
        <v>0.17550702028081119</v>
      </c>
      <c r="AQ9" t="s">
        <v>35</v>
      </c>
      <c r="AR9" t="s">
        <v>48</v>
      </c>
      <c r="AS9">
        <v>0.1266848857801503</v>
      </c>
      <c r="AU9" t="s">
        <v>35</v>
      </c>
      <c r="AV9" t="s">
        <v>48</v>
      </c>
      <c r="AW9">
        <v>6.8630511264224925E-2</v>
      </c>
      <c r="AY9" t="s">
        <v>35</v>
      </c>
      <c r="AZ9" t="s">
        <v>48</v>
      </c>
      <c r="BA9">
        <v>8.2721723662252625E-2</v>
      </c>
    </row>
    <row r="10" spans="1:53" x14ac:dyDescent="0.45">
      <c r="A10" t="s">
        <v>51</v>
      </c>
      <c r="B10" t="s">
        <v>52</v>
      </c>
      <c r="C10">
        <v>1.6041041934344451E-2</v>
      </c>
      <c r="D10">
        <v>1.355213671340005E-2</v>
      </c>
      <c r="E10">
        <v>2.1924715692396311E-2</v>
      </c>
      <c r="F10">
        <v>2.1924715692396311E-2</v>
      </c>
      <c r="G10">
        <v>1.957532194473606E-2</v>
      </c>
      <c r="I10" t="s">
        <v>51</v>
      </c>
      <c r="J10" t="s">
        <v>52</v>
      </c>
      <c r="K10">
        <v>3.812463805269601E-2</v>
      </c>
      <c r="L10">
        <v>9.6422166952896543E-3</v>
      </c>
      <c r="N10" t="s">
        <v>51</v>
      </c>
      <c r="O10" t="s">
        <v>52</v>
      </c>
      <c r="P10">
        <v>0</v>
      </c>
      <c r="Q10">
        <v>0</v>
      </c>
      <c r="R10">
        <v>59</v>
      </c>
      <c r="S10">
        <v>13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14489393</v>
      </c>
      <c r="AG10">
        <v>5866496</v>
      </c>
      <c r="AH10">
        <v>0</v>
      </c>
      <c r="AI10">
        <v>0</v>
      </c>
      <c r="AJ10">
        <v>0</v>
      </c>
      <c r="AK10">
        <v>72</v>
      </c>
      <c r="AL10">
        <v>0</v>
      </c>
      <c r="AM10">
        <v>72</v>
      </c>
      <c r="AN10">
        <v>0</v>
      </c>
      <c r="AO10">
        <v>2.8081123244929802E-2</v>
      </c>
      <c r="AQ10" t="s">
        <v>51</v>
      </c>
      <c r="AR10" t="s">
        <v>52</v>
      </c>
      <c r="AS10">
        <v>1.1809169390818551E-2</v>
      </c>
      <c r="AU10" t="s">
        <v>51</v>
      </c>
      <c r="AV10" t="s">
        <v>52</v>
      </c>
      <c r="AW10">
        <v>7.1083639033734207E-3</v>
      </c>
      <c r="AY10" t="s">
        <v>51</v>
      </c>
      <c r="AZ10" t="s">
        <v>52</v>
      </c>
      <c r="BA10">
        <v>0</v>
      </c>
    </row>
    <row r="11" spans="1:53" x14ac:dyDescent="0.45">
      <c r="A11" t="s">
        <v>54</v>
      </c>
      <c r="B11" t="s">
        <v>55</v>
      </c>
      <c r="C11">
        <v>1.161658753403637E-2</v>
      </c>
      <c r="D11">
        <v>1.1787549264479801E-2</v>
      </c>
      <c r="E11">
        <v>9.5999703168347748E-3</v>
      </c>
      <c r="F11">
        <v>9.5999703168347748E-3</v>
      </c>
      <c r="G11">
        <v>1.0410993961471691E-2</v>
      </c>
      <c r="I11" t="s">
        <v>54</v>
      </c>
      <c r="J11" t="s">
        <v>55</v>
      </c>
      <c r="K11">
        <v>3.6011830239243022E-3</v>
      </c>
      <c r="L11">
        <v>6.9469367309794063E-3</v>
      </c>
      <c r="N11" t="s">
        <v>54</v>
      </c>
      <c r="O11" t="s">
        <v>55</v>
      </c>
      <c r="P11">
        <v>0</v>
      </c>
      <c r="Q11">
        <v>0</v>
      </c>
      <c r="R11">
        <v>0</v>
      </c>
      <c r="S11">
        <v>5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762698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5</v>
      </c>
      <c r="AL11">
        <v>5</v>
      </c>
      <c r="AM11">
        <v>0</v>
      </c>
      <c r="AN11">
        <v>2.8901734104046239E-2</v>
      </c>
      <c r="AO11">
        <v>0</v>
      </c>
      <c r="AQ11" t="s">
        <v>54</v>
      </c>
      <c r="AR11" t="s">
        <v>55</v>
      </c>
      <c r="AS11">
        <v>5.2647800669358789E-4</v>
      </c>
      <c r="AU11" t="s">
        <v>54</v>
      </c>
      <c r="AV11" t="s">
        <v>55</v>
      </c>
      <c r="AW11">
        <v>9.1612150458864373E-3</v>
      </c>
      <c r="AY11" t="s">
        <v>54</v>
      </c>
      <c r="AZ11" t="s">
        <v>55</v>
      </c>
      <c r="BA11">
        <v>0</v>
      </c>
    </row>
    <row r="12" spans="1:53" x14ac:dyDescent="0.45">
      <c r="A12" t="s">
        <v>56</v>
      </c>
      <c r="B12" t="s">
        <v>57</v>
      </c>
      <c r="C12">
        <v>3.901162491140529E-3</v>
      </c>
      <c r="D12">
        <v>3.849123909968272E-3</v>
      </c>
      <c r="E12">
        <v>3.5447787186138439E-3</v>
      </c>
      <c r="F12">
        <v>3.5447787186138439E-3</v>
      </c>
      <c r="G12">
        <v>3.6779744544263799E-3</v>
      </c>
      <c r="I12" t="s">
        <v>56</v>
      </c>
      <c r="J12" t="s">
        <v>57</v>
      </c>
      <c r="K12">
        <v>1.028182797986737E-6</v>
      </c>
      <c r="L12">
        <v>0</v>
      </c>
      <c r="N12" t="s">
        <v>56</v>
      </c>
      <c r="O12" t="s">
        <v>57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Q12" t="s">
        <v>56</v>
      </c>
      <c r="AR12" t="s">
        <v>57</v>
      </c>
      <c r="AS12">
        <v>7.9774803048147035E-4</v>
      </c>
      <c r="AU12" t="s">
        <v>56</v>
      </c>
      <c r="AV12" t="s">
        <v>57</v>
      </c>
      <c r="AW12">
        <v>5.1468910479166236E-3</v>
      </c>
      <c r="AY12" t="s">
        <v>56</v>
      </c>
      <c r="AZ12" t="s">
        <v>57</v>
      </c>
      <c r="BA12">
        <v>0</v>
      </c>
    </row>
    <row r="13" spans="1:53" x14ac:dyDescent="0.45">
      <c r="A13" t="s">
        <v>59</v>
      </c>
      <c r="B13" t="s">
        <v>60</v>
      </c>
      <c r="C13">
        <v>7.22372588319843E-2</v>
      </c>
      <c r="D13">
        <v>5.9530719187470667E-2</v>
      </c>
      <c r="E13">
        <v>5.8995285778185559E-2</v>
      </c>
      <c r="F13">
        <v>5.8995285778185559E-2</v>
      </c>
      <c r="G13">
        <v>6.450014062033152E-2</v>
      </c>
      <c r="I13" t="s">
        <v>59</v>
      </c>
      <c r="J13" t="s">
        <v>60</v>
      </c>
      <c r="K13">
        <v>0.10226599615994331</v>
      </c>
      <c r="L13">
        <v>7.2153218323429247E-2</v>
      </c>
      <c r="N13" t="s">
        <v>59</v>
      </c>
      <c r="O13" t="s">
        <v>60</v>
      </c>
      <c r="P13">
        <v>19</v>
      </c>
      <c r="Q13">
        <v>0</v>
      </c>
      <c r="R13">
        <v>0</v>
      </c>
      <c r="S13">
        <v>17</v>
      </c>
      <c r="T13">
        <v>4</v>
      </c>
      <c r="U13">
        <v>0</v>
      </c>
      <c r="V13">
        <v>0</v>
      </c>
      <c r="W13">
        <v>0</v>
      </c>
      <c r="X13">
        <v>0</v>
      </c>
      <c r="Y13">
        <v>0</v>
      </c>
      <c r="Z13">
        <v>1793303</v>
      </c>
      <c r="AA13">
        <v>0</v>
      </c>
      <c r="AB13">
        <v>0</v>
      </c>
      <c r="AC13">
        <v>0</v>
      </c>
      <c r="AD13">
        <v>4464024</v>
      </c>
      <c r="AE13">
        <v>0</v>
      </c>
      <c r="AF13">
        <v>0</v>
      </c>
      <c r="AG13">
        <v>0</v>
      </c>
      <c r="AH13">
        <v>116320</v>
      </c>
      <c r="AI13">
        <v>0</v>
      </c>
      <c r="AJ13">
        <v>0</v>
      </c>
      <c r="AK13">
        <v>40</v>
      </c>
      <c r="AL13">
        <v>11</v>
      </c>
      <c r="AM13">
        <v>29</v>
      </c>
      <c r="AN13">
        <v>6.358381502890173E-2</v>
      </c>
      <c r="AO13">
        <v>1.1310452418096721E-2</v>
      </c>
      <c r="AQ13" t="s">
        <v>59</v>
      </c>
      <c r="AR13" t="s">
        <v>60</v>
      </c>
      <c r="AS13">
        <v>2.908657136641388E-2</v>
      </c>
      <c r="AU13" t="s">
        <v>59</v>
      </c>
      <c r="AV13" t="s">
        <v>60</v>
      </c>
      <c r="AW13">
        <v>7.4305084831466209E-2</v>
      </c>
      <c r="AY13" t="s">
        <v>59</v>
      </c>
      <c r="AZ13" t="s">
        <v>60</v>
      </c>
      <c r="BA13">
        <v>3.0320262245971581E-2</v>
      </c>
    </row>
    <row r="14" spans="1:53" x14ac:dyDescent="0.45">
      <c r="A14" t="s">
        <v>62</v>
      </c>
      <c r="B14" t="s">
        <v>63</v>
      </c>
      <c r="C14">
        <v>3.2239467485563868E-2</v>
      </c>
      <c r="D14">
        <v>3.7055085413137831E-2</v>
      </c>
      <c r="E14">
        <v>3.0654408225685659E-2</v>
      </c>
      <c r="F14">
        <v>3.0654408225685659E-2</v>
      </c>
      <c r="G14">
        <v>3.1084415760626059E-2</v>
      </c>
      <c r="I14" t="s">
        <v>62</v>
      </c>
      <c r="J14" t="s">
        <v>63</v>
      </c>
      <c r="K14">
        <v>5.9270969368030023E-2</v>
      </c>
      <c r="L14">
        <v>1.8247692323770388E-2</v>
      </c>
      <c r="N14" t="s">
        <v>62</v>
      </c>
      <c r="O14" t="s">
        <v>63</v>
      </c>
      <c r="P14">
        <v>39</v>
      </c>
      <c r="Q14">
        <v>0</v>
      </c>
      <c r="R14">
        <v>0</v>
      </c>
      <c r="S14">
        <v>0</v>
      </c>
      <c r="T14">
        <v>2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23255862</v>
      </c>
      <c r="AE14">
        <v>0</v>
      </c>
      <c r="AF14">
        <v>0</v>
      </c>
      <c r="AG14">
        <v>0</v>
      </c>
      <c r="AH14">
        <v>61445</v>
      </c>
      <c r="AI14">
        <v>0</v>
      </c>
      <c r="AJ14">
        <v>0</v>
      </c>
      <c r="AK14">
        <v>41</v>
      </c>
      <c r="AL14">
        <v>0</v>
      </c>
      <c r="AM14">
        <v>41</v>
      </c>
      <c r="AN14">
        <v>0</v>
      </c>
      <c r="AO14">
        <v>1.5990639625585019E-2</v>
      </c>
      <c r="AQ14" t="s">
        <v>62</v>
      </c>
      <c r="AR14" t="s">
        <v>63</v>
      </c>
      <c r="AS14">
        <v>4.3676258501058218E-2</v>
      </c>
      <c r="AU14" t="s">
        <v>62</v>
      </c>
      <c r="AV14" t="s">
        <v>63</v>
      </c>
      <c r="AW14">
        <v>2.7618996967992589E-2</v>
      </c>
      <c r="AY14" t="s">
        <v>62</v>
      </c>
      <c r="AZ14" t="s">
        <v>63</v>
      </c>
      <c r="BA14">
        <v>2.0067530531609801E-2</v>
      </c>
    </row>
    <row r="15" spans="1:53" x14ac:dyDescent="0.45">
      <c r="A15" t="s">
        <v>477</v>
      </c>
      <c r="B15" t="s">
        <v>553</v>
      </c>
      <c r="C15">
        <v>4.5969813900990086E-3</v>
      </c>
      <c r="D15">
        <v>2.8967902936205469E-3</v>
      </c>
      <c r="E15">
        <v>4.6139629429936364E-3</v>
      </c>
      <c r="F15">
        <v>4.6139629429936364E-3</v>
      </c>
      <c r="G15">
        <v>4.6018136938534024E-3</v>
      </c>
      <c r="I15" t="s">
        <v>477</v>
      </c>
      <c r="J15" t="s">
        <v>553</v>
      </c>
      <c r="K15">
        <v>1.9313574658021759E-2</v>
      </c>
      <c r="L15">
        <v>2.105747115191876E-2</v>
      </c>
      <c r="N15" t="s">
        <v>477</v>
      </c>
      <c r="O15" t="s">
        <v>553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Q15" t="s">
        <v>477</v>
      </c>
      <c r="AR15" t="s">
        <v>553</v>
      </c>
      <c r="AS15">
        <v>0</v>
      </c>
      <c r="AU15" t="s">
        <v>477</v>
      </c>
      <c r="AV15" t="s">
        <v>553</v>
      </c>
      <c r="AW15">
        <v>1.1499036419574779E-3</v>
      </c>
      <c r="AY15" t="s">
        <v>477</v>
      </c>
      <c r="AZ15" t="s">
        <v>553</v>
      </c>
      <c r="BA15">
        <v>5.6626216110088117E-3</v>
      </c>
    </row>
    <row r="16" spans="1:53" x14ac:dyDescent="0.45">
      <c r="A16" t="s">
        <v>65</v>
      </c>
      <c r="B16" t="s">
        <v>66</v>
      </c>
      <c r="C16">
        <v>5.5475156582314748E-3</v>
      </c>
      <c r="D16">
        <v>3.8889287422514988E-3</v>
      </c>
      <c r="E16">
        <v>8.093545675871219E-3</v>
      </c>
      <c r="F16">
        <v>8.093545675871219E-3</v>
      </c>
      <c r="G16">
        <v>7.0690425233745861E-3</v>
      </c>
      <c r="I16" t="s">
        <v>65</v>
      </c>
      <c r="J16" t="s">
        <v>66</v>
      </c>
      <c r="K16">
        <v>2.6256126493398408E-3</v>
      </c>
      <c r="L16">
        <v>2.0019336137222341E-3</v>
      </c>
      <c r="N16" t="s">
        <v>65</v>
      </c>
      <c r="O16" t="s">
        <v>66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Q16" t="s">
        <v>65</v>
      </c>
      <c r="AR16" t="s">
        <v>66</v>
      </c>
      <c r="AS16">
        <v>3.487247542641595E-3</v>
      </c>
      <c r="AU16" t="s">
        <v>65</v>
      </c>
      <c r="AV16" t="s">
        <v>66</v>
      </c>
      <c r="AW16">
        <v>7.4801073893521362E-3</v>
      </c>
      <c r="AY16" t="s">
        <v>65</v>
      </c>
      <c r="AZ16" t="s">
        <v>66</v>
      </c>
      <c r="BA16">
        <v>0</v>
      </c>
    </row>
    <row r="17" spans="1:53" x14ac:dyDescent="0.45">
      <c r="A17" t="s">
        <v>67</v>
      </c>
      <c r="B17" t="s">
        <v>68</v>
      </c>
      <c r="C17">
        <v>3.9824422690032037E-2</v>
      </c>
      <c r="D17">
        <v>3.4843181463522423E-2</v>
      </c>
      <c r="E17">
        <v>3.80141734014307E-2</v>
      </c>
      <c r="F17">
        <v>3.80141734014307E-2</v>
      </c>
      <c r="G17">
        <v>3.8670119860978347E-2</v>
      </c>
      <c r="I17" t="s">
        <v>67</v>
      </c>
      <c r="J17" t="s">
        <v>68</v>
      </c>
      <c r="K17">
        <v>5.5888845867499828E-2</v>
      </c>
      <c r="L17">
        <v>4.9804339652727209E-2</v>
      </c>
      <c r="N17" t="s">
        <v>67</v>
      </c>
      <c r="O17" t="s">
        <v>68</v>
      </c>
      <c r="P17">
        <v>159</v>
      </c>
      <c r="Q17">
        <v>0</v>
      </c>
      <c r="R17">
        <v>0</v>
      </c>
      <c r="S17">
        <v>141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6107049</v>
      </c>
      <c r="AA17">
        <v>0</v>
      </c>
      <c r="AB17">
        <v>0</v>
      </c>
      <c r="AC17">
        <v>0</v>
      </c>
      <c r="AD17">
        <v>74361613</v>
      </c>
      <c r="AE17">
        <v>0</v>
      </c>
      <c r="AF17">
        <v>0</v>
      </c>
      <c r="AG17">
        <v>5664683</v>
      </c>
      <c r="AH17">
        <v>0</v>
      </c>
      <c r="AI17">
        <v>0</v>
      </c>
      <c r="AJ17">
        <v>0</v>
      </c>
      <c r="AK17">
        <v>300</v>
      </c>
      <c r="AL17">
        <v>21</v>
      </c>
      <c r="AM17">
        <v>279</v>
      </c>
      <c r="AN17">
        <v>0.1213872832369942</v>
      </c>
      <c r="AO17">
        <v>0.108814352574103</v>
      </c>
      <c r="AQ17" t="s">
        <v>67</v>
      </c>
      <c r="AR17" t="s">
        <v>68</v>
      </c>
      <c r="AS17">
        <v>0.13996462424729261</v>
      </c>
      <c r="AU17" t="s">
        <v>67</v>
      </c>
      <c r="AV17" t="s">
        <v>68</v>
      </c>
      <c r="AW17">
        <v>2.238027615926946E-2</v>
      </c>
      <c r="AY17" t="s">
        <v>67</v>
      </c>
      <c r="AZ17" t="s">
        <v>68</v>
      </c>
      <c r="BA17">
        <v>2.0847652970614111E-2</v>
      </c>
    </row>
    <row r="18" spans="1:53" x14ac:dyDescent="0.45">
      <c r="A18" t="s">
        <v>70</v>
      </c>
      <c r="B18" t="s">
        <v>71</v>
      </c>
      <c r="C18">
        <v>2.013841914269042E-2</v>
      </c>
      <c r="D18">
        <v>2.1300659026217209E-2</v>
      </c>
      <c r="E18">
        <v>2.3769843529887841E-2</v>
      </c>
      <c r="F18">
        <v>2.3769843529887841E-2</v>
      </c>
      <c r="G18">
        <v>2.2508709721910242E-2</v>
      </c>
      <c r="I18" t="s">
        <v>70</v>
      </c>
      <c r="J18" t="s">
        <v>71</v>
      </c>
      <c r="K18">
        <v>6.1674461434700744E-3</v>
      </c>
      <c r="L18">
        <v>3.0825844729679221E-2</v>
      </c>
      <c r="N18" t="s">
        <v>70</v>
      </c>
      <c r="O18" t="s">
        <v>71</v>
      </c>
      <c r="P18">
        <v>0</v>
      </c>
      <c r="Q18">
        <v>0</v>
      </c>
      <c r="R18">
        <v>0</v>
      </c>
      <c r="S18">
        <v>17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3992581</v>
      </c>
      <c r="AH18">
        <v>0</v>
      </c>
      <c r="AI18">
        <v>0</v>
      </c>
      <c r="AJ18">
        <v>0</v>
      </c>
      <c r="AK18">
        <v>17</v>
      </c>
      <c r="AL18">
        <v>0</v>
      </c>
      <c r="AM18">
        <v>17</v>
      </c>
      <c r="AN18">
        <v>0</v>
      </c>
      <c r="AO18">
        <v>6.6302652106084246E-3</v>
      </c>
      <c r="AQ18" t="s">
        <v>70</v>
      </c>
      <c r="AR18" t="s">
        <v>71</v>
      </c>
      <c r="AS18">
        <v>2.1901485078453249E-2</v>
      </c>
      <c r="AU18" t="s">
        <v>70</v>
      </c>
      <c r="AV18" t="s">
        <v>71</v>
      </c>
      <c r="AW18">
        <v>1.9279102968611472E-2</v>
      </c>
      <c r="AY18" t="s">
        <v>70</v>
      </c>
      <c r="AZ18" t="s">
        <v>71</v>
      </c>
      <c r="BA18">
        <v>1.1399618578944389E-2</v>
      </c>
    </row>
    <row r="19" spans="1:53" x14ac:dyDescent="0.45">
      <c r="A19" t="s">
        <v>73</v>
      </c>
      <c r="B19" t="s">
        <v>74</v>
      </c>
      <c r="C19">
        <v>1.1256278983915791E-2</v>
      </c>
      <c r="D19">
        <v>9.47813689262322E-3</v>
      </c>
      <c r="E19">
        <v>1.4918882801456189E-2</v>
      </c>
      <c r="F19">
        <v>1.4918882801456189E-2</v>
      </c>
      <c r="G19">
        <v>1.3694209178266289E-2</v>
      </c>
      <c r="I19" t="s">
        <v>73</v>
      </c>
      <c r="J19" t="s">
        <v>74</v>
      </c>
      <c r="K19">
        <v>2.3843388255356391E-3</v>
      </c>
      <c r="L19">
        <v>3.5426238348524089E-3</v>
      </c>
      <c r="N19" t="s">
        <v>73</v>
      </c>
      <c r="O19" t="s">
        <v>74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Q19" t="s">
        <v>73</v>
      </c>
      <c r="AR19" t="s">
        <v>74</v>
      </c>
      <c r="AS19">
        <v>1.382049384350896E-2</v>
      </c>
      <c r="AU19" t="s">
        <v>73</v>
      </c>
      <c r="AV19" t="s">
        <v>74</v>
      </c>
      <c r="AW19">
        <v>1.48289262121235E-2</v>
      </c>
      <c r="AY19" t="s">
        <v>73</v>
      </c>
      <c r="AZ19" t="s">
        <v>74</v>
      </c>
      <c r="BA19">
        <v>0</v>
      </c>
    </row>
    <row r="20" spans="1:53" x14ac:dyDescent="0.45">
      <c r="A20" t="s">
        <v>75</v>
      </c>
      <c r="B20" t="s">
        <v>76</v>
      </c>
      <c r="C20">
        <v>8.7256354200437522E-3</v>
      </c>
      <c r="D20">
        <v>6.6050040836360948E-3</v>
      </c>
      <c r="E20">
        <v>1.033323361349224E-2</v>
      </c>
      <c r="F20">
        <v>1.033323361349224E-2</v>
      </c>
      <c r="G20">
        <v>9.7013486128604727E-3</v>
      </c>
      <c r="I20" t="s">
        <v>75</v>
      </c>
      <c r="J20" t="s">
        <v>76</v>
      </c>
      <c r="K20">
        <v>1.089714680469368E-3</v>
      </c>
      <c r="L20">
        <v>1.418865037805406E-3</v>
      </c>
      <c r="N20" t="s">
        <v>75</v>
      </c>
      <c r="O20" t="s">
        <v>76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Q20" t="s">
        <v>75</v>
      </c>
      <c r="AR20" t="s">
        <v>76</v>
      </c>
      <c r="AS20">
        <v>1.47610155707209E-2</v>
      </c>
      <c r="AU20" t="s">
        <v>75</v>
      </c>
      <c r="AV20" t="s">
        <v>76</v>
      </c>
      <c r="AW20">
        <v>7.2084104864349749E-3</v>
      </c>
      <c r="AY20" t="s">
        <v>75</v>
      </c>
      <c r="AZ20" t="s">
        <v>76</v>
      </c>
      <c r="BA20">
        <v>0</v>
      </c>
    </row>
    <row r="21" spans="1:53" x14ac:dyDescent="0.45">
      <c r="A21" t="s">
        <v>78</v>
      </c>
      <c r="B21" t="s">
        <v>79</v>
      </c>
      <c r="C21">
        <v>1.537726950610515E-2</v>
      </c>
      <c r="D21">
        <v>1.0857018020167079E-2</v>
      </c>
      <c r="E21">
        <v>1.6362743237540112E-2</v>
      </c>
      <c r="F21">
        <v>1.6362743237540112E-2</v>
      </c>
      <c r="G21">
        <v>1.5853030196487899E-2</v>
      </c>
      <c r="I21" t="s">
        <v>78</v>
      </c>
      <c r="J21" t="s">
        <v>79</v>
      </c>
      <c r="K21">
        <v>7.6947994114762814E-3</v>
      </c>
      <c r="L21">
        <v>0.1257765299227033</v>
      </c>
      <c r="N21" t="s">
        <v>78</v>
      </c>
      <c r="O21" t="s">
        <v>79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Q21" t="s">
        <v>78</v>
      </c>
      <c r="AR21" t="s">
        <v>79</v>
      </c>
      <c r="AS21">
        <v>1.1346939547653669E-2</v>
      </c>
      <c r="AU21" t="s">
        <v>78</v>
      </c>
      <c r="AV21" t="s">
        <v>79</v>
      </c>
      <c r="AW21">
        <v>1.447569314990617E-2</v>
      </c>
      <c r="AY21" t="s">
        <v>78</v>
      </c>
      <c r="AZ21" t="s">
        <v>79</v>
      </c>
      <c r="BA21">
        <v>1.5921899638795391E-2</v>
      </c>
    </row>
    <row r="22" spans="1:53" x14ac:dyDescent="0.45">
      <c r="A22" t="s">
        <v>81</v>
      </c>
      <c r="B22" t="s">
        <v>82</v>
      </c>
      <c r="C22">
        <v>1.2434344865693741E-2</v>
      </c>
      <c r="D22">
        <v>2.9608257869392821E-2</v>
      </c>
      <c r="E22">
        <v>1.504473007294546E-2</v>
      </c>
      <c r="F22">
        <v>1.504473007294546E-2</v>
      </c>
      <c r="G22">
        <v>1.3753588069372821E-2</v>
      </c>
      <c r="I22" t="s">
        <v>81</v>
      </c>
      <c r="J22" t="s">
        <v>82</v>
      </c>
      <c r="K22">
        <v>8.7396893791648837E-3</v>
      </c>
      <c r="L22">
        <v>4.2885194697862153E-3</v>
      </c>
      <c r="N22" t="s">
        <v>81</v>
      </c>
      <c r="O22" t="s">
        <v>82</v>
      </c>
      <c r="P22">
        <v>0</v>
      </c>
      <c r="Q22">
        <v>0</v>
      </c>
      <c r="R22">
        <v>0</v>
      </c>
      <c r="S22">
        <v>0</v>
      </c>
      <c r="T22">
        <v>31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1137596</v>
      </c>
      <c r="AI22">
        <v>0</v>
      </c>
      <c r="AJ22">
        <v>0</v>
      </c>
      <c r="AK22">
        <v>31</v>
      </c>
      <c r="AL22">
        <v>0</v>
      </c>
      <c r="AM22">
        <v>31</v>
      </c>
      <c r="AN22">
        <v>0</v>
      </c>
      <c r="AO22">
        <v>1.2090483619344771E-2</v>
      </c>
      <c r="AQ22" t="s">
        <v>81</v>
      </c>
      <c r="AR22" t="s">
        <v>82</v>
      </c>
      <c r="AS22">
        <v>1.548202273920974E-2</v>
      </c>
      <c r="AU22" t="s">
        <v>81</v>
      </c>
      <c r="AV22" t="s">
        <v>82</v>
      </c>
      <c r="AW22">
        <v>2.7762385031080809E-2</v>
      </c>
      <c r="AY22" t="s">
        <v>81</v>
      </c>
      <c r="AZ22" t="s">
        <v>82</v>
      </c>
      <c r="BA22">
        <v>0.21596852518465989</v>
      </c>
    </row>
    <row r="23" spans="1:53" x14ac:dyDescent="0.45">
      <c r="A23" t="s">
        <v>83</v>
      </c>
      <c r="B23" t="s">
        <v>84</v>
      </c>
      <c r="C23">
        <v>3.4442780311619179E-3</v>
      </c>
      <c r="D23">
        <v>4.6211953965048453E-3</v>
      </c>
      <c r="E23">
        <v>4.4200410154940761E-3</v>
      </c>
      <c r="F23">
        <v>4.4200410154940761E-3</v>
      </c>
      <c r="G23">
        <v>4.0871307693869964E-3</v>
      </c>
      <c r="I23" t="s">
        <v>83</v>
      </c>
      <c r="J23" t="s">
        <v>84</v>
      </c>
      <c r="K23">
        <v>1.5590838646556029E-3</v>
      </c>
      <c r="L23">
        <v>1.8478618544473161E-4</v>
      </c>
      <c r="N23" t="s">
        <v>83</v>
      </c>
      <c r="O23" t="s">
        <v>84</v>
      </c>
      <c r="P23">
        <v>0</v>
      </c>
      <c r="Q23">
        <v>0</v>
      </c>
      <c r="R23">
        <v>0</v>
      </c>
      <c r="S23">
        <v>3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3</v>
      </c>
      <c r="AL23">
        <v>0</v>
      </c>
      <c r="AM23">
        <v>0</v>
      </c>
      <c r="AN23">
        <v>0</v>
      </c>
      <c r="AO23">
        <v>0</v>
      </c>
      <c r="AQ23" t="s">
        <v>83</v>
      </c>
      <c r="AR23" t="s">
        <v>84</v>
      </c>
      <c r="AS23">
        <v>8.1916408499104008E-4</v>
      </c>
      <c r="AU23" t="s">
        <v>83</v>
      </c>
      <c r="AV23" t="s">
        <v>84</v>
      </c>
      <c r="AW23">
        <v>9.6112440801633184E-3</v>
      </c>
      <c r="AY23" t="s">
        <v>83</v>
      </c>
      <c r="AZ23" t="s">
        <v>84</v>
      </c>
      <c r="BA23">
        <v>0</v>
      </c>
    </row>
    <row r="24" spans="1:53" x14ac:dyDescent="0.45">
      <c r="A24" t="s">
        <v>86</v>
      </c>
      <c r="B24" t="s">
        <v>87</v>
      </c>
      <c r="C24">
        <v>1.7218182912621841E-2</v>
      </c>
      <c r="D24">
        <v>2.3171045993094011E-2</v>
      </c>
      <c r="E24">
        <v>1.388518604728289E-2</v>
      </c>
      <c r="F24">
        <v>1.388518604728289E-2</v>
      </c>
      <c r="G24">
        <v>1.5204802498263569E-2</v>
      </c>
      <c r="I24" t="s">
        <v>86</v>
      </c>
      <c r="J24" t="s">
        <v>87</v>
      </c>
      <c r="K24">
        <v>1.4293871995717401E-2</v>
      </c>
      <c r="L24">
        <v>7.6018772745150556E-3</v>
      </c>
      <c r="N24" t="s">
        <v>86</v>
      </c>
      <c r="O24" t="s">
        <v>87</v>
      </c>
      <c r="P24">
        <v>9</v>
      </c>
      <c r="Q24">
        <v>0</v>
      </c>
      <c r="R24">
        <v>18</v>
      </c>
      <c r="S24">
        <v>28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769331</v>
      </c>
      <c r="AA24">
        <v>0</v>
      </c>
      <c r="AB24">
        <v>0</v>
      </c>
      <c r="AC24">
        <v>0</v>
      </c>
      <c r="AD24">
        <v>5042839</v>
      </c>
      <c r="AE24">
        <v>0</v>
      </c>
      <c r="AF24">
        <v>3064219</v>
      </c>
      <c r="AG24">
        <v>170401</v>
      </c>
      <c r="AH24">
        <v>0</v>
      </c>
      <c r="AI24">
        <v>0</v>
      </c>
      <c r="AJ24">
        <v>0</v>
      </c>
      <c r="AK24">
        <v>55</v>
      </c>
      <c r="AL24">
        <v>5</v>
      </c>
      <c r="AM24">
        <v>50</v>
      </c>
      <c r="AN24">
        <v>2.8901734104046239E-2</v>
      </c>
      <c r="AO24">
        <v>1.9500780031201249E-2</v>
      </c>
      <c r="AQ24" t="s">
        <v>86</v>
      </c>
      <c r="AR24" t="s">
        <v>87</v>
      </c>
      <c r="AS24">
        <v>7.5081117768133017E-3</v>
      </c>
      <c r="AU24" t="s">
        <v>86</v>
      </c>
      <c r="AV24" t="s">
        <v>87</v>
      </c>
      <c r="AW24">
        <v>1.5780271698708812E-2</v>
      </c>
      <c r="AY24" t="s">
        <v>86</v>
      </c>
      <c r="AZ24" t="s">
        <v>87</v>
      </c>
      <c r="BA24">
        <v>1.6257037173208221E-2</v>
      </c>
    </row>
    <row r="25" spans="1:53" x14ac:dyDescent="0.45">
      <c r="A25" t="s">
        <v>89</v>
      </c>
      <c r="B25" t="s">
        <v>90</v>
      </c>
      <c r="C25">
        <v>1.9241988291705571E-2</v>
      </c>
      <c r="D25">
        <v>1.381990883126142E-2</v>
      </c>
      <c r="E25">
        <v>1.7655878338470109E-2</v>
      </c>
      <c r="F25">
        <v>1.7655878338470109E-2</v>
      </c>
      <c r="G25">
        <v>1.8305321184835681E-2</v>
      </c>
      <c r="I25" t="s">
        <v>89</v>
      </c>
      <c r="J25" t="s">
        <v>90</v>
      </c>
      <c r="K25">
        <v>2.245905809730564E-2</v>
      </c>
      <c r="L25">
        <v>5.642305850876092E-3</v>
      </c>
      <c r="N25" t="s">
        <v>89</v>
      </c>
      <c r="O25" t="s">
        <v>90</v>
      </c>
      <c r="P25">
        <v>56</v>
      </c>
      <c r="Q25">
        <v>0</v>
      </c>
      <c r="R25">
        <v>86</v>
      </c>
      <c r="S25">
        <v>67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7667743</v>
      </c>
      <c r="AA25">
        <v>0</v>
      </c>
      <c r="AB25">
        <v>0</v>
      </c>
      <c r="AC25">
        <v>0</v>
      </c>
      <c r="AD25">
        <v>23639631</v>
      </c>
      <c r="AE25">
        <v>0</v>
      </c>
      <c r="AF25">
        <v>5784446</v>
      </c>
      <c r="AG25">
        <v>0</v>
      </c>
      <c r="AH25">
        <v>0</v>
      </c>
      <c r="AI25">
        <v>0</v>
      </c>
      <c r="AJ25">
        <v>0</v>
      </c>
      <c r="AK25">
        <v>209</v>
      </c>
      <c r="AL25">
        <v>43</v>
      </c>
      <c r="AM25">
        <v>166</v>
      </c>
      <c r="AN25">
        <v>0.2485549132947977</v>
      </c>
      <c r="AO25">
        <v>6.4742589703588149E-2</v>
      </c>
      <c r="AQ25" t="s">
        <v>89</v>
      </c>
      <c r="AR25" t="s">
        <v>90</v>
      </c>
      <c r="AS25">
        <v>6.3016740394408769E-3</v>
      </c>
      <c r="AU25" t="s">
        <v>89</v>
      </c>
      <c r="AV25" t="s">
        <v>90</v>
      </c>
      <c r="AW25">
        <v>1.142761327228084E-2</v>
      </c>
      <c r="AY25" t="s">
        <v>89</v>
      </c>
      <c r="AZ25" t="s">
        <v>90</v>
      </c>
      <c r="BA25">
        <v>6.1526488465313313E-3</v>
      </c>
    </row>
    <row r="26" spans="1:53" x14ac:dyDescent="0.45">
      <c r="A26" t="s">
        <v>91</v>
      </c>
      <c r="B26" t="s">
        <v>92</v>
      </c>
      <c r="C26">
        <v>2.6085294231695991E-2</v>
      </c>
      <c r="D26">
        <v>8.9899429859984156E-3</v>
      </c>
      <c r="E26">
        <v>3.3763872018904947E-2</v>
      </c>
      <c r="F26">
        <v>3.3763872018904947E-2</v>
      </c>
      <c r="G26">
        <v>3.052562126523484E-2</v>
      </c>
      <c r="I26" t="s">
        <v>91</v>
      </c>
      <c r="J26" t="s">
        <v>92</v>
      </c>
      <c r="K26">
        <v>2.2627806063268061E-2</v>
      </c>
      <c r="L26">
        <v>9.0100979798436592E-3</v>
      </c>
      <c r="N26" t="s">
        <v>91</v>
      </c>
      <c r="O26" t="s">
        <v>92</v>
      </c>
      <c r="P26">
        <v>0</v>
      </c>
      <c r="Q26">
        <v>0</v>
      </c>
      <c r="R26">
        <v>0</v>
      </c>
      <c r="S26">
        <v>0</v>
      </c>
      <c r="T26">
        <v>5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167286</v>
      </c>
      <c r="AI26">
        <v>0</v>
      </c>
      <c r="AJ26">
        <v>0</v>
      </c>
      <c r="AK26">
        <v>5</v>
      </c>
      <c r="AL26">
        <v>0</v>
      </c>
      <c r="AM26">
        <v>5</v>
      </c>
      <c r="AN26">
        <v>0</v>
      </c>
      <c r="AO26">
        <v>1.9500780031201251E-3</v>
      </c>
      <c r="AQ26" t="s">
        <v>91</v>
      </c>
      <c r="AR26" t="s">
        <v>92</v>
      </c>
      <c r="AS26">
        <v>1.8355343385910342E-2</v>
      </c>
      <c r="AU26" t="s">
        <v>91</v>
      </c>
      <c r="AV26" t="s">
        <v>92</v>
      </c>
      <c r="AW26">
        <v>6.7166562481574224E-2</v>
      </c>
      <c r="AY26" t="s">
        <v>91</v>
      </c>
      <c r="AZ26" t="s">
        <v>92</v>
      </c>
      <c r="BA26">
        <v>0</v>
      </c>
    </row>
    <row r="27" spans="1:53" x14ac:dyDescent="0.45">
      <c r="A27" t="s">
        <v>94</v>
      </c>
      <c r="B27" t="s">
        <v>95</v>
      </c>
      <c r="C27">
        <v>1.6921873141278739E-2</v>
      </c>
      <c r="D27">
        <v>2.0139513949630049E-2</v>
      </c>
      <c r="E27">
        <v>2.1055787550594621E-2</v>
      </c>
      <c r="F27">
        <v>2.1055787550594621E-2</v>
      </c>
      <c r="G27">
        <v>1.9624078834316279E-2</v>
      </c>
      <c r="I27" t="s">
        <v>94</v>
      </c>
      <c r="J27" t="s">
        <v>95</v>
      </c>
      <c r="K27">
        <v>2.0978340339614349E-2</v>
      </c>
      <c r="L27">
        <v>6.3649036228589466E-3</v>
      </c>
      <c r="N27" t="s">
        <v>94</v>
      </c>
      <c r="O27" t="s">
        <v>95</v>
      </c>
      <c r="P27">
        <v>0</v>
      </c>
      <c r="Q27">
        <v>0</v>
      </c>
      <c r="R27">
        <v>23</v>
      </c>
      <c r="S27">
        <v>4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186128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5398517</v>
      </c>
      <c r="AG27">
        <v>0</v>
      </c>
      <c r="AH27">
        <v>0</v>
      </c>
      <c r="AI27">
        <v>0</v>
      </c>
      <c r="AJ27">
        <v>0</v>
      </c>
      <c r="AK27">
        <v>27</v>
      </c>
      <c r="AL27">
        <v>1</v>
      </c>
      <c r="AM27">
        <v>26</v>
      </c>
      <c r="AN27">
        <v>5.7803468208092483E-3</v>
      </c>
      <c r="AO27">
        <v>1.0140405616224649E-2</v>
      </c>
      <c r="AQ27" t="s">
        <v>94</v>
      </c>
      <c r="AR27" t="s">
        <v>95</v>
      </c>
      <c r="AS27">
        <v>3.8213379929908822E-2</v>
      </c>
      <c r="AU27" t="s">
        <v>94</v>
      </c>
      <c r="AV27" t="s">
        <v>95</v>
      </c>
      <c r="AW27">
        <v>5.3151553146451487E-2</v>
      </c>
      <c r="AY27" t="s">
        <v>94</v>
      </c>
      <c r="AZ27" t="s">
        <v>95</v>
      </c>
      <c r="BA27">
        <v>1.202369676420678E-2</v>
      </c>
    </row>
    <row r="28" spans="1:53" x14ac:dyDescent="0.45">
      <c r="A28" t="s">
        <v>97</v>
      </c>
      <c r="B28" t="s">
        <v>98</v>
      </c>
      <c r="C28">
        <v>7.4258726467370502E-3</v>
      </c>
      <c r="D28">
        <v>7.4661150167374931E-3</v>
      </c>
      <c r="E28">
        <v>7.7149653902347688E-3</v>
      </c>
      <c r="F28">
        <v>7.7149653902347688E-3</v>
      </c>
      <c r="G28">
        <v>7.474671160387439E-3</v>
      </c>
      <c r="I28" t="s">
        <v>97</v>
      </c>
      <c r="J28" t="s">
        <v>98</v>
      </c>
      <c r="K28">
        <v>1.0998705213566471E-3</v>
      </c>
      <c r="L28">
        <v>4.1249966098948741E-4</v>
      </c>
      <c r="N28" t="s">
        <v>97</v>
      </c>
      <c r="O28" t="s">
        <v>98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Q28" t="s">
        <v>97</v>
      </c>
      <c r="AR28" t="s">
        <v>98</v>
      </c>
      <c r="AS28">
        <v>4.7400867314514213E-3</v>
      </c>
      <c r="AU28" t="s">
        <v>97</v>
      </c>
      <c r="AV28" t="s">
        <v>98</v>
      </c>
      <c r="AW28">
        <v>1.1772358627992941E-2</v>
      </c>
      <c r="AY28" t="s">
        <v>97</v>
      </c>
      <c r="AZ28" t="s">
        <v>98</v>
      </c>
      <c r="BA28">
        <v>1.066657833446176E-2</v>
      </c>
    </row>
    <row r="29" spans="1:53" x14ac:dyDescent="0.45">
      <c r="A29" t="s">
        <v>99</v>
      </c>
      <c r="B29" t="s">
        <v>100</v>
      </c>
      <c r="C29">
        <v>1.891138965249051E-2</v>
      </c>
      <c r="D29">
        <v>2.735587782241795E-2</v>
      </c>
      <c r="E29">
        <v>2.0955366279681621E-2</v>
      </c>
      <c r="F29">
        <v>2.0955366279681621E-2</v>
      </c>
      <c r="G29">
        <v>2.0016149433750761E-2</v>
      </c>
      <c r="I29" t="s">
        <v>99</v>
      </c>
      <c r="J29" t="s">
        <v>100</v>
      </c>
      <c r="K29">
        <v>1.5320908097624141E-2</v>
      </c>
      <c r="L29">
        <v>6.1586397540831462E-3</v>
      </c>
      <c r="N29" t="s">
        <v>99</v>
      </c>
      <c r="O29" t="s">
        <v>100</v>
      </c>
      <c r="P29">
        <v>0</v>
      </c>
      <c r="Q29">
        <v>0</v>
      </c>
      <c r="R29">
        <v>29</v>
      </c>
      <c r="S29">
        <v>0</v>
      </c>
      <c r="T29">
        <v>3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6299859</v>
      </c>
      <c r="AG29">
        <v>0</v>
      </c>
      <c r="AH29">
        <v>140499</v>
      </c>
      <c r="AI29">
        <v>0</v>
      </c>
      <c r="AJ29">
        <v>0</v>
      </c>
      <c r="AK29">
        <v>32</v>
      </c>
      <c r="AL29">
        <v>0</v>
      </c>
      <c r="AM29">
        <v>32</v>
      </c>
      <c r="AN29">
        <v>0</v>
      </c>
      <c r="AO29">
        <v>1.2480499219968799E-2</v>
      </c>
      <c r="AQ29" t="s">
        <v>99</v>
      </c>
      <c r="AR29" t="s">
        <v>100</v>
      </c>
      <c r="AS29">
        <v>1.972061686089541E-2</v>
      </c>
      <c r="AU29" t="s">
        <v>99</v>
      </c>
      <c r="AV29" t="s">
        <v>100</v>
      </c>
      <c r="AW29">
        <v>2.668020245166499E-2</v>
      </c>
      <c r="AY29" t="s">
        <v>99</v>
      </c>
      <c r="AZ29" t="s">
        <v>100</v>
      </c>
      <c r="BA29">
        <v>1.4201298483873951E-2</v>
      </c>
    </row>
    <row r="30" spans="1:53" x14ac:dyDescent="0.45">
      <c r="A30" t="s">
        <v>101</v>
      </c>
      <c r="B30" t="s">
        <v>102</v>
      </c>
      <c r="C30">
        <v>4.0453956171535577E-3</v>
      </c>
      <c r="D30">
        <v>5.1398356510894052E-3</v>
      </c>
      <c r="E30">
        <v>7.0584968460781364E-3</v>
      </c>
      <c r="F30">
        <v>7.0584968460781364E-3</v>
      </c>
      <c r="G30">
        <v>6.8747430087207056E-3</v>
      </c>
      <c r="I30" t="s">
        <v>101</v>
      </c>
      <c r="J30" t="s">
        <v>102</v>
      </c>
      <c r="K30">
        <v>2.583000184489947E-3</v>
      </c>
      <c r="L30">
        <v>3.7123819054950291E-3</v>
      </c>
      <c r="N30" t="s">
        <v>101</v>
      </c>
      <c r="O30" t="s">
        <v>102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Q30" t="s">
        <v>101</v>
      </c>
      <c r="AR30" t="s">
        <v>102</v>
      </c>
      <c r="AS30">
        <v>6.1963784381021594E-3</v>
      </c>
      <c r="AU30" t="s">
        <v>101</v>
      </c>
      <c r="AV30" t="s">
        <v>102</v>
      </c>
      <c r="AW30">
        <v>5.6453180682232819E-3</v>
      </c>
      <c r="AY30" t="s">
        <v>101</v>
      </c>
      <c r="AZ30" t="s">
        <v>102</v>
      </c>
      <c r="BA30">
        <v>0</v>
      </c>
    </row>
    <row r="31" spans="1:53" x14ac:dyDescent="0.45">
      <c r="A31" t="s">
        <v>103</v>
      </c>
      <c r="B31" t="s">
        <v>104</v>
      </c>
      <c r="C31">
        <v>6.097444737167842E-3</v>
      </c>
      <c r="D31">
        <v>1.367291395202043E-2</v>
      </c>
      <c r="E31">
        <v>7.8254626072294785E-3</v>
      </c>
      <c r="F31">
        <v>7.8254626072294785E-3</v>
      </c>
      <c r="G31">
        <v>7.1194998673540962E-3</v>
      </c>
      <c r="I31" t="s">
        <v>103</v>
      </c>
      <c r="J31" t="s">
        <v>104</v>
      </c>
      <c r="K31">
        <v>2.9440204690503301E-3</v>
      </c>
      <c r="L31">
        <v>2.5920770977760649E-3</v>
      </c>
      <c r="N31" t="s">
        <v>103</v>
      </c>
      <c r="O31" t="s">
        <v>104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Q31" t="s">
        <v>103</v>
      </c>
      <c r="AR31" t="s">
        <v>104</v>
      </c>
      <c r="AS31">
        <v>1.0608085667073511E-2</v>
      </c>
      <c r="AU31" t="s">
        <v>103</v>
      </c>
      <c r="AV31" t="s">
        <v>104</v>
      </c>
      <c r="AW31">
        <v>7.5034937296165243E-3</v>
      </c>
      <c r="AY31" t="s">
        <v>103</v>
      </c>
      <c r="AZ31" t="s">
        <v>104</v>
      </c>
      <c r="BA31">
        <v>0</v>
      </c>
    </row>
    <row r="32" spans="1:53" x14ac:dyDescent="0.45">
      <c r="A32" t="s">
        <v>105</v>
      </c>
      <c r="B32" t="s">
        <v>106</v>
      </c>
      <c r="C32">
        <v>9.7670271211845825E-3</v>
      </c>
      <c r="D32">
        <v>4.3198075924056924E-3</v>
      </c>
      <c r="E32">
        <v>8.8863062511559138E-3</v>
      </c>
      <c r="F32">
        <v>8.8863062511559138E-3</v>
      </c>
      <c r="G32">
        <v>9.210360028140345E-3</v>
      </c>
      <c r="I32" t="s">
        <v>105</v>
      </c>
      <c r="J32" t="s">
        <v>106</v>
      </c>
      <c r="K32">
        <v>2.8961975837721331E-2</v>
      </c>
      <c r="L32">
        <v>5.8123158340388512E-3</v>
      </c>
      <c r="N32" t="s">
        <v>105</v>
      </c>
      <c r="O32" t="s">
        <v>106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Q32" t="s">
        <v>105</v>
      </c>
      <c r="AR32" t="s">
        <v>106</v>
      </c>
      <c r="AS32">
        <v>2.1023426843560901E-3</v>
      </c>
      <c r="AU32" t="s">
        <v>105</v>
      </c>
      <c r="AV32" t="s">
        <v>106</v>
      </c>
      <c r="AW32">
        <v>4.0433989074877006E-3</v>
      </c>
      <c r="AY32" t="s">
        <v>105</v>
      </c>
      <c r="AZ32" t="s">
        <v>106</v>
      </c>
      <c r="BA32">
        <v>0</v>
      </c>
    </row>
    <row r="33" spans="1:53" x14ac:dyDescent="0.45">
      <c r="A33" t="s">
        <v>107</v>
      </c>
      <c r="B33" t="s">
        <v>108</v>
      </c>
      <c r="C33">
        <v>4.5069941797046507E-3</v>
      </c>
      <c r="D33">
        <v>3.111548468210617E-3</v>
      </c>
      <c r="E33">
        <v>5.0008307835887177E-3</v>
      </c>
      <c r="F33">
        <v>5.0008307835887177E-3</v>
      </c>
      <c r="G33">
        <v>4.9310046236456144E-3</v>
      </c>
      <c r="I33" t="s">
        <v>107</v>
      </c>
      <c r="J33" t="s">
        <v>108</v>
      </c>
      <c r="K33">
        <v>1.046161583173963E-3</v>
      </c>
      <c r="L33">
        <v>3.1088974337552199E-3</v>
      </c>
      <c r="N33" t="s">
        <v>107</v>
      </c>
      <c r="O33" t="s">
        <v>108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Q33" t="s">
        <v>107</v>
      </c>
      <c r="AR33" t="s">
        <v>108</v>
      </c>
      <c r="AS33">
        <v>1.558017965571194E-4</v>
      </c>
      <c r="AU33" t="s">
        <v>107</v>
      </c>
      <c r="AV33" t="s">
        <v>108</v>
      </c>
      <c r="AW33">
        <v>7.9986701389211812E-3</v>
      </c>
      <c r="AY33" t="s">
        <v>107</v>
      </c>
      <c r="AZ33" t="s">
        <v>108</v>
      </c>
      <c r="BA33">
        <v>0</v>
      </c>
    </row>
    <row r="34" spans="1:53" x14ac:dyDescent="0.45">
      <c r="A34" t="s">
        <v>109</v>
      </c>
      <c r="B34" t="s">
        <v>110</v>
      </c>
      <c r="C34">
        <v>2.4314296610427659E-2</v>
      </c>
      <c r="D34">
        <v>2.6150889061240482E-2</v>
      </c>
      <c r="E34">
        <v>2.0330447294244179E-2</v>
      </c>
      <c r="F34">
        <v>2.0330447294244179E-2</v>
      </c>
      <c r="G34">
        <v>2.1819917425682209E-2</v>
      </c>
      <c r="I34" t="s">
        <v>109</v>
      </c>
      <c r="J34" t="s">
        <v>110</v>
      </c>
      <c r="K34">
        <v>2.580462825798965E-2</v>
      </c>
      <c r="L34">
        <v>1.681815011856011E-2</v>
      </c>
      <c r="N34" t="s">
        <v>109</v>
      </c>
      <c r="O34" t="s">
        <v>110</v>
      </c>
      <c r="P34">
        <v>54</v>
      </c>
      <c r="Q34">
        <v>12</v>
      </c>
      <c r="R34">
        <v>34</v>
      </c>
      <c r="S34">
        <v>115</v>
      </c>
      <c r="T34">
        <v>0</v>
      </c>
      <c r="U34">
        <v>0</v>
      </c>
      <c r="V34">
        <v>0</v>
      </c>
      <c r="W34">
        <v>0</v>
      </c>
      <c r="X34">
        <v>1337301</v>
      </c>
      <c r="Y34">
        <v>0</v>
      </c>
      <c r="Z34">
        <v>2682254</v>
      </c>
      <c r="AA34">
        <v>0</v>
      </c>
      <c r="AB34">
        <v>0</v>
      </c>
      <c r="AC34">
        <v>0</v>
      </c>
      <c r="AD34">
        <v>19137760</v>
      </c>
      <c r="AE34">
        <v>0</v>
      </c>
      <c r="AF34">
        <v>2804405</v>
      </c>
      <c r="AG34">
        <v>8342619</v>
      </c>
      <c r="AH34">
        <v>0</v>
      </c>
      <c r="AI34">
        <v>0</v>
      </c>
      <c r="AJ34">
        <v>0</v>
      </c>
      <c r="AK34">
        <v>215</v>
      </c>
      <c r="AL34">
        <v>25</v>
      </c>
      <c r="AM34">
        <v>190</v>
      </c>
      <c r="AN34">
        <v>0.1445086705202312</v>
      </c>
      <c r="AO34">
        <v>7.4102964118564749E-2</v>
      </c>
      <c r="AQ34" t="s">
        <v>109</v>
      </c>
      <c r="AR34" t="s">
        <v>110</v>
      </c>
      <c r="AS34">
        <v>2.643098060722724E-2</v>
      </c>
      <c r="AU34" t="s">
        <v>109</v>
      </c>
      <c r="AV34" t="s">
        <v>110</v>
      </c>
      <c r="AW34">
        <v>1.360263321161902E-2</v>
      </c>
      <c r="AY34" t="s">
        <v>109</v>
      </c>
      <c r="AZ34" t="s">
        <v>110</v>
      </c>
      <c r="BA34">
        <v>3.79169142260345E-2</v>
      </c>
    </row>
    <row r="35" spans="1:53" x14ac:dyDescent="0.45">
      <c r="A35" t="s">
        <v>111</v>
      </c>
      <c r="B35" t="s">
        <v>112</v>
      </c>
      <c r="C35">
        <v>5.912955802539319E-3</v>
      </c>
      <c r="D35">
        <v>5.5706697564167048E-3</v>
      </c>
      <c r="E35">
        <v>7.0575284318075294E-3</v>
      </c>
      <c r="F35">
        <v>7.0575284318075294E-3</v>
      </c>
      <c r="G35">
        <v>6.6020963865310121E-3</v>
      </c>
      <c r="I35" t="s">
        <v>111</v>
      </c>
      <c r="J35" t="s">
        <v>112</v>
      </c>
      <c r="K35">
        <v>3.0858189417583468E-3</v>
      </c>
      <c r="L35">
        <v>3.0625196344054662E-3</v>
      </c>
      <c r="N35" t="s">
        <v>111</v>
      </c>
      <c r="O35" t="s">
        <v>112</v>
      </c>
      <c r="P35">
        <v>0</v>
      </c>
      <c r="Q35">
        <v>0</v>
      </c>
      <c r="R35">
        <v>0</v>
      </c>
      <c r="S35">
        <v>7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458842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7</v>
      </c>
      <c r="AL35">
        <v>7</v>
      </c>
      <c r="AM35">
        <v>0</v>
      </c>
      <c r="AN35">
        <v>4.046242774566474E-2</v>
      </c>
      <c r="AO35">
        <v>0</v>
      </c>
      <c r="AQ35" t="s">
        <v>111</v>
      </c>
      <c r="AR35" t="s">
        <v>112</v>
      </c>
      <c r="AS35">
        <v>4.0797583840730227E-3</v>
      </c>
      <c r="AU35" t="s">
        <v>111</v>
      </c>
      <c r="AV35" t="s">
        <v>112</v>
      </c>
      <c r="AW35">
        <v>3.055032573379609E-3</v>
      </c>
      <c r="AY35" t="s">
        <v>111</v>
      </c>
      <c r="AZ35" t="s">
        <v>112</v>
      </c>
      <c r="BA35">
        <v>0</v>
      </c>
    </row>
    <row r="36" spans="1:53" x14ac:dyDescent="0.45">
      <c r="A36" t="s">
        <v>113</v>
      </c>
      <c r="B36" t="s">
        <v>114</v>
      </c>
      <c r="C36">
        <v>4.0944127462347463E-2</v>
      </c>
      <c r="D36">
        <v>8.2229492099522308E-2</v>
      </c>
      <c r="E36">
        <v>4.0910877768193063E-2</v>
      </c>
      <c r="F36">
        <v>4.0910877768193063E-2</v>
      </c>
      <c r="G36">
        <v>4.1191761333991002E-2</v>
      </c>
      <c r="I36" t="s">
        <v>113</v>
      </c>
      <c r="J36" t="s">
        <v>114</v>
      </c>
      <c r="K36">
        <v>5.9237540081005131E-2</v>
      </c>
      <c r="L36">
        <v>2.585495368386238E-2</v>
      </c>
      <c r="N36" t="s">
        <v>113</v>
      </c>
      <c r="O36" t="s">
        <v>114</v>
      </c>
      <c r="P36">
        <v>601</v>
      </c>
      <c r="Q36">
        <v>0</v>
      </c>
      <c r="R36">
        <v>7</v>
      </c>
      <c r="S36">
        <v>244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10167773</v>
      </c>
      <c r="AA36">
        <v>0</v>
      </c>
      <c r="AB36">
        <v>0</v>
      </c>
      <c r="AC36">
        <v>0</v>
      </c>
      <c r="AD36">
        <v>371723613</v>
      </c>
      <c r="AE36">
        <v>0</v>
      </c>
      <c r="AF36">
        <v>949199</v>
      </c>
      <c r="AG36">
        <v>127304934</v>
      </c>
      <c r="AH36">
        <v>0</v>
      </c>
      <c r="AI36">
        <v>0</v>
      </c>
      <c r="AJ36">
        <v>0</v>
      </c>
      <c r="AK36">
        <v>852</v>
      </c>
      <c r="AL36">
        <v>17</v>
      </c>
      <c r="AM36">
        <v>835</v>
      </c>
      <c r="AN36">
        <v>9.8265895953757232E-2</v>
      </c>
      <c r="AO36">
        <v>0.32566302652106083</v>
      </c>
      <c r="AQ36" t="s">
        <v>113</v>
      </c>
      <c r="AR36" t="s">
        <v>114</v>
      </c>
      <c r="AS36">
        <v>8.7038414869309421E-3</v>
      </c>
      <c r="AU36" t="s">
        <v>113</v>
      </c>
      <c r="AV36" t="s">
        <v>114</v>
      </c>
      <c r="AW36">
        <v>4.1255490710882442E-2</v>
      </c>
      <c r="AY36" t="s">
        <v>113</v>
      </c>
      <c r="AZ36" t="s">
        <v>114</v>
      </c>
      <c r="BA36">
        <v>2.8563040528839709E-2</v>
      </c>
    </row>
    <row r="37" spans="1:53" x14ac:dyDescent="0.45">
      <c r="A37" t="s">
        <v>115</v>
      </c>
      <c r="B37" t="s">
        <v>116</v>
      </c>
      <c r="C37">
        <v>3.1641064916285079E-2</v>
      </c>
      <c r="D37">
        <v>3.2256851404013527E-2</v>
      </c>
      <c r="E37">
        <v>3.0772414834626959E-2</v>
      </c>
      <c r="F37">
        <v>3.0772414834626959E-2</v>
      </c>
      <c r="G37">
        <v>3.0841447059668129E-2</v>
      </c>
      <c r="I37" t="s">
        <v>115</v>
      </c>
      <c r="J37" t="s">
        <v>116</v>
      </c>
      <c r="K37">
        <v>3.6628120659444367E-2</v>
      </c>
      <c r="L37">
        <v>1.2531380868297951E-2</v>
      </c>
      <c r="N37" t="s">
        <v>115</v>
      </c>
      <c r="O37" t="s">
        <v>116</v>
      </c>
      <c r="P37">
        <v>0</v>
      </c>
      <c r="Q37">
        <v>0</v>
      </c>
      <c r="R37">
        <v>18</v>
      </c>
      <c r="S37">
        <v>0</v>
      </c>
      <c r="T37">
        <v>2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2494666</v>
      </c>
      <c r="AG37">
        <v>0</v>
      </c>
      <c r="AH37">
        <v>38495</v>
      </c>
      <c r="AI37">
        <v>0</v>
      </c>
      <c r="AJ37">
        <v>0</v>
      </c>
      <c r="AK37">
        <v>20</v>
      </c>
      <c r="AL37">
        <v>0</v>
      </c>
      <c r="AM37">
        <v>20</v>
      </c>
      <c r="AN37">
        <v>0</v>
      </c>
      <c r="AO37">
        <v>7.8003120124804986E-3</v>
      </c>
      <c r="AQ37" t="s">
        <v>115</v>
      </c>
      <c r="AR37" t="s">
        <v>116</v>
      </c>
      <c r="AS37">
        <v>1.502871625209052E-2</v>
      </c>
      <c r="AU37" t="s">
        <v>115</v>
      </c>
      <c r="AV37" t="s">
        <v>116</v>
      </c>
      <c r="AW37">
        <v>3.4426408469430847E-2</v>
      </c>
      <c r="AY37" t="s">
        <v>115</v>
      </c>
      <c r="AZ37" t="s">
        <v>116</v>
      </c>
      <c r="BA37">
        <v>0</v>
      </c>
    </row>
    <row r="38" spans="1:53" x14ac:dyDescent="0.45">
      <c r="A38" t="s">
        <v>117</v>
      </c>
      <c r="B38" t="s">
        <v>118</v>
      </c>
      <c r="C38">
        <v>2.1085735655181621E-3</v>
      </c>
      <c r="D38">
        <v>3.520083365011696E-3</v>
      </c>
      <c r="E38">
        <v>3.9948205116605148E-3</v>
      </c>
      <c r="F38">
        <v>3.9948205116605148E-3</v>
      </c>
      <c r="G38">
        <v>3.2683419832094389E-3</v>
      </c>
      <c r="I38" t="s">
        <v>117</v>
      </c>
      <c r="J38" t="s">
        <v>118</v>
      </c>
      <c r="K38">
        <v>1.287414053233659E-3</v>
      </c>
      <c r="L38">
        <v>2.156380744185967E-3</v>
      </c>
      <c r="N38" t="s">
        <v>117</v>
      </c>
      <c r="O38" t="s">
        <v>118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Q38" t="s">
        <v>117</v>
      </c>
      <c r="AR38" t="s">
        <v>118</v>
      </c>
      <c r="AS38">
        <v>8.984034866764478E-3</v>
      </c>
      <c r="AU38" t="s">
        <v>117</v>
      </c>
      <c r="AV38" t="s">
        <v>118</v>
      </c>
      <c r="AW38">
        <v>6.153226037285772E-3</v>
      </c>
      <c r="AY38" t="s">
        <v>117</v>
      </c>
      <c r="AZ38" t="s">
        <v>118</v>
      </c>
      <c r="BA38">
        <v>0</v>
      </c>
    </row>
    <row r="39" spans="1:53" x14ac:dyDescent="0.45">
      <c r="A39" t="s">
        <v>119</v>
      </c>
      <c r="B39" t="s">
        <v>120</v>
      </c>
      <c r="C39">
        <v>4.0749346587922113E-2</v>
      </c>
      <c r="D39">
        <v>4.1819533567692288E-2</v>
      </c>
      <c r="E39">
        <v>3.8078907679376821E-2</v>
      </c>
      <c r="F39">
        <v>3.8078907679376821E-2</v>
      </c>
      <c r="G39">
        <v>3.9427221416503337E-2</v>
      </c>
      <c r="I39" t="s">
        <v>119</v>
      </c>
      <c r="J39" t="s">
        <v>120</v>
      </c>
      <c r="K39">
        <v>1.136141137625564E-2</v>
      </c>
      <c r="L39">
        <v>9.7278903584505794E-3</v>
      </c>
      <c r="N39" t="s">
        <v>119</v>
      </c>
      <c r="O39" t="s">
        <v>120</v>
      </c>
      <c r="P39">
        <v>12</v>
      </c>
      <c r="Q39">
        <v>0</v>
      </c>
      <c r="R39">
        <v>9</v>
      </c>
      <c r="S39">
        <v>0</v>
      </c>
      <c r="T39">
        <v>3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2183520</v>
      </c>
      <c r="AE39">
        <v>0</v>
      </c>
      <c r="AF39">
        <v>745136</v>
      </c>
      <c r="AG39">
        <v>0</v>
      </c>
      <c r="AH39">
        <v>105435</v>
      </c>
      <c r="AI39">
        <v>0</v>
      </c>
      <c r="AJ39">
        <v>0</v>
      </c>
      <c r="AK39">
        <v>24</v>
      </c>
      <c r="AL39">
        <v>0</v>
      </c>
      <c r="AM39">
        <v>24</v>
      </c>
      <c r="AN39">
        <v>0</v>
      </c>
      <c r="AO39">
        <v>9.3603744149765994E-3</v>
      </c>
      <c r="AQ39" t="s">
        <v>119</v>
      </c>
      <c r="AR39" t="s">
        <v>120</v>
      </c>
      <c r="AS39">
        <v>3.8384708365985377E-2</v>
      </c>
      <c r="AU39" t="s">
        <v>119</v>
      </c>
      <c r="AV39" t="s">
        <v>120</v>
      </c>
      <c r="AW39">
        <v>2.759091530072531E-2</v>
      </c>
      <c r="AY39" t="s">
        <v>119</v>
      </c>
      <c r="AZ39" t="s">
        <v>120</v>
      </c>
      <c r="BA39">
        <v>1.265965852880228E-2</v>
      </c>
    </row>
    <row r="40" spans="1:53" x14ac:dyDescent="0.45">
      <c r="A40" t="s">
        <v>121</v>
      </c>
      <c r="B40" t="s">
        <v>122</v>
      </c>
      <c r="C40">
        <v>1.156296843072901E-2</v>
      </c>
      <c r="D40">
        <v>2.8709980627886541E-3</v>
      </c>
      <c r="E40">
        <v>1.4645748757802149E-2</v>
      </c>
      <c r="F40">
        <v>1.4645748757802149E-2</v>
      </c>
      <c r="G40">
        <v>1.3405938942444811E-2</v>
      </c>
      <c r="I40" t="s">
        <v>121</v>
      </c>
      <c r="J40" t="s">
        <v>122</v>
      </c>
      <c r="K40">
        <v>3.9860276812305586E-3</v>
      </c>
      <c r="L40">
        <v>3.9313672601588544E-3</v>
      </c>
      <c r="N40" t="s">
        <v>121</v>
      </c>
      <c r="O40" t="s">
        <v>122</v>
      </c>
      <c r="P40">
        <v>0</v>
      </c>
      <c r="Q40">
        <v>0</v>
      </c>
      <c r="R40">
        <v>0</v>
      </c>
      <c r="S40">
        <v>0</v>
      </c>
      <c r="T40">
        <v>4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77936</v>
      </c>
      <c r="AI40">
        <v>0</v>
      </c>
      <c r="AJ40">
        <v>0</v>
      </c>
      <c r="AK40">
        <v>4</v>
      </c>
      <c r="AL40">
        <v>0</v>
      </c>
      <c r="AM40">
        <v>4</v>
      </c>
      <c r="AN40">
        <v>0</v>
      </c>
      <c r="AO40">
        <v>1.5600624024960999E-3</v>
      </c>
      <c r="AQ40" t="s">
        <v>121</v>
      </c>
      <c r="AR40" t="s">
        <v>122</v>
      </c>
      <c r="AS40">
        <v>7.1101300971771319E-3</v>
      </c>
      <c r="AU40" t="s">
        <v>121</v>
      </c>
      <c r="AV40" t="s">
        <v>122</v>
      </c>
      <c r="AW40">
        <v>1.7589507605571941E-2</v>
      </c>
      <c r="AY40" t="s">
        <v>121</v>
      </c>
      <c r="AZ40" t="s">
        <v>122</v>
      </c>
      <c r="BA40">
        <v>0</v>
      </c>
    </row>
    <row r="41" spans="1:53" x14ac:dyDescent="0.45">
      <c r="A41" t="s">
        <v>123</v>
      </c>
      <c r="B41" t="s">
        <v>124</v>
      </c>
      <c r="C41">
        <v>1.3126020703266921E-2</v>
      </c>
      <c r="D41">
        <v>1.774217463196771E-2</v>
      </c>
      <c r="E41">
        <v>1.47885912673899E-2</v>
      </c>
      <c r="F41">
        <v>1.47885912673899E-2</v>
      </c>
      <c r="G41">
        <v>1.417461879632937E-2</v>
      </c>
      <c r="I41" t="s">
        <v>123</v>
      </c>
      <c r="J41" t="s">
        <v>124</v>
      </c>
      <c r="K41">
        <v>1.219840235511644E-2</v>
      </c>
      <c r="L41">
        <v>1.113074744358177E-2</v>
      </c>
      <c r="N41" t="s">
        <v>123</v>
      </c>
      <c r="O41" t="s">
        <v>124</v>
      </c>
      <c r="P41">
        <v>0</v>
      </c>
      <c r="Q41">
        <v>3</v>
      </c>
      <c r="R41">
        <v>58</v>
      </c>
      <c r="S41">
        <v>0</v>
      </c>
      <c r="T41">
        <v>12</v>
      </c>
      <c r="U41">
        <v>0</v>
      </c>
      <c r="V41">
        <v>0</v>
      </c>
      <c r="W41">
        <v>0</v>
      </c>
      <c r="X41">
        <v>127181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9249459</v>
      </c>
      <c r="AG41">
        <v>0</v>
      </c>
      <c r="AH41">
        <v>405693</v>
      </c>
      <c r="AI41">
        <v>34294</v>
      </c>
      <c r="AJ41">
        <v>0</v>
      </c>
      <c r="AK41">
        <v>73</v>
      </c>
      <c r="AL41">
        <v>1</v>
      </c>
      <c r="AM41">
        <v>72</v>
      </c>
      <c r="AN41">
        <v>5.7803468208092483E-3</v>
      </c>
      <c r="AO41">
        <v>2.8081123244929802E-2</v>
      </c>
      <c r="AQ41" t="s">
        <v>123</v>
      </c>
      <c r="AR41" t="s">
        <v>124</v>
      </c>
      <c r="AS41">
        <v>1.2953143635871391E-2</v>
      </c>
      <c r="AU41" t="s">
        <v>123</v>
      </c>
      <c r="AV41" t="s">
        <v>124</v>
      </c>
      <c r="AW41">
        <v>1.486107114314327E-2</v>
      </c>
      <c r="AY41" t="s">
        <v>123</v>
      </c>
      <c r="AZ41" t="s">
        <v>124</v>
      </c>
      <c r="BA41">
        <v>9.5626260495247674E-3</v>
      </c>
    </row>
    <row r="42" spans="1:53" x14ac:dyDescent="0.45">
      <c r="A42" t="s">
        <v>125</v>
      </c>
      <c r="B42" t="s">
        <v>126</v>
      </c>
      <c r="C42">
        <v>3.9317373698238373E-2</v>
      </c>
      <c r="D42">
        <v>5.6617016342255133E-2</v>
      </c>
      <c r="E42">
        <v>3.8581913945098099E-2</v>
      </c>
      <c r="F42">
        <v>3.8581913945098099E-2</v>
      </c>
      <c r="G42">
        <v>3.9062061870813708E-2</v>
      </c>
      <c r="I42" t="s">
        <v>125</v>
      </c>
      <c r="J42" t="s">
        <v>126</v>
      </c>
      <c r="K42">
        <v>2.4236960188042441E-2</v>
      </c>
      <c r="L42">
        <v>2.4457957077148339E-2</v>
      </c>
      <c r="N42" t="s">
        <v>125</v>
      </c>
      <c r="O42" t="s">
        <v>126</v>
      </c>
      <c r="P42">
        <v>61</v>
      </c>
      <c r="Q42">
        <v>0</v>
      </c>
      <c r="R42">
        <v>29</v>
      </c>
      <c r="S42">
        <v>87</v>
      </c>
      <c r="T42">
        <v>120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17246224</v>
      </c>
      <c r="AE42">
        <v>0</v>
      </c>
      <c r="AF42">
        <v>2367040</v>
      </c>
      <c r="AG42">
        <v>20739452</v>
      </c>
      <c r="AH42">
        <v>3318072</v>
      </c>
      <c r="AI42">
        <v>0</v>
      </c>
      <c r="AJ42">
        <v>0</v>
      </c>
      <c r="AK42">
        <v>297</v>
      </c>
      <c r="AL42">
        <v>0</v>
      </c>
      <c r="AM42">
        <v>297</v>
      </c>
      <c r="AN42">
        <v>0</v>
      </c>
      <c r="AO42">
        <v>0.11583463338533539</v>
      </c>
      <c r="AQ42" t="s">
        <v>125</v>
      </c>
      <c r="AR42" t="s">
        <v>126</v>
      </c>
      <c r="AS42">
        <v>3.6319843777021042E-2</v>
      </c>
      <c r="AU42" t="s">
        <v>125</v>
      </c>
      <c r="AV42" t="s">
        <v>126</v>
      </c>
      <c r="AW42">
        <v>2.6205161771622729E-2</v>
      </c>
      <c r="AY42" t="s">
        <v>125</v>
      </c>
      <c r="AZ42" t="s">
        <v>126</v>
      </c>
      <c r="BA42">
        <v>2.0344977380094879E-2</v>
      </c>
    </row>
    <row r="43" spans="1:53" x14ac:dyDescent="0.45">
      <c r="A43" t="s">
        <v>127</v>
      </c>
      <c r="B43" t="s">
        <v>128</v>
      </c>
      <c r="C43">
        <v>3.6528492488198611E-3</v>
      </c>
      <c r="D43">
        <v>2.256180527991293E-3</v>
      </c>
      <c r="E43">
        <v>2.8165941768496078E-3</v>
      </c>
      <c r="F43">
        <v>2.8165941768496078E-3</v>
      </c>
      <c r="G43">
        <v>3.1427468257383272E-3</v>
      </c>
      <c r="I43" t="s">
        <v>127</v>
      </c>
      <c r="J43" t="s">
        <v>128</v>
      </c>
      <c r="K43">
        <v>2.140898664351255E-3</v>
      </c>
      <c r="L43">
        <v>6.341513968605375E-4</v>
      </c>
      <c r="N43" t="s">
        <v>127</v>
      </c>
      <c r="O43" t="s">
        <v>128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Q43" t="s">
        <v>127</v>
      </c>
      <c r="AR43" t="s">
        <v>128</v>
      </c>
      <c r="AS43">
        <v>1.249269846391564E-4</v>
      </c>
      <c r="AU43" t="s">
        <v>127</v>
      </c>
      <c r="AV43" t="s">
        <v>128</v>
      </c>
      <c r="AW43">
        <v>3.4211777848548799E-3</v>
      </c>
      <c r="AY43" t="s">
        <v>127</v>
      </c>
      <c r="AZ43" t="s">
        <v>128</v>
      </c>
      <c r="BA43">
        <v>0</v>
      </c>
    </row>
    <row r="44" spans="1:53" x14ac:dyDescent="0.45">
      <c r="A44" t="s">
        <v>129</v>
      </c>
      <c r="B44" t="s">
        <v>130</v>
      </c>
      <c r="C44">
        <v>1.6594022987833319E-2</v>
      </c>
      <c r="D44">
        <v>1.774049521023249E-2</v>
      </c>
      <c r="E44">
        <v>1.6297458749521279E-2</v>
      </c>
      <c r="F44">
        <v>1.6297458749521279E-2</v>
      </c>
      <c r="G44">
        <v>1.6333767601467649E-2</v>
      </c>
      <c r="I44" t="s">
        <v>129</v>
      </c>
      <c r="J44" t="s">
        <v>130</v>
      </c>
      <c r="K44">
        <v>6.1253771314178683E-3</v>
      </c>
      <c r="L44">
        <v>7.1174848225483006E-3</v>
      </c>
      <c r="N44" t="s">
        <v>129</v>
      </c>
      <c r="O44" t="s">
        <v>130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Q44" t="s">
        <v>129</v>
      </c>
      <c r="AR44" t="s">
        <v>130</v>
      </c>
      <c r="AS44">
        <v>1.5746154078161101E-2</v>
      </c>
      <c r="AU44" t="s">
        <v>129</v>
      </c>
      <c r="AV44" t="s">
        <v>130</v>
      </c>
      <c r="AW44">
        <v>3.9806169677740748E-2</v>
      </c>
      <c r="AY44" t="s">
        <v>129</v>
      </c>
      <c r="AZ44" t="s">
        <v>130</v>
      </c>
      <c r="BA44">
        <v>1.1521272404340329E-2</v>
      </c>
    </row>
    <row r="45" spans="1:53" x14ac:dyDescent="0.45">
      <c r="A45" t="s">
        <v>131</v>
      </c>
      <c r="B45" t="s">
        <v>132</v>
      </c>
      <c r="C45">
        <v>3.1586868294628751E-3</v>
      </c>
      <c r="D45">
        <v>2.6708865397553198E-3</v>
      </c>
      <c r="E45">
        <v>5.1240572323130902E-3</v>
      </c>
      <c r="F45">
        <v>5.1240572323130902E-3</v>
      </c>
      <c r="G45">
        <v>4.6329456684583367E-3</v>
      </c>
      <c r="I45" t="s">
        <v>131</v>
      </c>
      <c r="J45" t="s">
        <v>132</v>
      </c>
      <c r="K45">
        <v>1.0412117851973631E-3</v>
      </c>
      <c r="L45">
        <v>2.0664743492821379E-3</v>
      </c>
      <c r="N45" t="s">
        <v>131</v>
      </c>
      <c r="O45" t="s">
        <v>132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Q45" t="s">
        <v>131</v>
      </c>
      <c r="AR45" t="s">
        <v>132</v>
      </c>
      <c r="AS45">
        <v>3.624667225744668E-3</v>
      </c>
      <c r="AU45" t="s">
        <v>131</v>
      </c>
      <c r="AV45" t="s">
        <v>132</v>
      </c>
      <c r="AW45">
        <v>4.7858023424444647E-3</v>
      </c>
      <c r="AY45" t="s">
        <v>131</v>
      </c>
      <c r="AZ45" t="s">
        <v>132</v>
      </c>
      <c r="BA45">
        <v>0</v>
      </c>
    </row>
    <row r="46" spans="1:53" x14ac:dyDescent="0.45">
      <c r="A46" t="s">
        <v>133</v>
      </c>
      <c r="B46" t="s">
        <v>134</v>
      </c>
      <c r="C46">
        <v>2.0131503951880649E-2</v>
      </c>
      <c r="D46">
        <v>2.9716355344870791E-2</v>
      </c>
      <c r="E46">
        <v>2.1586073735810351E-2</v>
      </c>
      <c r="F46">
        <v>2.1586073735810351E-2</v>
      </c>
      <c r="G46">
        <v>2.104185398536822E-2</v>
      </c>
      <c r="I46" t="s">
        <v>133</v>
      </c>
      <c r="J46" t="s">
        <v>134</v>
      </c>
      <c r="K46">
        <v>1.4175122754829669E-2</v>
      </c>
      <c r="L46">
        <v>0.13754707030165489</v>
      </c>
      <c r="N46" t="s">
        <v>133</v>
      </c>
      <c r="O46" t="s">
        <v>134</v>
      </c>
      <c r="P46">
        <v>0</v>
      </c>
      <c r="Q46">
        <v>0</v>
      </c>
      <c r="R46">
        <v>0</v>
      </c>
      <c r="S46">
        <v>2</v>
      </c>
      <c r="T46">
        <v>4</v>
      </c>
      <c r="U46">
        <v>0</v>
      </c>
      <c r="V46">
        <v>0</v>
      </c>
      <c r="W46">
        <v>0</v>
      </c>
      <c r="X46">
        <v>0</v>
      </c>
      <c r="Y46">
        <v>0</v>
      </c>
      <c r="Z46">
        <v>92529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48418</v>
      </c>
      <c r="AI46">
        <v>0</v>
      </c>
      <c r="AJ46">
        <v>0</v>
      </c>
      <c r="AK46">
        <v>6</v>
      </c>
      <c r="AL46">
        <v>4</v>
      </c>
      <c r="AM46">
        <v>2</v>
      </c>
      <c r="AN46">
        <v>2.312138728323699E-2</v>
      </c>
      <c r="AO46">
        <v>7.8003120124804995E-4</v>
      </c>
      <c r="AQ46" t="s">
        <v>133</v>
      </c>
      <c r="AR46" t="s">
        <v>134</v>
      </c>
      <c r="AS46">
        <v>2.0832467024183898E-2</v>
      </c>
      <c r="AU46" t="s">
        <v>133</v>
      </c>
      <c r="AV46" t="s">
        <v>134</v>
      </c>
      <c r="AW46">
        <v>2.319554745752106E-2</v>
      </c>
      <c r="AY46" t="s">
        <v>133</v>
      </c>
      <c r="AZ46" t="s">
        <v>134</v>
      </c>
      <c r="BA46">
        <v>0</v>
      </c>
    </row>
    <row r="47" spans="1:53" x14ac:dyDescent="0.45">
      <c r="A47" t="s">
        <v>135</v>
      </c>
      <c r="B47" t="s">
        <v>136</v>
      </c>
      <c r="C47">
        <v>7.6589573418339121E-2</v>
      </c>
      <c r="D47">
        <v>7.0441049067062653E-2</v>
      </c>
      <c r="E47">
        <v>9.0128665502287708E-2</v>
      </c>
      <c r="F47">
        <v>9.0128665502287708E-2</v>
      </c>
      <c r="G47">
        <v>8.3211140094883521E-2</v>
      </c>
      <c r="I47" t="s">
        <v>135</v>
      </c>
      <c r="J47" t="s">
        <v>136</v>
      </c>
      <c r="K47">
        <v>9.785981113411614E-2</v>
      </c>
      <c r="L47">
        <v>6.4800374223431295E-2</v>
      </c>
      <c r="N47" t="s">
        <v>135</v>
      </c>
      <c r="O47" t="s">
        <v>136</v>
      </c>
      <c r="P47">
        <v>0</v>
      </c>
      <c r="Q47">
        <v>10</v>
      </c>
      <c r="R47">
        <v>83</v>
      </c>
      <c r="S47">
        <v>11</v>
      </c>
      <c r="T47">
        <v>9</v>
      </c>
      <c r="U47">
        <v>0</v>
      </c>
      <c r="V47">
        <v>0</v>
      </c>
      <c r="W47">
        <v>0</v>
      </c>
      <c r="X47">
        <v>1558064</v>
      </c>
      <c r="Y47">
        <v>0</v>
      </c>
      <c r="Z47">
        <v>1408634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14060266</v>
      </c>
      <c r="AG47">
        <v>0</v>
      </c>
      <c r="AH47">
        <v>259795</v>
      </c>
      <c r="AI47">
        <v>0</v>
      </c>
      <c r="AJ47">
        <v>0</v>
      </c>
      <c r="AK47">
        <v>113</v>
      </c>
      <c r="AL47">
        <v>19</v>
      </c>
      <c r="AM47">
        <v>94</v>
      </c>
      <c r="AN47">
        <v>0.1098265895953757</v>
      </c>
      <c r="AO47">
        <v>3.6661466458658337E-2</v>
      </c>
      <c r="AQ47" t="s">
        <v>135</v>
      </c>
      <c r="AR47" t="s">
        <v>136</v>
      </c>
      <c r="AS47">
        <v>8.989745814633697E-2</v>
      </c>
      <c r="AU47" t="s">
        <v>135</v>
      </c>
      <c r="AV47" t="s">
        <v>136</v>
      </c>
      <c r="AW47">
        <v>5.1041364837653203E-2</v>
      </c>
      <c r="AY47" t="s">
        <v>135</v>
      </c>
      <c r="AZ47" t="s">
        <v>136</v>
      </c>
      <c r="BA47">
        <v>0.28766857214848968</v>
      </c>
    </row>
    <row r="48" spans="1:53" x14ac:dyDescent="0.45">
      <c r="A48" t="s">
        <v>137</v>
      </c>
      <c r="B48" t="s">
        <v>138</v>
      </c>
      <c r="C48">
        <v>8.4906947705455701E-3</v>
      </c>
      <c r="D48">
        <v>6.6235961135778509E-3</v>
      </c>
      <c r="E48">
        <v>8.8166183414954639E-3</v>
      </c>
      <c r="F48">
        <v>8.8166183414954639E-3</v>
      </c>
      <c r="G48">
        <v>8.7897027563301772E-3</v>
      </c>
      <c r="I48" t="s">
        <v>137</v>
      </c>
      <c r="J48" t="s">
        <v>138</v>
      </c>
      <c r="K48">
        <v>1.4071545349413791E-2</v>
      </c>
      <c r="L48">
        <v>6.6199384516647608E-3</v>
      </c>
      <c r="N48" t="s">
        <v>137</v>
      </c>
      <c r="O48" t="s">
        <v>138</v>
      </c>
      <c r="P48">
        <v>0</v>
      </c>
      <c r="Q48">
        <v>0</v>
      </c>
      <c r="R48">
        <v>33</v>
      </c>
      <c r="S48">
        <v>10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1115059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6785008</v>
      </c>
      <c r="AG48">
        <v>0</v>
      </c>
      <c r="AH48">
        <v>0</v>
      </c>
      <c r="AI48">
        <v>0</v>
      </c>
      <c r="AJ48">
        <v>0</v>
      </c>
      <c r="AK48">
        <v>43</v>
      </c>
      <c r="AL48">
        <v>6</v>
      </c>
      <c r="AM48">
        <v>37</v>
      </c>
      <c r="AN48">
        <v>3.4682080924855488E-2</v>
      </c>
      <c r="AO48">
        <v>1.4430577223088921E-2</v>
      </c>
      <c r="AQ48" t="s">
        <v>137</v>
      </c>
      <c r="AR48" t="s">
        <v>138</v>
      </c>
      <c r="AS48">
        <v>8.919786703235769E-3</v>
      </c>
      <c r="AU48" t="s">
        <v>137</v>
      </c>
      <c r="AV48" t="s">
        <v>138</v>
      </c>
      <c r="AW48">
        <v>5.8807164816181111E-3</v>
      </c>
      <c r="AY48" t="s">
        <v>137</v>
      </c>
      <c r="AZ48" t="s">
        <v>138</v>
      </c>
      <c r="BA48">
        <v>0</v>
      </c>
    </row>
    <row r="49" spans="1:53" x14ac:dyDescent="0.45">
      <c r="A49" t="s">
        <v>139</v>
      </c>
      <c r="B49" t="s">
        <v>140</v>
      </c>
      <c r="C49">
        <v>1.9035073306756579E-3</v>
      </c>
      <c r="D49">
        <v>1.0954519662603301E-3</v>
      </c>
      <c r="E49">
        <v>2.4143210117782169E-3</v>
      </c>
      <c r="F49">
        <v>2.4143210117782169E-3</v>
      </c>
      <c r="G49">
        <v>2.2439349772341299E-3</v>
      </c>
      <c r="I49" t="s">
        <v>139</v>
      </c>
      <c r="J49" t="s">
        <v>140</v>
      </c>
      <c r="K49">
        <v>7.4001081281019072E-4</v>
      </c>
      <c r="L49">
        <v>0</v>
      </c>
      <c r="N49" t="s">
        <v>139</v>
      </c>
      <c r="O49" t="s">
        <v>140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Q49" t="s">
        <v>139</v>
      </c>
      <c r="AR49" t="s">
        <v>140</v>
      </c>
      <c r="AS49">
        <v>3.426568721531148E-4</v>
      </c>
      <c r="AU49" t="s">
        <v>139</v>
      </c>
      <c r="AV49" t="s">
        <v>140</v>
      </c>
      <c r="AW49">
        <v>2.70956485966706E-3</v>
      </c>
      <c r="AY49" t="s">
        <v>139</v>
      </c>
      <c r="AZ49" t="s">
        <v>140</v>
      </c>
      <c r="BA49">
        <v>0</v>
      </c>
    </row>
    <row r="50" spans="1:53" x14ac:dyDescent="0.45">
      <c r="A50" t="s">
        <v>141</v>
      </c>
      <c r="B50" t="s">
        <v>142</v>
      </c>
      <c r="C50">
        <v>2.936060176423164E-2</v>
      </c>
      <c r="D50">
        <v>3.5255605878633328E-2</v>
      </c>
      <c r="E50">
        <v>2.672381362153281E-2</v>
      </c>
      <c r="F50">
        <v>2.672381362153281E-2</v>
      </c>
      <c r="G50">
        <v>2.7659806902198662E-2</v>
      </c>
      <c r="I50" t="s">
        <v>141</v>
      </c>
      <c r="J50" t="s">
        <v>142</v>
      </c>
      <c r="K50">
        <v>3.0714118906459972E-2</v>
      </c>
      <c r="L50">
        <v>7.4362200066146623E-3</v>
      </c>
      <c r="N50" t="s">
        <v>141</v>
      </c>
      <c r="O50" t="s">
        <v>142</v>
      </c>
      <c r="P50">
        <v>0</v>
      </c>
      <c r="Q50">
        <v>0</v>
      </c>
      <c r="R50">
        <v>6</v>
      </c>
      <c r="S50">
        <v>32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395324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386923</v>
      </c>
      <c r="AG50">
        <v>0</v>
      </c>
      <c r="AH50">
        <v>0</v>
      </c>
      <c r="AI50">
        <v>0</v>
      </c>
      <c r="AJ50">
        <v>0</v>
      </c>
      <c r="AK50">
        <v>38</v>
      </c>
      <c r="AL50">
        <v>19</v>
      </c>
      <c r="AM50">
        <v>19</v>
      </c>
      <c r="AN50">
        <v>0.1098265895953757</v>
      </c>
      <c r="AO50">
        <v>7.4102964118564754E-3</v>
      </c>
      <c r="AQ50" t="s">
        <v>141</v>
      </c>
      <c r="AR50" t="s">
        <v>142</v>
      </c>
      <c r="AS50">
        <v>2.5172787404790019E-2</v>
      </c>
      <c r="AU50" t="s">
        <v>141</v>
      </c>
      <c r="AV50" t="s">
        <v>142</v>
      </c>
      <c r="AW50">
        <v>2.1034703793941598E-2</v>
      </c>
      <c r="AY50" t="s">
        <v>141</v>
      </c>
      <c r="AZ50" t="s">
        <v>142</v>
      </c>
      <c r="BA50">
        <v>2.6808151008024961E-2</v>
      </c>
    </row>
    <row r="51" spans="1:53" x14ac:dyDescent="0.45">
      <c r="A51" t="s">
        <v>143</v>
      </c>
      <c r="B51" t="s">
        <v>144</v>
      </c>
      <c r="C51">
        <v>2.7120920906557329E-2</v>
      </c>
      <c r="D51">
        <v>2.468556126000811E-2</v>
      </c>
      <c r="E51">
        <v>2.6372744658229471E-2</v>
      </c>
      <c r="F51">
        <v>2.6372744658229471E-2</v>
      </c>
      <c r="G51">
        <v>2.668087981868178E-2</v>
      </c>
      <c r="I51" t="s">
        <v>143</v>
      </c>
      <c r="J51" t="s">
        <v>144</v>
      </c>
      <c r="K51">
        <v>3.0383204198592039E-2</v>
      </c>
      <c r="L51">
        <v>2.1896522688595869E-2</v>
      </c>
      <c r="N51" t="s">
        <v>143</v>
      </c>
      <c r="O51" t="s">
        <v>144</v>
      </c>
      <c r="P51">
        <v>0</v>
      </c>
      <c r="Q51">
        <v>0</v>
      </c>
      <c r="R51">
        <v>19</v>
      </c>
      <c r="S51">
        <v>11</v>
      </c>
      <c r="T51">
        <v>12</v>
      </c>
      <c r="U51">
        <v>0</v>
      </c>
      <c r="V51">
        <v>0</v>
      </c>
      <c r="W51">
        <v>0</v>
      </c>
      <c r="X51">
        <v>0</v>
      </c>
      <c r="Y51">
        <v>0</v>
      </c>
      <c r="Z51">
        <v>373183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5762945</v>
      </c>
      <c r="AG51">
        <v>0</v>
      </c>
      <c r="AH51">
        <v>287175</v>
      </c>
      <c r="AI51">
        <v>0</v>
      </c>
      <c r="AJ51">
        <v>0</v>
      </c>
      <c r="AK51">
        <v>42</v>
      </c>
      <c r="AL51">
        <v>2</v>
      </c>
      <c r="AM51">
        <v>40</v>
      </c>
      <c r="AN51">
        <v>1.15606936416185E-2</v>
      </c>
      <c r="AO51">
        <v>1.5600624024961001E-2</v>
      </c>
      <c r="AQ51" t="s">
        <v>143</v>
      </c>
      <c r="AR51" t="s">
        <v>144</v>
      </c>
      <c r="AS51">
        <v>3.5834413208137461E-2</v>
      </c>
      <c r="AU51" t="s">
        <v>143</v>
      </c>
      <c r="AV51" t="s">
        <v>144</v>
      </c>
      <c r="AW51">
        <v>2.0713886546994222E-2</v>
      </c>
      <c r="AY51" t="s">
        <v>143</v>
      </c>
      <c r="AZ51" t="s">
        <v>144</v>
      </c>
      <c r="BA51">
        <v>3.8770051958964803E-2</v>
      </c>
    </row>
    <row r="52" spans="1:53" x14ac:dyDescent="0.45">
      <c r="A52" t="s">
        <v>145</v>
      </c>
      <c r="B52" t="s">
        <v>146</v>
      </c>
      <c r="C52">
        <v>4.9438765509237301E-3</v>
      </c>
      <c r="D52">
        <v>3.201627820425516E-3</v>
      </c>
      <c r="E52">
        <v>6.8298323692551014E-3</v>
      </c>
      <c r="F52">
        <v>6.8298323692551014E-3</v>
      </c>
      <c r="G52">
        <v>6.033151795275059E-3</v>
      </c>
      <c r="I52" t="s">
        <v>145</v>
      </c>
      <c r="J52" t="s">
        <v>146</v>
      </c>
      <c r="K52">
        <v>4.3190190407517442E-4</v>
      </c>
      <c r="L52">
        <v>0</v>
      </c>
      <c r="N52" t="s">
        <v>145</v>
      </c>
      <c r="O52" t="s">
        <v>146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Q52" t="s">
        <v>145</v>
      </c>
      <c r="AR52" t="s">
        <v>146</v>
      </c>
      <c r="AS52">
        <v>9.7335967745994165E-3</v>
      </c>
      <c r="AU52" t="s">
        <v>145</v>
      </c>
      <c r="AV52" t="s">
        <v>146</v>
      </c>
      <c r="AW52">
        <v>5.5947530081921718E-3</v>
      </c>
      <c r="AY52" t="s">
        <v>145</v>
      </c>
      <c r="AZ52" t="s">
        <v>146</v>
      </c>
      <c r="BA52">
        <v>2.201472972798723E-2</v>
      </c>
    </row>
    <row r="53" spans="1:53" x14ac:dyDescent="0.45">
      <c r="A53" t="s">
        <v>147</v>
      </c>
      <c r="B53" t="s">
        <v>148</v>
      </c>
      <c r="C53">
        <v>1.846194223253482E-2</v>
      </c>
      <c r="D53">
        <v>1.504774278600529E-2</v>
      </c>
      <c r="E53">
        <v>2.1240958808994521E-2</v>
      </c>
      <c r="F53">
        <v>2.1240958808994521E-2</v>
      </c>
      <c r="G53">
        <v>2.0493962717039439E-2</v>
      </c>
      <c r="I53" t="s">
        <v>147</v>
      </c>
      <c r="J53" t="s">
        <v>148</v>
      </c>
      <c r="K53">
        <v>5.937079812359778E-3</v>
      </c>
      <c r="L53">
        <v>5.022903306707991E-3</v>
      </c>
      <c r="N53" t="s">
        <v>147</v>
      </c>
      <c r="O53" t="s">
        <v>148</v>
      </c>
      <c r="P53">
        <v>0</v>
      </c>
      <c r="Q53">
        <v>0</v>
      </c>
      <c r="R53">
        <v>0</v>
      </c>
      <c r="S53">
        <v>0</v>
      </c>
      <c r="T53">
        <v>4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113877</v>
      </c>
      <c r="AI53">
        <v>0</v>
      </c>
      <c r="AJ53">
        <v>0</v>
      </c>
      <c r="AK53">
        <v>4</v>
      </c>
      <c r="AL53">
        <v>0</v>
      </c>
      <c r="AM53">
        <v>4</v>
      </c>
      <c r="AN53">
        <v>0</v>
      </c>
      <c r="AO53">
        <v>1.5600624024960999E-3</v>
      </c>
      <c r="AQ53" t="s">
        <v>147</v>
      </c>
      <c r="AR53" t="s">
        <v>148</v>
      </c>
      <c r="AS53">
        <v>1.194837374513075E-2</v>
      </c>
      <c r="AU53" t="s">
        <v>147</v>
      </c>
      <c r="AV53" t="s">
        <v>148</v>
      </c>
      <c r="AW53">
        <v>5.3102884276171547E-2</v>
      </c>
      <c r="AY53" t="s">
        <v>147</v>
      </c>
      <c r="AZ53" t="s">
        <v>148</v>
      </c>
      <c r="BA53">
        <v>5.7891832087338668E-3</v>
      </c>
    </row>
    <row r="54" spans="1:53" x14ac:dyDescent="0.45">
      <c r="A54" t="s">
        <v>149</v>
      </c>
      <c r="B54" t="s">
        <v>150</v>
      </c>
      <c r="C54">
        <v>1.807675603699034E-3</v>
      </c>
      <c r="D54">
        <v>4.1211281097197957E-3</v>
      </c>
      <c r="E54">
        <v>3.8819004172653969E-3</v>
      </c>
      <c r="F54">
        <v>3.8819004172653969E-3</v>
      </c>
      <c r="G54">
        <v>3.0513483687622249E-3</v>
      </c>
      <c r="I54" t="s">
        <v>149</v>
      </c>
      <c r="J54" t="s">
        <v>150</v>
      </c>
      <c r="K54">
        <v>7.3652481401950882E-4</v>
      </c>
      <c r="L54">
        <v>0</v>
      </c>
      <c r="N54" t="s">
        <v>149</v>
      </c>
      <c r="O54" t="s">
        <v>150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Q54" t="s">
        <v>149</v>
      </c>
      <c r="AR54" t="s">
        <v>150</v>
      </c>
      <c r="AS54">
        <v>3.7831460291154827E-2</v>
      </c>
      <c r="AU54" t="s">
        <v>149</v>
      </c>
      <c r="AV54" t="s">
        <v>150</v>
      </c>
      <c r="AW54">
        <v>2.3916370447214551E-3</v>
      </c>
      <c r="AY54" t="s">
        <v>149</v>
      </c>
      <c r="AZ54" t="s">
        <v>150</v>
      </c>
      <c r="BA54">
        <v>0</v>
      </c>
    </row>
    <row r="56" spans="1:53" x14ac:dyDescent="0.45">
      <c r="C56">
        <v>0.99812275335572509</v>
      </c>
      <c r="D56">
        <v>0.99456979752338892</v>
      </c>
      <c r="F56">
        <v>0.99913523077458999</v>
      </c>
      <c r="G56">
        <v>0.99873246152756079</v>
      </c>
      <c r="K56">
        <v>0.99085664157005926</v>
      </c>
      <c r="L56">
        <v>0.98956748320444365</v>
      </c>
      <c r="AS56">
        <v>0.99993396716526217</v>
      </c>
      <c r="AW56">
        <v>0.99981029073013339</v>
      </c>
      <c r="BA56">
        <v>0.99999999999999989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H7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8" x14ac:dyDescent="0.45">
      <c r="A1" t="s">
        <v>554</v>
      </c>
      <c r="B1" t="s">
        <v>198</v>
      </c>
      <c r="C1" t="s">
        <v>201</v>
      </c>
      <c r="D1" t="s">
        <v>204</v>
      </c>
      <c r="E1" t="s">
        <v>207</v>
      </c>
      <c r="F1" t="s">
        <v>210</v>
      </c>
      <c r="G1" t="s">
        <v>213</v>
      </c>
      <c r="H1" t="s">
        <v>216</v>
      </c>
    </row>
    <row r="2" spans="1:8" x14ac:dyDescent="0.45">
      <c r="A2" t="s">
        <v>184</v>
      </c>
      <c r="B2">
        <v>4769953</v>
      </c>
      <c r="C2">
        <v>14506</v>
      </c>
      <c r="D2">
        <v>257649823</v>
      </c>
      <c r="E2">
        <v>1553093</v>
      </c>
      <c r="F2">
        <v>1417825</v>
      </c>
      <c r="G2">
        <v>13525</v>
      </c>
      <c r="H2">
        <v>17094</v>
      </c>
    </row>
    <row r="3" spans="1:8" x14ac:dyDescent="0.45">
      <c r="A3" t="s">
        <v>186</v>
      </c>
      <c r="B3">
        <v>300</v>
      </c>
      <c r="C3">
        <v>128402</v>
      </c>
      <c r="D3">
        <v>101051</v>
      </c>
      <c r="E3">
        <v>802832</v>
      </c>
      <c r="F3">
        <v>0</v>
      </c>
      <c r="G3">
        <v>47038</v>
      </c>
      <c r="H3">
        <v>174</v>
      </c>
    </row>
    <row r="4" spans="1:8" x14ac:dyDescent="0.45">
      <c r="A4" t="s">
        <v>188</v>
      </c>
      <c r="B4">
        <v>0</v>
      </c>
      <c r="C4">
        <v>0</v>
      </c>
      <c r="D4">
        <v>0</v>
      </c>
      <c r="E4">
        <v>6767</v>
      </c>
      <c r="F4">
        <v>0</v>
      </c>
      <c r="G4">
        <v>0</v>
      </c>
      <c r="H4">
        <v>0</v>
      </c>
    </row>
    <row r="5" spans="1:8" x14ac:dyDescent="0.45">
      <c r="A5" t="s">
        <v>190</v>
      </c>
      <c r="B5">
        <v>2564</v>
      </c>
      <c r="C5">
        <v>0</v>
      </c>
      <c r="D5">
        <v>0</v>
      </c>
      <c r="E5">
        <v>173</v>
      </c>
      <c r="F5">
        <v>0</v>
      </c>
      <c r="G5">
        <v>0</v>
      </c>
      <c r="H5">
        <v>0</v>
      </c>
    </row>
    <row r="6" spans="1:8" x14ac:dyDescent="0.45">
      <c r="A6" t="s">
        <v>192</v>
      </c>
      <c r="B6">
        <v>0</v>
      </c>
      <c r="C6">
        <v>0</v>
      </c>
      <c r="D6">
        <v>10214830</v>
      </c>
      <c r="E6">
        <v>2490170</v>
      </c>
      <c r="F6">
        <v>0</v>
      </c>
      <c r="G6">
        <v>0</v>
      </c>
      <c r="H6">
        <v>0</v>
      </c>
    </row>
    <row r="7" spans="1:8" x14ac:dyDescent="0.45">
      <c r="A7" t="s">
        <v>194</v>
      </c>
      <c r="B7">
        <v>0</v>
      </c>
      <c r="C7">
        <v>0</v>
      </c>
      <c r="D7">
        <v>9261249</v>
      </c>
      <c r="E7">
        <v>0</v>
      </c>
      <c r="F7">
        <v>0</v>
      </c>
      <c r="G7">
        <v>0</v>
      </c>
      <c r="H7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H7"/>
  <sheetViews>
    <sheetView workbookViewId="0">
      <pane ySplit="1" topLeftCell="A2" activePane="bottomLeft" state="frozen"/>
      <selection pane="bottomLeft"/>
    </sheetView>
  </sheetViews>
  <sheetFormatPr defaultRowHeight="14.25" x14ac:dyDescent="0.45"/>
  <sheetData>
    <row r="1" spans="1:8" x14ac:dyDescent="0.45">
      <c r="A1" t="s">
        <v>554</v>
      </c>
      <c r="B1" t="s">
        <v>198</v>
      </c>
      <c r="C1" t="s">
        <v>201</v>
      </c>
      <c r="D1" t="s">
        <v>204</v>
      </c>
      <c r="E1" t="s">
        <v>207</v>
      </c>
      <c r="F1" t="s">
        <v>210</v>
      </c>
      <c r="G1" t="s">
        <v>213</v>
      </c>
      <c r="H1" t="s">
        <v>216</v>
      </c>
    </row>
    <row r="2" spans="1:8" x14ac:dyDescent="0.45">
      <c r="A2" t="s">
        <v>184</v>
      </c>
      <c r="B2">
        <v>138292</v>
      </c>
      <c r="C2">
        <v>25267</v>
      </c>
      <c r="D2">
        <v>12833715</v>
      </c>
      <c r="E2">
        <v>10968619</v>
      </c>
      <c r="F2">
        <v>493</v>
      </c>
      <c r="G2">
        <v>2238</v>
      </c>
      <c r="H2">
        <v>0</v>
      </c>
    </row>
    <row r="3" spans="1:8" x14ac:dyDescent="0.45">
      <c r="A3" t="s">
        <v>186</v>
      </c>
      <c r="B3">
        <v>2114</v>
      </c>
      <c r="C3">
        <v>57392</v>
      </c>
      <c r="D3">
        <v>38136</v>
      </c>
      <c r="E3">
        <v>5453223</v>
      </c>
      <c r="F3">
        <v>0</v>
      </c>
      <c r="G3">
        <v>3057</v>
      </c>
      <c r="H3">
        <v>0</v>
      </c>
    </row>
    <row r="4" spans="1:8" x14ac:dyDescent="0.45">
      <c r="A4" t="s">
        <v>188</v>
      </c>
      <c r="B4">
        <v>0</v>
      </c>
      <c r="C4">
        <v>0</v>
      </c>
      <c r="D4">
        <v>0</v>
      </c>
      <c r="E4">
        <v>925</v>
      </c>
      <c r="F4">
        <v>0</v>
      </c>
      <c r="G4">
        <v>0</v>
      </c>
      <c r="H4">
        <v>0</v>
      </c>
    </row>
    <row r="5" spans="1:8" x14ac:dyDescent="0.45">
      <c r="A5" t="s">
        <v>190</v>
      </c>
      <c r="B5">
        <v>0</v>
      </c>
      <c r="C5">
        <v>0</v>
      </c>
      <c r="D5">
        <v>0</v>
      </c>
      <c r="E5">
        <v>24526</v>
      </c>
      <c r="F5">
        <v>0</v>
      </c>
      <c r="G5">
        <v>0</v>
      </c>
      <c r="H5">
        <v>0</v>
      </c>
    </row>
    <row r="6" spans="1:8" x14ac:dyDescent="0.45">
      <c r="A6" t="s">
        <v>192</v>
      </c>
      <c r="B6">
        <v>0</v>
      </c>
      <c r="C6">
        <v>0</v>
      </c>
      <c r="D6">
        <v>0</v>
      </c>
      <c r="E6">
        <v>164</v>
      </c>
      <c r="F6">
        <v>0</v>
      </c>
      <c r="G6">
        <v>0</v>
      </c>
      <c r="H6">
        <v>0</v>
      </c>
    </row>
    <row r="7" spans="1:8" x14ac:dyDescent="0.45">
      <c r="A7" t="s">
        <v>194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H7"/>
  <sheetViews>
    <sheetView workbookViewId="0"/>
  </sheetViews>
  <sheetFormatPr defaultRowHeight="14.25" x14ac:dyDescent="0.45"/>
  <cols>
    <col min="1" max="1" width="20" customWidth="1"/>
    <col min="2" max="8" width="16" customWidth="1"/>
  </cols>
  <sheetData>
    <row r="1" spans="1:8" x14ac:dyDescent="0.45">
      <c r="A1" s="4" t="s">
        <v>554</v>
      </c>
      <c r="B1" s="4" t="s">
        <v>198</v>
      </c>
      <c r="C1" s="4" t="s">
        <v>201</v>
      </c>
      <c r="D1" s="4" t="s">
        <v>204</v>
      </c>
      <c r="E1" s="4" t="s">
        <v>207</v>
      </c>
      <c r="F1" s="4" t="s">
        <v>210</v>
      </c>
      <c r="G1" s="4" t="s">
        <v>213</v>
      </c>
      <c r="H1" s="4" t="s">
        <v>216</v>
      </c>
    </row>
    <row r="2" spans="1:8" x14ac:dyDescent="0.45">
      <c r="A2" s="4" t="s">
        <v>184</v>
      </c>
      <c r="B2">
        <f>SUMIFS('SSYVbT-passenger-LDVs'!B:B,'SSYVbT-passenger-LDVs'!$A:$A,About!$B$1)</f>
        <v>9700</v>
      </c>
      <c r="C2">
        <f>SUMIFS('SSYVbT-passenger-LDVs'!C:C,'SSYVbT-passenger-LDVs'!$A:$A,About!$B$1)</f>
        <v>0</v>
      </c>
      <c r="D2">
        <f>SUMIFS('SSYVbT-passenger-LDVs'!D:D,'SSYVbT-passenger-LDVs'!$A:$A,About!$B$1)</f>
        <v>1064696</v>
      </c>
      <c r="E2">
        <f>SUMIFS('SSYVbT-passenger-LDVs'!E:E,'SSYVbT-passenger-LDVs'!$A:$A,About!$B$1)</f>
        <v>6142</v>
      </c>
      <c r="F2">
        <f>SUMIFS('SSYVbT-passenger-LDVs'!F:F,'SSYVbT-passenger-LDVs'!$A:$A,About!$B$1)</f>
        <v>9200</v>
      </c>
      <c r="G2">
        <f>SUMIFS('SSYVbT-passenger-LDVs'!G:G,'SSYVbT-passenger-LDVs'!$A:$A,About!$B$1)</f>
        <v>0</v>
      </c>
      <c r="H2">
        <f>SUMIFS('SSYVbT-passenger-LDVs'!H:H,'SSYVbT-passenger-LDVs'!$A:$A,About!$B$1)</f>
        <v>0</v>
      </c>
    </row>
    <row r="3" spans="1:8" x14ac:dyDescent="0.45">
      <c r="A3" s="4" t="s">
        <v>186</v>
      </c>
      <c r="B3">
        <f>SUMIFS('SSYVbT-passenger-HDVs'!B:B,'SSYVbT-passenger-HDVs'!$A:$A,About!$B$1)</f>
        <v>0</v>
      </c>
      <c r="C3">
        <f>SUMIFS('SSYVbT-passenger-HDVs'!C:C,'SSYVbT-passenger-HDVs'!$A:$A,About!$B$1)</f>
        <v>196</v>
      </c>
      <c r="D3">
        <f>SUMIFS('SSYVbT-passenger-HDVs'!D:D,'SSYVbT-passenger-HDVs'!$A:$A,About!$B$1)</f>
        <v>154</v>
      </c>
      <c r="E3">
        <f>SUMIFS('SSYVbT-passenger-HDVs'!E:E,'SSYVbT-passenger-HDVs'!$A:$A,About!$B$1)</f>
        <v>1225</v>
      </c>
      <c r="F3">
        <f>SUMIFS('SSYVbT-passenger-HDVs'!F:F,'SSYVbT-passenger-HDVs'!$A:$A,About!$B$1)</f>
        <v>0</v>
      </c>
      <c r="G3">
        <f>SUMIFS('SSYVbT-passenger-HDVs'!G:G,'SSYVbT-passenger-HDVs'!$A:$A,About!$B$1)</f>
        <v>72</v>
      </c>
      <c r="H3">
        <f>SUMIFS('SSYVbT-passenger-HDVs'!H:H,'SSYVbT-passenger-HDVs'!$A:$A,About!$B$1)</f>
        <v>0</v>
      </c>
    </row>
    <row r="4" spans="1:8" x14ac:dyDescent="0.45">
      <c r="A4" s="4" t="s">
        <v>188</v>
      </c>
      <c r="B4">
        <f>SUMIFS('SSYVbT-passenger-aircraft'!B:B,'SSYVbT-passenger-aircraft'!$A:$A,About!$B$1)</f>
        <v>0</v>
      </c>
      <c r="C4">
        <f>SUMIFS('SSYVbT-passenger-aircraft'!C:C,'SSYVbT-passenger-aircraft'!$A:$A,About!$B$1)</f>
        <v>0</v>
      </c>
      <c r="D4">
        <f>SUMIFS('SSYVbT-passenger-aircraft'!D:D,'SSYVbT-passenger-aircraft'!$A:$A,About!$B$1)</f>
        <v>0</v>
      </c>
      <c r="E4">
        <f>SUMIFS('SSYVbT-passenger-aircraft'!E:E,'SSYVbT-passenger-aircraft'!$A:$A,About!$B$1)</f>
        <v>24</v>
      </c>
      <c r="F4">
        <f>SUMIFS('SSYVbT-passenger-aircraft'!F:F,'SSYVbT-passenger-aircraft'!$A:$A,About!$B$1)</f>
        <v>0</v>
      </c>
      <c r="G4">
        <f>SUMIFS('SSYVbT-passenger-aircraft'!G:G,'SSYVbT-passenger-aircraft'!$A:$A,About!$B$1)</f>
        <v>0</v>
      </c>
      <c r="H4">
        <f>SUMIFS('SSYVbT-passenger-aircraft'!H:H,'SSYVbT-passenger-aircraft'!$A:$A,About!$B$1)</f>
        <v>0</v>
      </c>
    </row>
    <row r="5" spans="1:8" x14ac:dyDescent="0.45">
      <c r="A5" s="4" t="s">
        <v>190</v>
      </c>
      <c r="B5">
        <f>SUMIFS('SSYVbT-passenger-rail'!B:B,'SSYVbT-passenger-rail'!$A:$A,About!$B$1)</f>
        <v>0</v>
      </c>
      <c r="C5">
        <f>SUMIFS('SSYVbT-passenger-rail'!C:C,'SSYVbT-passenger-rail'!$A:$A,About!$B$1)</f>
        <v>0</v>
      </c>
      <c r="D5">
        <f>SUMIFS('SSYVbT-passenger-rail'!D:D,'SSYVbT-passenger-rail'!$A:$A,About!$B$1)</f>
        <v>0</v>
      </c>
      <c r="E5">
        <f>SUMIFS('SSYVbT-passenger-rail'!E:E,'SSYVbT-passenger-rail'!$A:$A,About!$B$1)</f>
        <v>0</v>
      </c>
      <c r="F5">
        <f>SUMIFS('SSYVbT-passenger-rail'!F:F,'SSYVbT-passenger-rail'!$A:$A,About!$B$1)</f>
        <v>0</v>
      </c>
      <c r="G5">
        <f>SUMIFS('SSYVbT-passenger-rail'!G:G,'SSYVbT-passenger-rail'!$A:$A,About!$B$1)</f>
        <v>0</v>
      </c>
      <c r="H5">
        <f>SUMIFS('SSYVbT-passenger-rail'!H:H,'SSYVbT-passenger-rail'!$A:$A,About!$B$1)</f>
        <v>0</v>
      </c>
    </row>
    <row r="6" spans="1:8" x14ac:dyDescent="0.45">
      <c r="A6" s="4" t="s">
        <v>192</v>
      </c>
      <c r="B6">
        <f>SUMIFS('SSYVbT-passenger-ships'!B:B,'SSYVbT-passenger-ships'!$A:$A,About!$B$1)</f>
        <v>0</v>
      </c>
      <c r="C6">
        <f>SUMIFS('SSYVbT-passenger-ships'!C:C,'SSYVbT-passenger-ships'!$A:$A,About!$B$1)</f>
        <v>0</v>
      </c>
      <c r="D6">
        <f>SUMIFS('SSYVbT-passenger-ships'!D:D,'SSYVbT-passenger-ships'!$A:$A,About!$B$1)</f>
        <v>98748</v>
      </c>
      <c r="E6">
        <f>SUMIFS('SSYVbT-passenger-ships'!E:E,'SSYVbT-passenger-ships'!$A:$A,About!$B$1)</f>
        <v>24073</v>
      </c>
      <c r="F6">
        <f>SUMIFS('SSYVbT-passenger-ships'!F:F,'SSYVbT-passenger-ships'!$A:$A,About!$B$1)</f>
        <v>0</v>
      </c>
      <c r="G6">
        <f>SUMIFS('SSYVbT-passenger-ships'!G:G,'SSYVbT-passenger-ships'!$A:$A,About!$B$1)</f>
        <v>0</v>
      </c>
      <c r="H6">
        <f>SUMIFS('SSYVbT-passenger-ships'!H:H,'SSYVbT-passenger-ships'!$A:$A,About!$B$1)</f>
        <v>0</v>
      </c>
    </row>
    <row r="7" spans="1:8" x14ac:dyDescent="0.45">
      <c r="A7" s="4" t="s">
        <v>194</v>
      </c>
      <c r="B7">
        <f>SUMIFS('SSYVbT-passenger-motorbikes'!B:B,'SSYVbT-passenger-motorbikes'!$A:$A,About!$B$1)</f>
        <v>0</v>
      </c>
      <c r="C7">
        <f>SUMIFS('SSYVbT-passenger-motorbikes'!C:C,'SSYVbT-passenger-motorbikes'!$A:$A,About!$B$1)</f>
        <v>0</v>
      </c>
      <c r="D7">
        <f>SUMIFS('SSYVbT-passenger-motorbikes'!D:D,'SSYVbT-passenger-motorbikes'!$A:$A,About!$B$1)</f>
        <v>47685</v>
      </c>
      <c r="E7">
        <f>SUMIFS('SSYVbT-passenger-motorbikes'!E:E,'SSYVbT-passenger-motorbikes'!$A:$A,About!$B$1)</f>
        <v>0</v>
      </c>
      <c r="F7">
        <f>SUMIFS('SSYVbT-passenger-motorbikes'!F:F,'SSYVbT-passenger-motorbikes'!$A:$A,About!$B$1)</f>
        <v>0</v>
      </c>
      <c r="G7">
        <f>SUMIFS('SSYVbT-passenger-motorbikes'!G:G,'SSYVbT-passenger-motorbikes'!$A:$A,About!$B$1)</f>
        <v>0</v>
      </c>
      <c r="H7">
        <f>SUMIFS('SSYVbT-passenger-motorbikes'!H:H,'SSYVbT-passenger-motorbikes'!$A:$A,About!$B$1)</f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H7"/>
  <sheetViews>
    <sheetView workbookViewId="0"/>
  </sheetViews>
  <sheetFormatPr defaultRowHeight="14.25" x14ac:dyDescent="0.45"/>
  <cols>
    <col min="1" max="1" width="20" customWidth="1"/>
    <col min="2" max="8" width="16" customWidth="1"/>
  </cols>
  <sheetData>
    <row r="1" spans="1:8" x14ac:dyDescent="0.45">
      <c r="A1" s="4" t="s">
        <v>554</v>
      </c>
      <c r="B1" s="4" t="s">
        <v>198</v>
      </c>
      <c r="C1" s="4" t="s">
        <v>201</v>
      </c>
      <c r="D1" s="4" t="s">
        <v>204</v>
      </c>
      <c r="E1" s="4" t="s">
        <v>207</v>
      </c>
      <c r="F1" s="4" t="s">
        <v>210</v>
      </c>
      <c r="G1" s="4" t="s">
        <v>213</v>
      </c>
      <c r="H1" s="4" t="s">
        <v>216</v>
      </c>
    </row>
    <row r="2" spans="1:8" x14ac:dyDescent="0.45">
      <c r="A2" s="4" t="s">
        <v>184</v>
      </c>
      <c r="B2">
        <f>SUMIFS('SSYVbT-freight-LDVs'!B:B,'SSYVbT-freight-LDVs'!$A:$A,About!$B$1)</f>
        <v>211</v>
      </c>
      <c r="C2">
        <f>SUMIFS('SSYVbT-freight-LDVs'!C:C,'SSYVbT-freight-LDVs'!$A:$A,About!$B$1)</f>
        <v>39</v>
      </c>
      <c r="D2">
        <f>SUMIFS('SSYVbT-freight-LDVs'!D:D,'SSYVbT-freight-LDVs'!$A:$A,About!$B$1)</f>
        <v>19610</v>
      </c>
      <c r="E2">
        <f>SUMIFS('SSYVbT-freight-LDVs'!E:E,'SSYVbT-freight-LDVs'!$A:$A,About!$B$1)</f>
        <v>16761</v>
      </c>
      <c r="F2">
        <f>SUMIFS('SSYVbT-freight-LDVs'!F:F,'SSYVbT-freight-LDVs'!$A:$A,About!$B$1)</f>
        <v>1</v>
      </c>
      <c r="G2">
        <f>SUMIFS('SSYVbT-freight-LDVs'!G:G,'SSYVbT-freight-LDVs'!$A:$A,About!$B$1)</f>
        <v>3</v>
      </c>
      <c r="H2">
        <f>SUMIFS('SSYVbT-freight-LDVs'!H:H,'SSYVbT-freight-LDVs'!$A:$A,About!$B$1)</f>
        <v>0</v>
      </c>
    </row>
    <row r="3" spans="1:8" x14ac:dyDescent="0.45">
      <c r="A3" s="4" t="s">
        <v>186</v>
      </c>
      <c r="B3">
        <f>SUMIFS('SSYVbT-freight-HDVs'!B:B,'SSYVbT-freight-HDVs'!$A:$A,About!$B$1)</f>
        <v>12</v>
      </c>
      <c r="C3">
        <f>SUMIFS('SSYVbT-freight-HDVs'!C:C,'SSYVbT-freight-HDVs'!$A:$A,About!$B$1)</f>
        <v>323</v>
      </c>
      <c r="D3">
        <f>SUMIFS('SSYVbT-freight-HDVs'!D:D,'SSYVbT-freight-HDVs'!$A:$A,About!$B$1)</f>
        <v>215</v>
      </c>
      <c r="E3">
        <f>SUMIFS('SSYVbT-freight-HDVs'!E:E,'SSYVbT-freight-HDVs'!$A:$A,About!$B$1)</f>
        <v>30704</v>
      </c>
      <c r="F3">
        <f>SUMIFS('SSYVbT-freight-HDVs'!F:F,'SSYVbT-freight-HDVs'!$A:$A,About!$B$1)</f>
        <v>0</v>
      </c>
      <c r="G3">
        <f>SUMIFS('SSYVbT-freight-HDVs'!G:G,'SSYVbT-freight-HDVs'!$A:$A,About!$B$1)</f>
        <v>17</v>
      </c>
      <c r="H3">
        <f>SUMIFS('SSYVbT-freight-HDVs'!H:H,'SSYVbT-freight-HDVs'!$A:$A,About!$B$1)</f>
        <v>0</v>
      </c>
    </row>
    <row r="4" spans="1:8" x14ac:dyDescent="0.45">
      <c r="A4" s="4" t="s">
        <v>188</v>
      </c>
      <c r="B4">
        <f>SUMIFS('SSYVbT-freight-aircraft'!B:B,'SSYVbT-freight-aircraft'!$A:$A,About!$B$1)</f>
        <v>0</v>
      </c>
      <c r="C4">
        <f>SUMIFS('SSYVbT-freight-aircraft'!C:C,'SSYVbT-freight-aircraft'!$A:$A,About!$B$1)</f>
        <v>0</v>
      </c>
      <c r="D4">
        <f>SUMIFS('SSYVbT-freight-aircraft'!D:D,'SSYVbT-freight-aircraft'!$A:$A,About!$B$1)</f>
        <v>0</v>
      </c>
      <c r="E4">
        <f>SUMIFS('SSYVbT-freight-aircraft'!E:E,'SSYVbT-freight-aircraft'!$A:$A,About!$B$1)</f>
        <v>0</v>
      </c>
      <c r="F4">
        <f>SUMIFS('SSYVbT-freight-aircraft'!F:F,'SSYVbT-freight-aircraft'!$A:$A,About!$B$1)</f>
        <v>0</v>
      </c>
      <c r="G4">
        <f>SUMIFS('SSYVbT-freight-aircraft'!G:G,'SSYVbT-freight-aircraft'!$A:$A,About!$B$1)</f>
        <v>0</v>
      </c>
      <c r="H4">
        <f>SUMIFS('SSYVbT-freight-aircraft'!H:H,'SSYVbT-freight-aircraft'!$A:$A,About!$B$1)</f>
        <v>0</v>
      </c>
    </row>
    <row r="5" spans="1:8" x14ac:dyDescent="0.45">
      <c r="A5" s="4" t="s">
        <v>190</v>
      </c>
      <c r="B5">
        <f>SUMIFS('SSYVbT-freight-rail'!B:B,'SSYVbT-freight-rail'!$A:$A,About!$B$1)</f>
        <v>0</v>
      </c>
      <c r="C5">
        <f>SUMIFS('SSYVbT-freight-rail'!C:C,'SSYVbT-freight-rail'!$A:$A,About!$B$1)</f>
        <v>0</v>
      </c>
      <c r="D5">
        <f>SUMIFS('SSYVbT-freight-rail'!D:D,'SSYVbT-freight-rail'!$A:$A,About!$B$1)</f>
        <v>0</v>
      </c>
      <c r="E5">
        <f>SUMIFS('SSYVbT-freight-rail'!E:E,'SSYVbT-freight-rail'!$A:$A,About!$B$1)</f>
        <v>20</v>
      </c>
      <c r="F5">
        <f>SUMIFS('SSYVbT-freight-rail'!F:F,'SSYVbT-freight-rail'!$A:$A,About!$B$1)</f>
        <v>0</v>
      </c>
      <c r="G5">
        <f>SUMIFS('SSYVbT-freight-rail'!G:G,'SSYVbT-freight-rail'!$A:$A,About!$B$1)</f>
        <v>0</v>
      </c>
      <c r="H5">
        <f>SUMIFS('SSYVbT-freight-rail'!H:H,'SSYVbT-freight-rail'!$A:$A,About!$B$1)</f>
        <v>0</v>
      </c>
    </row>
    <row r="6" spans="1:8" x14ac:dyDescent="0.45">
      <c r="A6" s="4" t="s">
        <v>192</v>
      </c>
      <c r="B6">
        <f>SUMIFS('SSYVbT-freight-ships'!B:B,'SSYVbT-freight-ships'!$A:$A,About!$B$1)</f>
        <v>0</v>
      </c>
      <c r="C6">
        <f>SUMIFS('SSYVbT-freight-ships'!C:C,'SSYVbT-freight-ships'!$A:$A,About!$B$1)</f>
        <v>0</v>
      </c>
      <c r="D6">
        <f>SUMIFS('SSYVbT-freight-ships'!D:D,'SSYVbT-freight-ships'!$A:$A,About!$B$1)</f>
        <v>0</v>
      </c>
      <c r="E6">
        <f>SUMIFS('SSYVbT-freight-ships'!E:E,'SSYVbT-freight-ships'!$A:$A,About!$B$1)</f>
        <v>1</v>
      </c>
      <c r="F6">
        <f>SUMIFS('SSYVbT-freight-ships'!F:F,'SSYVbT-freight-ships'!$A:$A,About!$B$1)</f>
        <v>0</v>
      </c>
      <c r="G6">
        <f>SUMIFS('SSYVbT-freight-ships'!G:G,'SSYVbT-freight-ships'!$A:$A,About!$B$1)</f>
        <v>0</v>
      </c>
      <c r="H6">
        <f>SUMIFS('SSYVbT-freight-ships'!H:H,'SSYVbT-freight-ships'!$A:$A,About!$B$1)</f>
        <v>0</v>
      </c>
    </row>
    <row r="7" spans="1:8" x14ac:dyDescent="0.45">
      <c r="A7" s="4" t="s">
        <v>194</v>
      </c>
      <c r="B7">
        <f>SUMIFS('SSYVbT-freight-motorbikes'!B:B,'SSYVbT-freight-motorbikes'!$A:$A,About!$B$1)</f>
        <v>0</v>
      </c>
      <c r="C7">
        <f>SUMIFS('SSYVbT-freight-motorbikes'!C:C,'SSYVbT-freight-motorbikes'!$A:$A,About!$B$1)</f>
        <v>0</v>
      </c>
      <c r="D7">
        <f>SUMIFS('SSYVbT-freight-motorbikes'!D:D,'SSYVbT-freight-motorbikes'!$A:$A,About!$B$1)</f>
        <v>0</v>
      </c>
      <c r="E7">
        <f>SUMIFS('SSYVbT-freight-motorbikes'!E:E,'SSYVbT-freight-motorbikes'!$A:$A,About!$B$1)</f>
        <v>0</v>
      </c>
      <c r="F7">
        <f>SUMIFS('SSYVbT-freight-motorbikes'!F:F,'SSYVbT-freight-motorbikes'!$A:$A,About!$B$1)</f>
        <v>0</v>
      </c>
      <c r="G7">
        <f>SUMIFS('SSYVbT-freight-motorbikes'!G:G,'SSYVbT-freight-motorbikes'!$A:$A,About!$B$1)</f>
        <v>0</v>
      </c>
      <c r="H7">
        <f>SUMIFS('SSYVbT-freight-motorbikes'!H:H,'SSYVbT-freight-motorbikes'!$A:$A,About!$B$1)</f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README</vt:lpstr>
      <vt:lpstr>About</vt:lpstr>
      <vt:lpstr>Methodology</vt:lpstr>
      <vt:lpstr>Keys</vt:lpstr>
      <vt:lpstr>SSYVbT-passenger-LDVs</vt:lpstr>
      <vt:lpstr>SSYVbT-passenger-HDVs</vt:lpstr>
      <vt:lpstr>SSYVbT-passenger-aircraft</vt:lpstr>
      <vt:lpstr>SSYVbT-passenger-rail</vt:lpstr>
      <vt:lpstr>SSYVbT-passenger-ships</vt:lpstr>
      <vt:lpstr>SSYVbT-passenger-motorbikes</vt:lpstr>
      <vt:lpstr>SSYVbT-freight-LDVs</vt:lpstr>
      <vt:lpstr>SSYVbT-freight-HDVs</vt:lpstr>
      <vt:lpstr>SSYVbT-freight-aircraft</vt:lpstr>
      <vt:lpstr>SSYVbT-freight-rail</vt:lpstr>
      <vt:lpstr>SSYVbT-freight-ships</vt:lpstr>
      <vt:lpstr>SSYVbT-freight-motorbikes</vt:lpstr>
      <vt:lpstr>State_lookup</vt:lpstr>
      <vt:lpstr>National_totals</vt:lpstr>
      <vt:lpstr>AFDC_state_fuels_lookup</vt:lpstr>
      <vt:lpstr>Geography</vt:lpstr>
      <vt:lpstr>FHWA_MV1</vt:lpstr>
      <vt:lpstr>AFDC_EV_state</vt:lpstr>
      <vt:lpstr>AFDC_state_fuel_2024</vt:lpstr>
      <vt:lpstr>State_shares_nonroad</vt:lpstr>
      <vt:lpstr>US_syvbt_psgr_totals</vt:lpstr>
      <vt:lpstr>US_syvbt_frgt_totals</vt:lpstr>
      <vt:lpstr>SYVbT-passenger</vt:lpstr>
      <vt:lpstr>SYVbT-freight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2026-08-11T21:53:46Z</dcterms:created>
  <dcterms:modified xsi:type="dcterms:W3CDTF">2026-08-11T22:12:12Z</dcterms:modified>
</cp:coreProperties>
</file>