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E\trans\BRASC\"/>
    </mc:Choice>
  </mc:AlternateContent>
  <xr:revisionPtr revIDLastSave="0" documentId="8_{A9CEEBFE-E4DE-43DC-A1B3-6EFF4DA3481B}" xr6:coauthVersionLast="47" xr6:coauthVersionMax="47" xr10:uidLastSave="{00000000-0000-0000-0000-000000000000}"/>
  <bookViews>
    <workbookView xWindow="2340" yWindow="1110" windowWidth="13035" windowHeight="16890" xr2:uid="{00000000-000D-0000-FFFF-FFFF00000000}"/>
  </bookViews>
  <sheets>
    <sheet name="About" sheetId="1" r:id="rId1"/>
    <sheet name="Calculations" sheetId="4" r:id="rId2"/>
    <sheet name="BRASC" sheetId="3" r:id="rId3"/>
  </sheets>
  <definedNames>
    <definedName name="income">Calculations!$B$10</definedName>
    <definedName name="Range_EV">Calculations!$B$9</definedName>
    <definedName name="range_ICE">Calculations!$B$8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C10" i="4"/>
  <c r="D10" i="4"/>
  <c r="D8" i="4"/>
  <c r="D14" i="4" s="1"/>
  <c r="F2" i="3" l="1" a="1"/>
  <c r="F2" i="3" s="1"/>
  <c r="B2" i="3" a="1"/>
  <c r="B2" i="3" s="1"/>
  <c r="J2" i="3" a="1"/>
  <c r="J2" i="3" s="1"/>
  <c r="G2" i="3" a="1"/>
  <c r="G2" i="3" s="1"/>
  <c r="K2" i="3" a="1"/>
  <c r="K2" i="3" s="1"/>
  <c r="H2" i="3" a="1"/>
  <c r="H2" i="3" s="1"/>
  <c r="C2" i="3" a="1"/>
  <c r="C2" i="3" s="1"/>
  <c r="I2" i="3" a="1"/>
  <c r="I2" i="3" s="1"/>
  <c r="D2" i="3" a="1"/>
  <c r="D2" i="3" s="1"/>
  <c r="L2" i="3" a="1"/>
  <c r="L2" i="3" s="1"/>
  <c r="E2" i="3" a="1"/>
  <c r="E2" i="3" s="1"/>
  <c r="AF2" i="3" a="1"/>
  <c r="AF2" i="3" s="1"/>
  <c r="S2" i="3" a="1"/>
  <c r="S2" i="3" s="1"/>
  <c r="X2" i="3" a="1"/>
  <c r="X2" i="3" s="1"/>
  <c r="AD2" i="3" a="1"/>
  <c r="AD2" i="3" s="1"/>
  <c r="R2" i="3" a="1"/>
  <c r="R2" i="3" s="1"/>
  <c r="N2" i="3" a="1"/>
  <c r="N2" i="3" s="1"/>
  <c r="Y2" i="3" a="1"/>
  <c r="Y2" i="3" s="1"/>
  <c r="AE2" i="3" a="1"/>
  <c r="AE2" i="3" s="1"/>
  <c r="O2" i="3" a="1"/>
  <c r="O2" i="3" s="1"/>
  <c r="T2" i="3" a="1"/>
  <c r="T2" i="3" s="1"/>
  <c r="AB2" i="3" a="1"/>
  <c r="AB2" i="3" s="1"/>
  <c r="U2" i="3" a="1"/>
  <c r="U2" i="3" s="1"/>
  <c r="Z2" i="3" a="1"/>
  <c r="Z2" i="3" s="1"/>
  <c r="M2" i="3" a="1"/>
  <c r="M2" i="3" s="1"/>
  <c r="AA2" i="3" a="1"/>
  <c r="AA2" i="3" s="1"/>
  <c r="AC2" i="3" a="1"/>
  <c r="AC2" i="3" s="1"/>
  <c r="P2" i="3" a="1"/>
  <c r="P2" i="3" s="1"/>
  <c r="W2" i="3" a="1"/>
  <c r="W2" i="3" s="1"/>
  <c r="Q2" i="3" a="1"/>
  <c r="Q2" i="3" s="1"/>
  <c r="V2" i="3" a="1"/>
  <c r="V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<sst xmlns="http://schemas.openxmlformats.org/spreadsheetml/2006/main" count="43" uniqueCount="42">
  <si>
    <t>Source:</t>
  </si>
  <si>
    <t>Notes</t>
  </si>
  <si>
    <t>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</si>
  <si>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</si>
  <si>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</si>
  <si>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</si>
  <si>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</si>
  <si>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</si>
  <si>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</si>
  <si>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</si>
  <si>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</si>
  <si>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</si>
  <si>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</si>
  <si>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</si>
  <si>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https://www.census.gov/library/publications/2020/demo/p60-270.html</t>
  </si>
  <si>
    <t>Median US Income</t>
  </si>
  <si>
    <t>United States Census Bureau</t>
  </si>
  <si>
    <t>Income and Poverty in the United States: 2019</t>
  </si>
  <si>
    <t>First bullet of "Highlights"</t>
  </si>
  <si>
    <t>2019 to 2012 USD</t>
  </si>
  <si>
    <t>Range and Fueling Availability 'Costs'</t>
  </si>
  <si>
    <t>US Department of Energy</t>
  </si>
  <si>
    <t>https://www.nrel.gov/docs/fy13osti/55639.pdf</t>
  </si>
  <si>
    <t>Gasoline vehicle range</t>
  </si>
  <si>
    <t>All-Electric Vehicle Ranges Can Exceed Those of Some Gasoline Vehicles</t>
  </si>
  <si>
    <t>https://www.energy.gov/eere/vehicles/fact-939-august-22-2016-all-electric-vehicle-ranges-can-exceed-those-some-gasoline</t>
  </si>
  <si>
    <t>First Figure</t>
  </si>
  <si>
    <t>median range ice (hundred miles)</t>
  </si>
  <si>
    <t>Inside Evs</t>
  </si>
  <si>
    <t>The Median Range of Fully Electric Vehicles Exceeded 250 Miles in 2020</t>
  </si>
  <si>
    <t>https://insideevs.com/news/464449/median-range-evs-2020-exceeded-250-miles/</t>
  </si>
  <si>
    <t>EV range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</si>
  <si>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</si>
  <si>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</si>
  <si>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</si>
  <si>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Currency Conversion</t>
  </si>
  <si>
    <t xml:space="preserve">250 miles and is forecated to continue improving. Therefore, we start with today's median range, and assume </t>
  </si>
  <si>
    <t>the range will reach 300 miles by 2050.</t>
  </si>
  <si>
    <t xml:space="preserve">*2020 median range taken from historical data. 2030 and 2050 are estimated, with the 2050 </t>
  </si>
  <si>
    <t>range roughly corresponding to today's maximum range</t>
  </si>
  <si>
    <t>BRAaCTSC BAU Range Anxiety Shadow Cost</t>
  </si>
  <si>
    <t>Maine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</si>
</sst>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4" fontId="0" fillId="0" borderId="0" xfId="0" applyNumberForma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evs.com/news/464449/median-range-evs-2020-exceeded-250-mi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defaultRowHeight="15" x14ac:dyDescent="0.25"/>
  <cols>
    <col min="1" max="1" width="16.5703125" customWidth="1"/>
    <col min="2" max="2" width="31.85546875" customWidth="1"/>
  </cols>
  <sheetData>
    <row r="1" spans="1:3" x14ac:dyDescent="0.25">
      <c r="A1" s="1" t="s">
        <v>40</v>
      </c>
      <c r="B1" t="s">
        <v>41</v>
      </c>
      <c r="C1" s="10">
        <v>45258</v>
      </c>
    </row>
    <row r="3" spans="1:3" x14ac:dyDescent="0.25">
      <c r="A3" s="1" t="s">
        <v>0</v>
      </c>
      <c r="B3" s="6" t="s">
        <v>15</v>
      </c>
    </row>
    <row r="4" spans="1:3" x14ac:dyDescent="0.25">
      <c r="B4" t="s">
        <v>16</v>
      </c>
    </row>
    <row r="5" spans="1:3" x14ac:dyDescent="0.25">
      <c r="B5" s="7">
        <v>2020</v>
      </c>
    </row>
    <row r="6" spans="1:3" x14ac:dyDescent="0.25">
      <c r="B6" t="s">
        <v>17</v>
      </c>
    </row>
    <row r="7" spans="1:3" x14ac:dyDescent="0.25">
      <c r="B7" t="s">
        <v>14</v>
      </c>
    </row>
    <row r="8" spans="1:3" x14ac:dyDescent="0.25">
      <c r="A8" s="2"/>
      <c r="B8" t="s">
        <v>18</v>
      </c>
    </row>
    <row r="10" spans="1:3" x14ac:dyDescent="0.25">
      <c r="B10" s="6" t="s">
        <v>20</v>
      </c>
    </row>
    <row r="11" spans="1:3" x14ac:dyDescent="0.25">
      <c r="B11" t="s">
        <v>21</v>
      </c>
    </row>
    <row r="12" spans="1:3" x14ac:dyDescent="0.25">
      <c r="B12" s="7">
        <v>2013</v>
      </c>
    </row>
    <row r="13" spans="1:3" x14ac:dyDescent="0.25">
      <c r="B13" t="s">
        <v>22</v>
      </c>
    </row>
    <row r="15" spans="1:3" x14ac:dyDescent="0.25">
      <c r="B15" s="6" t="s">
        <v>23</v>
      </c>
    </row>
    <row r="16" spans="1:3" x14ac:dyDescent="0.25">
      <c r="B16" t="s">
        <v>21</v>
      </c>
    </row>
    <row r="17" spans="1:2" x14ac:dyDescent="0.25">
      <c r="B17" s="7">
        <v>2016</v>
      </c>
    </row>
    <row r="18" spans="1:2" x14ac:dyDescent="0.25">
      <c r="B18" t="s">
        <v>24</v>
      </c>
    </row>
    <row r="19" spans="1:2" x14ac:dyDescent="0.25">
      <c r="B19" t="s">
        <v>25</v>
      </c>
    </row>
    <row r="20" spans="1:2" x14ac:dyDescent="0.25">
      <c r="B20" t="s">
        <v>26</v>
      </c>
    </row>
    <row r="22" spans="1:2" x14ac:dyDescent="0.25">
      <c r="B22" s="6" t="s">
        <v>31</v>
      </c>
    </row>
    <row r="23" spans="1:2" x14ac:dyDescent="0.25">
      <c r="B23" t="s">
        <v>28</v>
      </c>
    </row>
    <row r="24" spans="1:2" x14ac:dyDescent="0.25">
      <c r="B24" s="7">
        <v>2021</v>
      </c>
    </row>
    <row r="25" spans="1:2" x14ac:dyDescent="0.25">
      <c r="B25" t="s">
        <v>29</v>
      </c>
    </row>
    <row r="26" spans="1:2" x14ac:dyDescent="0.25">
      <c r="B26" s="8" t="s">
        <v>30</v>
      </c>
    </row>
    <row r="28" spans="1:2" x14ac:dyDescent="0.25">
      <c r="A28" s="1" t="s">
        <v>1</v>
      </c>
    </row>
    <row r="29" spans="1:2" x14ac:dyDescent="0.25">
      <c r="A29" t="s">
        <v>3</v>
      </c>
    </row>
    <row r="30" spans="1:2" x14ac:dyDescent="0.25">
      <c r="A30" t="s">
        <v>4</v>
      </c>
    </row>
    <row r="31" spans="1:2" x14ac:dyDescent="0.25">
      <c r="A31" s="1"/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35</v>
      </c>
    </row>
    <row r="38" spans="1:2" x14ac:dyDescent="0.25">
      <c r="A38" t="s">
        <v>19</v>
      </c>
      <c r="B38">
        <v>0.89805481563188172</v>
      </c>
    </row>
  </sheetData>
  <hyperlinks>
    <hyperlink ref="B26" r:id="rId1" xr:uid="{14EF0A86-0973-41E2-9D23-51C96C7795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D14"/>
  <sheetViews>
    <sheetView topLeftCell="A5" workbookViewId="0">
      <selection activeCell="F8" sqref="F8"/>
    </sheetView>
  </sheetViews>
  <sheetFormatPr defaultRowHeight="15" x14ac:dyDescent="0.25"/>
  <cols>
    <col min="1" max="1" width="31.5703125" customWidth="1"/>
    <col min="2" max="2" width="26.42578125" customWidth="1"/>
    <col min="3" max="4" width="12" bestFit="1" customWidth="1"/>
  </cols>
  <sheetData>
    <row r="1" spans="1:4" s="1" customFormat="1" x14ac:dyDescent="0.25">
      <c r="A1" s="1" t="s">
        <v>12</v>
      </c>
    </row>
    <row r="2" spans="1:4" x14ac:dyDescent="0.25">
      <c r="A2" t="s">
        <v>11</v>
      </c>
      <c r="B2">
        <v>-0.36099999999999999</v>
      </c>
    </row>
    <row r="3" spans="1:4" x14ac:dyDescent="0.25">
      <c r="A3" t="s">
        <v>10</v>
      </c>
    </row>
    <row r="4" spans="1:4" x14ac:dyDescent="0.25">
      <c r="A4" t="s">
        <v>9</v>
      </c>
      <c r="B4">
        <v>1.268</v>
      </c>
    </row>
    <row r="5" spans="1:4" x14ac:dyDescent="0.25">
      <c r="A5" t="s">
        <v>8</v>
      </c>
      <c r="B5">
        <v>-0.11600000000000001</v>
      </c>
    </row>
    <row r="7" spans="1:4" x14ac:dyDescent="0.25">
      <c r="B7">
        <v>2020</v>
      </c>
      <c r="C7">
        <v>2030</v>
      </c>
      <c r="D7">
        <v>2050</v>
      </c>
    </row>
    <row r="8" spans="1:4" x14ac:dyDescent="0.25">
      <c r="A8" t="s">
        <v>27</v>
      </c>
      <c r="B8">
        <v>4.12</v>
      </c>
      <c r="C8">
        <v>4.12</v>
      </c>
      <c r="D8">
        <f>B8</f>
        <v>4.12</v>
      </c>
    </row>
    <row r="9" spans="1:4" x14ac:dyDescent="0.25">
      <c r="A9" t="s">
        <v>7</v>
      </c>
      <c r="B9">
        <v>2.59</v>
      </c>
      <c r="C9" s="9">
        <v>3</v>
      </c>
      <c r="D9" s="9">
        <v>4.12</v>
      </c>
    </row>
    <row r="10" spans="1:4" x14ac:dyDescent="0.25">
      <c r="A10" t="s">
        <v>6</v>
      </c>
      <c r="B10">
        <v>68.703000000000003</v>
      </c>
      <c r="C10" s="9">
        <f>income</f>
        <v>68.703000000000003</v>
      </c>
      <c r="D10" s="9">
        <f>B10</f>
        <v>68.703000000000003</v>
      </c>
    </row>
    <row r="11" spans="1:4" x14ac:dyDescent="0.25">
      <c r="A11" t="s">
        <v>38</v>
      </c>
    </row>
    <row r="12" spans="1:4" x14ac:dyDescent="0.25">
      <c r="A12" t="s">
        <v>39</v>
      </c>
    </row>
    <row r="14" spans="1:4" x14ac:dyDescent="0.25">
      <c r="A14" t="s">
        <v>13</v>
      </c>
      <c r="B14" s="5">
        <f>($B$4/$B$2*B9*(1-B8/B9)+$B$5/$B$2*B9^2*(1-B8^2/B9^2))*LN(income)*About!$B$38</f>
        <v>7.8828464065137096</v>
      </c>
      <c r="C14" s="5">
        <f>($B$4/$B$2*C9*(1-C8/C9)+$B$5/$B$2*C9^2*(1-C8^2/C9^2))*LN(income)*About!$B$38</f>
        <v>5.2099509525186276</v>
      </c>
      <c r="D14" s="5">
        <f>($B$4/$B$2*D9*(1-D8/D9)+$B$5/$B$2*D9^2*(1-D8^2/D9^2))*LN(income)*About!$B$38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topLeftCell="P1" workbookViewId="0">
      <selection activeCell="T10" sqref="T10"/>
    </sheetView>
  </sheetViews>
  <sheetFormatPr defaultRowHeight="15" x14ac:dyDescent="0.25"/>
  <cols>
    <col min="1" max="1" width="17.85546875" customWidth="1"/>
  </cols>
  <sheetData>
    <row r="1" spans="1:33" x14ac:dyDescent="0.25">
      <c r="A1" s="1" t="s">
        <v>5</v>
      </c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3" x14ac:dyDescent="0.25">
      <c r="A2" t="s">
        <v>2</v>
      </c>
      <c r="B2" s="3" cm="1">
        <f t="array" ref="B2">TREND(Calculations!$B$14:$C$14,Calculations!$B$7:$C$7,B1)*1000*About!$B$38</f>
        <v>7079.2281762560442</v>
      </c>
      <c r="C2" s="3" cm="1">
        <f t="array" ref="C2">TREND(Calculations!$B$14:$C$14,Calculations!$B$7:$C$7,C1)*1000*About!$B$38</f>
        <v>6839.1875128420379</v>
      </c>
      <c r="D2" s="3" cm="1">
        <f t="array" ref="D2">TREND(Calculations!$B$14:$C$14,Calculations!$B$7:$C$7,D1)*1000*About!$B$38</f>
        <v>6599.1468494279288</v>
      </c>
      <c r="E2" s="3" cm="1">
        <f t="array" ref="E2">TREND(Calculations!$B$14:$C$14,Calculations!$B$7:$C$7,E1)*1000*About!$B$38</f>
        <v>6359.1061860138198</v>
      </c>
      <c r="F2" s="3" cm="1">
        <f t="array" ref="F2">TREND(Calculations!$B$14:$C$14,Calculations!$B$7:$C$7,F1)*1000*About!$B$38</f>
        <v>6119.0655225997107</v>
      </c>
      <c r="G2" s="3" cm="1">
        <f t="array" ref="G2">TREND(Calculations!$B$14:$C$14,Calculations!$B$7:$C$7,G1)*1000*About!$B$38</f>
        <v>5879.0248591857035</v>
      </c>
      <c r="H2" s="3" cm="1">
        <f t="array" ref="H2">TREND(Calculations!$B$14:$C$14,Calculations!$B$7:$C$7,H1)*1000*About!$B$38</f>
        <v>5638.9841957715944</v>
      </c>
      <c r="I2" s="3" cm="1">
        <f t="array" ref="I2">TREND(Calculations!$B$14:$C$14,Calculations!$B$7:$C$7,I1)*1000*About!$B$38</f>
        <v>5398.9435323574853</v>
      </c>
      <c r="J2" s="3" cm="1">
        <f t="array" ref="J2">TREND(Calculations!$B$14:$C$14,Calculations!$B$7:$C$7,J1)*1000*About!$B$38</f>
        <v>5158.9028689433762</v>
      </c>
      <c r="K2" s="3" cm="1">
        <f t="array" ref="K2">TREND(Calculations!$B$14:$C$14,Calculations!$B$7:$C$7,K1)*1000*About!$B$38</f>
        <v>4918.8622055292672</v>
      </c>
      <c r="L2" s="3" cm="1">
        <f t="array" ref="L2">TREND(Calculations!$B$14:$C$14,Calculations!$B$7:$C$7,L1)*1000*About!$B$38</f>
        <v>4678.8215421152599</v>
      </c>
      <c r="M2" s="3" cm="1">
        <f t="array" ref="M2">TREND(Calculations!$C$14:$D$14,Calculations!$C$7:$D$7,M1)*1000*About!$B$38</f>
        <v>4444.8804650095735</v>
      </c>
      <c r="N2" s="3" cm="1">
        <f t="array" ref="N2">TREND(Calculations!$C$14:$D$14,Calculations!$C$7:$D$7,N1)*1000*About!$B$38</f>
        <v>4210.9393879037852</v>
      </c>
      <c r="O2" s="3" cm="1">
        <f t="array" ref="O2">TREND(Calculations!$C$14:$D$14,Calculations!$C$7:$D$7,O1)*1000*About!$B$38</f>
        <v>3976.998310797997</v>
      </c>
      <c r="P2" s="3" cm="1">
        <f t="array" ref="P2">TREND(Calculations!$C$14:$D$14,Calculations!$C$7:$D$7,P1)*1000*About!$B$38</f>
        <v>3743.0572336923101</v>
      </c>
      <c r="Q2" s="3" cm="1">
        <f t="array" ref="Q2">TREND(Calculations!$C$14:$D$14,Calculations!$C$7:$D$7,Q1)*1000*About!$B$38</f>
        <v>3509.1161565865218</v>
      </c>
      <c r="R2" s="3" cm="1">
        <f t="array" ref="R2">TREND(Calculations!$C$14:$D$14,Calculations!$C$7:$D$7,R1)*1000*About!$B$38</f>
        <v>3275.1750794807331</v>
      </c>
      <c r="S2" s="3" cm="1">
        <f t="array" ref="S2">TREND(Calculations!$C$14:$D$14,Calculations!$C$7:$D$7,S1)*1000*About!$B$38</f>
        <v>3041.2340023749448</v>
      </c>
      <c r="T2" s="3" cm="1">
        <f t="array" ref="T2">TREND(Calculations!$C$14:$D$14,Calculations!$C$7:$D$7,T1)*1000*About!$B$38</f>
        <v>2807.2929252692584</v>
      </c>
      <c r="U2" s="3" cm="1">
        <f t="array" ref="U2">TREND(Calculations!$C$14:$D$14,Calculations!$C$7:$D$7,U1)*1000*About!$B$38</f>
        <v>2573.3518481634696</v>
      </c>
      <c r="V2" s="3" cm="1">
        <f t="array" ref="V2">TREND(Calculations!$C$14:$D$14,Calculations!$C$7:$D$7,V1)*1000*About!$B$38</f>
        <v>2339.4107710576814</v>
      </c>
      <c r="W2" s="3" cm="1">
        <f t="array" ref="W2">TREND(Calculations!$C$14:$D$14,Calculations!$C$7:$D$7,W1)*1000*About!$B$38</f>
        <v>2105.4696939518926</v>
      </c>
      <c r="X2" s="3" cm="1">
        <f t="array" ref="X2">TREND(Calculations!$C$14:$D$14,Calculations!$C$7:$D$7,X1)*1000*About!$B$38</f>
        <v>1871.5286168462062</v>
      </c>
      <c r="Y2" s="3" cm="1">
        <f t="array" ref="Y2">TREND(Calculations!$C$14:$D$14,Calculations!$C$7:$D$7,Y1)*1000*About!$B$38</f>
        <v>1637.5875397404177</v>
      </c>
      <c r="Z2" s="3" cm="1">
        <f t="array" ref="Z2">TREND(Calculations!$C$14:$D$14,Calculations!$C$7:$D$7,Z1)*1000*About!$B$38</f>
        <v>1403.6464626346292</v>
      </c>
      <c r="AA2" s="3" cm="1">
        <f t="array" ref="AA2">TREND(Calculations!$C$14:$D$14,Calculations!$C$7:$D$7,AA1)*1000*About!$B$38</f>
        <v>1169.7053855288407</v>
      </c>
      <c r="AB2" s="3" cm="1">
        <f t="array" ref="AB2">TREND(Calculations!$C$14:$D$14,Calculations!$C$7:$D$7,AB1)*1000*About!$B$38</f>
        <v>935.76430842315415</v>
      </c>
      <c r="AC2" s="3" cm="1">
        <f t="array" ref="AC2">TREND(Calculations!$C$14:$D$14,Calculations!$C$7:$D$7,AC1)*1000*About!$B$38</f>
        <v>701.82323131736564</v>
      </c>
      <c r="AD2" s="3" cm="1">
        <f t="array" ref="AD2">TREND(Calculations!$C$14:$D$14,Calculations!$C$7:$D$7,AD1)*1000*About!$B$38</f>
        <v>467.88215421157707</v>
      </c>
      <c r="AE2" s="3" cm="1">
        <f t="array" ref="AE2">TREND(Calculations!$C$14:$D$14,Calculations!$C$7:$D$7,AE1)*1000*About!$B$38</f>
        <v>233.94107710578854</v>
      </c>
      <c r="AF2" s="3" cm="1">
        <f t="array" ref="AF2">TREND(Calculations!$C$14:$D$14,Calculations!$C$7:$D$7,AF1)*1000*About!$B$38</f>
        <v>0</v>
      </c>
      <c r="AG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Calculations</vt:lpstr>
      <vt:lpstr>BRASC</vt:lpstr>
      <vt:lpstr>income</vt:lpstr>
      <vt:lpstr>Range_EV</vt:lpstr>
      <vt:lpstr>range_ICE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2023-11-28T22:07:02Z</dcterms:modified>
</cp:coreProperties>
</file>