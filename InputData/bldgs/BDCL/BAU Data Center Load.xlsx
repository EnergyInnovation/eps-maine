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bldgs\BDCL\"/>
    </mc:Choice>
  </mc:AlternateContent>
  <xr:revisionPtr revIDLastSave="0" documentId="8_{12E1AC50-46AA-4AC0-A04A-E2229D4AAAC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AC166" i="10"/>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66" i="10"/>
  <c r="B166" i="10"/>
  <c r="AC165" i="10"/>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65" i="10"/>
  <c r="D165" i="10" s="1"/>
  <c r="E165" i="10" s="1"/>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F158" i="10"/>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AC155" i="10"/>
  <c r="H155" i="10"/>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E155" i="10"/>
  <c r="F155" i="10" s="1"/>
  <c r="G155" i="10" s="1"/>
  <c r="B155" i="10"/>
  <c r="C155" i="10" s="1"/>
  <c r="D155" i="10" s="1"/>
  <c r="AC154" i="10"/>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G151" i="10"/>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F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F149" i="10"/>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E149" i="10"/>
  <c r="B149" i="10"/>
  <c r="C149" i="10" s="1"/>
  <c r="D149" i="10" s="1"/>
  <c r="AC148" i="10"/>
  <c r="K148" i="10"/>
  <c r="L148" i="10" s="1"/>
  <c r="M148" i="10" s="1"/>
  <c r="N148" i="10" s="1"/>
  <c r="O148" i="10" s="1"/>
  <c r="P148" i="10" s="1"/>
  <c r="Q148" i="10" s="1"/>
  <c r="R148" i="10" s="1"/>
  <c r="S148" i="10" s="1"/>
  <c r="T148" i="10" s="1"/>
  <c r="U148" i="10" s="1"/>
  <c r="V148" i="10" s="1"/>
  <c r="W148" i="10" s="1"/>
  <c r="X148" i="10" s="1"/>
  <c r="Y148" i="10" s="1"/>
  <c r="Z148" i="10" s="1"/>
  <c r="AA148" i="10" s="1"/>
  <c r="AB148" i="10" s="1"/>
  <c r="B148" i="10"/>
  <c r="C148" i="10" s="1"/>
  <c r="D148" i="10" s="1"/>
  <c r="E148" i="10" s="1"/>
  <c r="F148" i="10" s="1"/>
  <c r="G148" i="10" s="1"/>
  <c r="H148" i="10" s="1"/>
  <c r="I148" i="10" s="1"/>
  <c r="J148" i="10" s="1"/>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B146" i="10"/>
  <c r="AC145" i="10"/>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C145" i="10"/>
  <c r="B145" i="10"/>
  <c r="AC144" i="10"/>
  <c r="B144" i="10"/>
  <c r="AC143" i="10"/>
  <c r="O143" i="10"/>
  <c r="P143" i="10" s="1"/>
  <c r="Q143" i="10" s="1"/>
  <c r="R143" i="10" s="1"/>
  <c r="S143" i="10" s="1"/>
  <c r="T143" i="10" s="1"/>
  <c r="U143" i="10" s="1"/>
  <c r="V143" i="10" s="1"/>
  <c r="W143" i="10" s="1"/>
  <c r="X143" i="10" s="1"/>
  <c r="Y143" i="10" s="1"/>
  <c r="Z143" i="10" s="1"/>
  <c r="AA143" i="10" s="1"/>
  <c r="AB143" i="10" s="1"/>
  <c r="I143" i="10"/>
  <c r="J143" i="10" s="1"/>
  <c r="K143" i="10" s="1"/>
  <c r="L143" i="10" s="1"/>
  <c r="M143" i="10" s="1"/>
  <c r="N143" i="10" s="1"/>
  <c r="C143" i="10"/>
  <c r="D143" i="10" s="1"/>
  <c r="E143" i="10" s="1"/>
  <c r="F143" i="10" s="1"/>
  <c r="G143" i="10" s="1"/>
  <c r="H143" i="10" s="1"/>
  <c r="B143" i="10"/>
  <c r="AC142" i="10"/>
  <c r="P142" i="10"/>
  <c r="Q142" i="10" s="1"/>
  <c r="R142" i="10" s="1"/>
  <c r="S142" i="10" s="1"/>
  <c r="T142" i="10" s="1"/>
  <c r="U142" i="10" s="1"/>
  <c r="V142" i="10" s="1"/>
  <c r="W142" i="10" s="1"/>
  <c r="X142" i="10" s="1"/>
  <c r="Y142" i="10" s="1"/>
  <c r="Z142" i="10" s="1"/>
  <c r="AA142" i="10" s="1"/>
  <c r="AB142" i="10" s="1"/>
  <c r="G142" i="10"/>
  <c r="H142" i="10" s="1"/>
  <c r="I142" i="10" s="1"/>
  <c r="J142" i="10" s="1"/>
  <c r="K142" i="10" s="1"/>
  <c r="L142" i="10" s="1"/>
  <c r="M142" i="10" s="1"/>
  <c r="N142" i="10" s="1"/>
  <c r="O142" i="10" s="1"/>
  <c r="D142" i="10"/>
  <c r="E142" i="10" s="1"/>
  <c r="F142" i="10" s="1"/>
  <c r="B142" i="10"/>
  <c r="C142" i="10" s="1"/>
  <c r="AC141" i="10"/>
  <c r="L141" i="10"/>
  <c r="M141" i="10" s="1"/>
  <c r="N141" i="10" s="1"/>
  <c r="O141" i="10" s="1"/>
  <c r="P141" i="10" s="1"/>
  <c r="Q141" i="10" s="1"/>
  <c r="R141" i="10" s="1"/>
  <c r="S141" i="10" s="1"/>
  <c r="T141" i="10" s="1"/>
  <c r="U141" i="10" s="1"/>
  <c r="V141" i="10" s="1"/>
  <c r="W141" i="10" s="1"/>
  <c r="X141" i="10" s="1"/>
  <c r="Y141" i="10" s="1"/>
  <c r="Z141" i="10" s="1"/>
  <c r="AA141" i="10" s="1"/>
  <c r="AB141" i="10" s="1"/>
  <c r="F141" i="10"/>
  <c r="G141" i="10" s="1"/>
  <c r="H141" i="10" s="1"/>
  <c r="I141" i="10" s="1"/>
  <c r="J141" i="10" s="1"/>
  <c r="K141" i="10" s="1"/>
  <c r="B141" i="10"/>
  <c r="C141" i="10" s="1"/>
  <c r="D141" i="10" s="1"/>
  <c r="E141" i="10" s="1"/>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G138" i="10"/>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F138" i="10"/>
  <c r="C138" i="10"/>
  <c r="D138" i="10" s="1"/>
  <c r="E138" i="10" s="1"/>
  <c r="B138" i="10"/>
  <c r="AC137" i="10"/>
  <c r="F137" i="10"/>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C137" i="10" s="1"/>
  <c r="D137" i="10" s="1"/>
  <c r="E137" i="10" s="1"/>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C135" i="10" s="1"/>
  <c r="D135" i="10" s="1"/>
  <c r="H135" i="10"/>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E135" i="10"/>
  <c r="F135" i="10" s="1"/>
  <c r="G135" i="10" s="1"/>
  <c r="B135" i="10"/>
  <c r="AC134" i="10"/>
  <c r="C134" i="10" s="1"/>
  <c r="D134" i="10" s="1"/>
  <c r="E134" i="10" s="1"/>
  <c r="F134" i="10" s="1"/>
  <c r="G134" i="10" s="1"/>
  <c r="H134" i="10" s="1"/>
  <c r="I134" i="10" s="1"/>
  <c r="J134" i="10"/>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D133" i="10"/>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33" i="10"/>
  <c r="B133" i="10"/>
  <c r="AC132" i="10"/>
  <c r="C132" i="10" s="1"/>
  <c r="J132" i="10"/>
  <c r="K132" i="10" s="1"/>
  <c r="L132" i="10" s="1"/>
  <c r="M132" i="10" s="1"/>
  <c r="N132" i="10" s="1"/>
  <c r="O132" i="10" s="1"/>
  <c r="P132" i="10" s="1"/>
  <c r="Q132" i="10" s="1"/>
  <c r="R132" i="10" s="1"/>
  <c r="S132" i="10" s="1"/>
  <c r="T132" i="10" s="1"/>
  <c r="U132" i="10" s="1"/>
  <c r="V132" i="10" s="1"/>
  <c r="W132" i="10" s="1"/>
  <c r="X132" i="10" s="1"/>
  <c r="Y132" i="10" s="1"/>
  <c r="Z132" i="10" s="1"/>
  <c r="AA132" i="10" s="1"/>
  <c r="AB132" i="10" s="1"/>
  <c r="D132" i="10"/>
  <c r="E132" i="10" s="1"/>
  <c r="F132" i="10" s="1"/>
  <c r="G132" i="10" s="1"/>
  <c r="H132" i="10" s="1"/>
  <c r="I132" i="10" s="1"/>
  <c r="B132" i="10"/>
  <c r="AC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c r="W131" i="10" s="1"/>
  <c r="X131" i="10" s="1"/>
  <c r="Y131" i="10" s="1"/>
  <c r="Z131" i="10" s="1"/>
  <c r="AA131" i="10" s="1"/>
  <c r="AB131" i="10" s="1"/>
  <c r="B131" i="10"/>
  <c r="AC130"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O126" i="10"/>
  <c r="P126" i="10" s="1"/>
  <c r="Q126" i="10" s="1"/>
  <c r="R126" i="10" s="1"/>
  <c r="S126" i="10" s="1"/>
  <c r="T126" i="10" s="1"/>
  <c r="U126" i="10" s="1"/>
  <c r="V126" i="10" s="1"/>
  <c r="W126" i="10" s="1"/>
  <c r="X126" i="10" s="1"/>
  <c r="Y126" i="10" s="1"/>
  <c r="Z126" i="10" s="1"/>
  <c r="AA126" i="10" s="1"/>
  <c r="AB126" i="10" s="1"/>
  <c r="B126" i="10"/>
  <c r="C126" i="10" s="1"/>
  <c r="D126" i="10" s="1"/>
  <c r="E126" i="10" s="1"/>
  <c r="F126" i="10" s="1"/>
  <c r="G126" i="10" s="1"/>
  <c r="H126" i="10" s="1"/>
  <c r="I126" i="10" s="1"/>
  <c r="J126" i="10" s="1"/>
  <c r="K126" i="10" s="1"/>
  <c r="L126" i="10" s="1"/>
  <c r="M126" i="10" s="1"/>
  <c r="N126" i="10" s="1"/>
  <c r="AC125" i="10"/>
  <c r="B125" i="10"/>
  <c r="AC124" i="10"/>
  <c r="N124" i="10"/>
  <c r="O124" i="10" s="1"/>
  <c r="P124" i="10" s="1"/>
  <c r="Q124" i="10" s="1"/>
  <c r="R124" i="10" s="1"/>
  <c r="S124" i="10" s="1"/>
  <c r="T124" i="10" s="1"/>
  <c r="U124" i="10" s="1"/>
  <c r="V124" i="10" s="1"/>
  <c r="W124" i="10" s="1"/>
  <c r="X124" i="10" s="1"/>
  <c r="Y124" i="10" s="1"/>
  <c r="Z124" i="10" s="1"/>
  <c r="AA124" i="10" s="1"/>
  <c r="AB124" i="10" s="1"/>
  <c r="D124" i="10"/>
  <c r="E124" i="10" s="1"/>
  <c r="F124" i="10" s="1"/>
  <c r="G124" i="10" s="1"/>
  <c r="H124" i="10" s="1"/>
  <c r="I124" i="10" s="1"/>
  <c r="J124" i="10" s="1"/>
  <c r="K124" i="10" s="1"/>
  <c r="L124" i="10" s="1"/>
  <c r="M124" i="10" s="1"/>
  <c r="C124" i="10"/>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H121" i="10"/>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D121" i="10" s="1"/>
  <c r="E121" i="10" s="1"/>
  <c r="F121" i="10" s="1"/>
  <c r="G121" i="10" s="1"/>
  <c r="AC120" i="10"/>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C119" i="10" s="1"/>
  <c r="D119" i="10" s="1"/>
  <c r="E119" i="10" s="1"/>
  <c r="F119" i="10" s="1"/>
  <c r="G119" i="10"/>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AC116" i="10"/>
  <c r="F116" i="10"/>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AC115" i="10"/>
  <c r="I115" i="10"/>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H115" i="10"/>
  <c r="D115" i="10"/>
  <c r="E115" i="10" s="1"/>
  <c r="F115" i="10" s="1"/>
  <c r="G115" i="10" s="1"/>
  <c r="B115" i="10"/>
  <c r="C115" i="10" s="1"/>
  <c r="AC114" i="10"/>
  <c r="B114" i="10"/>
  <c r="AC113" i="10"/>
  <c r="D113" i="10"/>
  <c r="E113" i="10" s="1"/>
  <c r="C113" i="10"/>
  <c r="B113" i="10"/>
  <c r="AC108" i="10"/>
  <c r="B108" i="10"/>
  <c r="AC107" i="10"/>
  <c r="C107" i="10" s="1"/>
  <c r="D107" i="10" s="1"/>
  <c r="E107" i="10" s="1"/>
  <c r="F107" i="10" s="1"/>
  <c r="G107" i="10" s="1"/>
  <c r="H107" i="10" s="1"/>
  <c r="I107" i="10" s="1"/>
  <c r="J107" i="10" s="1"/>
  <c r="K107" i="10" s="1"/>
  <c r="L107" i="10" s="1"/>
  <c r="M107" i="10" s="1"/>
  <c r="N107" i="10" s="1"/>
  <c r="O107" i="10" s="1"/>
  <c r="P107" i="10"/>
  <c r="Q107" i="10" s="1"/>
  <c r="R107" i="10" s="1"/>
  <c r="S107" i="10" s="1"/>
  <c r="T107" i="10" s="1"/>
  <c r="U107" i="10" s="1"/>
  <c r="V107" i="10" s="1"/>
  <c r="W107" i="10" s="1"/>
  <c r="X107" i="10" s="1"/>
  <c r="Y107" i="10" s="1"/>
  <c r="Z107" i="10" s="1"/>
  <c r="AA107" i="10" s="1"/>
  <c r="AB107" i="10" s="1"/>
  <c r="B107" i="10"/>
  <c r="U106" i="10"/>
  <c r="V106" i="10" s="1"/>
  <c r="W106" i="10" s="1"/>
  <c r="X106" i="10" s="1"/>
  <c r="Y106" i="10" s="1"/>
  <c r="Z106" i="10" s="1"/>
  <c r="AA106" i="10" s="1"/>
  <c r="AB106" i="10" s="1"/>
  <c r="C106" i="10"/>
  <c r="D106" i="10" s="1"/>
  <c r="E106" i="10" s="1"/>
  <c r="F106" i="10" s="1"/>
  <c r="G106" i="10" s="1"/>
  <c r="H106" i="10" s="1"/>
  <c r="I106" i="10" s="1"/>
  <c r="J106" i="10" s="1"/>
  <c r="K106" i="10" s="1"/>
  <c r="L106" i="10" s="1"/>
  <c r="M106" i="10" s="1"/>
  <c r="N106" i="10" s="1"/>
  <c r="O106" i="10" s="1"/>
  <c r="P106" i="10" s="1"/>
  <c r="Q106" i="10" s="1"/>
  <c r="R106" i="10" s="1"/>
  <c r="S106" i="10" s="1"/>
  <c r="T106" i="10" s="1"/>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E104" i="10"/>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C104" i="10" s="1"/>
  <c r="D104" i="10" s="1"/>
  <c r="AC103" i="10"/>
  <c r="C103" i="10" s="1"/>
  <c r="D103" i="10" s="1"/>
  <c r="E103" i="10" s="1"/>
  <c r="F103" i="10" s="1"/>
  <c r="G103" i="10" s="1"/>
  <c r="H103" i="10"/>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E99" i="10"/>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C99" i="10"/>
  <c r="D99" i="10" s="1"/>
  <c r="B99" i="10"/>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R96" i="10"/>
  <c r="S96" i="10" s="1"/>
  <c r="T96" i="10" s="1"/>
  <c r="U96" i="10" s="1"/>
  <c r="V96" i="10" s="1"/>
  <c r="W96" i="10" s="1"/>
  <c r="X96" i="10" s="1"/>
  <c r="Y96" i="10" s="1"/>
  <c r="Z96" i="10" s="1"/>
  <c r="AA96" i="10" s="1"/>
  <c r="AB96" i="10" s="1"/>
  <c r="G96" i="10"/>
  <c r="H96" i="10" s="1"/>
  <c r="I96" i="10" s="1"/>
  <c r="J96" i="10" s="1"/>
  <c r="K96" i="10" s="1"/>
  <c r="L96" i="10" s="1"/>
  <c r="M96" i="10" s="1"/>
  <c r="N96" i="10" s="1"/>
  <c r="O96" i="10" s="1"/>
  <c r="P96" i="10" s="1"/>
  <c r="Q96" i="10" s="1"/>
  <c r="B96" i="10"/>
  <c r="C96" i="10" s="1"/>
  <c r="D96" i="10" s="1"/>
  <c r="E96" i="10" s="1"/>
  <c r="F96" i="10" s="1"/>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C94" i="10" s="1"/>
  <c r="D94" i="10"/>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X93" i="10"/>
  <c r="Y93" i="10" s="1"/>
  <c r="Z93" i="10" s="1"/>
  <c r="AA93" i="10" s="1"/>
  <c r="AB93" i="10" s="1"/>
  <c r="N93" i="10"/>
  <c r="O93" i="10" s="1"/>
  <c r="P93" i="10" s="1"/>
  <c r="Q93" i="10" s="1"/>
  <c r="R93" i="10" s="1"/>
  <c r="S93" i="10" s="1"/>
  <c r="T93" i="10" s="1"/>
  <c r="U93" i="10" s="1"/>
  <c r="V93" i="10" s="1"/>
  <c r="W93" i="10" s="1"/>
  <c r="B93" i="10"/>
  <c r="C93" i="10" s="1"/>
  <c r="D93" i="10" s="1"/>
  <c r="E93" i="10" s="1"/>
  <c r="F93" i="10" s="1"/>
  <c r="G93" i="10" s="1"/>
  <c r="H93" i="10" s="1"/>
  <c r="I93" i="10" s="1"/>
  <c r="J93" i="10" s="1"/>
  <c r="K93" i="10" s="1"/>
  <c r="L93" i="10" s="1"/>
  <c r="M93" i="10" s="1"/>
  <c r="AC92" i="10"/>
  <c r="D92" i="10"/>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C92" i="10"/>
  <c r="B92" i="10"/>
  <c r="AC91" i="10"/>
  <c r="B91" i="10"/>
  <c r="AC90" i="10"/>
  <c r="O90" i="10"/>
  <c r="P90" i="10" s="1"/>
  <c r="Q90" i="10" s="1"/>
  <c r="R90" i="10" s="1"/>
  <c r="S90" i="10" s="1"/>
  <c r="T90" i="10" s="1"/>
  <c r="U90" i="10" s="1"/>
  <c r="V90" i="10" s="1"/>
  <c r="W90" i="10" s="1"/>
  <c r="X90" i="10" s="1"/>
  <c r="Y90" i="10" s="1"/>
  <c r="Z90" i="10" s="1"/>
  <c r="AA90" i="10" s="1"/>
  <c r="AB90" i="10" s="1"/>
  <c r="B90" i="10"/>
  <c r="C90" i="10" s="1"/>
  <c r="D90" i="10" s="1"/>
  <c r="E90" i="10" s="1"/>
  <c r="F90" i="10" s="1"/>
  <c r="G90" i="10" s="1"/>
  <c r="H90" i="10" s="1"/>
  <c r="I90" i="10" s="1"/>
  <c r="J90" i="10" s="1"/>
  <c r="K90" i="10" s="1"/>
  <c r="L90" i="10" s="1"/>
  <c r="M90" i="10" s="1"/>
  <c r="N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L86" i="10"/>
  <c r="M86" i="10" s="1"/>
  <c r="N86" i="10" s="1"/>
  <c r="O86" i="10" s="1"/>
  <c r="P86" i="10" s="1"/>
  <c r="Q86" i="10" s="1"/>
  <c r="R86" i="10" s="1"/>
  <c r="S86" i="10" s="1"/>
  <c r="T86" i="10" s="1"/>
  <c r="U86" i="10" s="1"/>
  <c r="V86" i="10" s="1"/>
  <c r="W86" i="10" s="1"/>
  <c r="X86" i="10" s="1"/>
  <c r="Y86" i="10" s="1"/>
  <c r="Z86" i="10" s="1"/>
  <c r="AA86" i="10" s="1"/>
  <c r="AB86" i="10" s="1"/>
  <c r="E86" i="10"/>
  <c r="F86" i="10" s="1"/>
  <c r="G86" i="10" s="1"/>
  <c r="H86" i="10" s="1"/>
  <c r="I86" i="10" s="1"/>
  <c r="J86" i="10" s="1"/>
  <c r="K86" i="10" s="1"/>
  <c r="C86" i="10"/>
  <c r="D86" i="10" s="1"/>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AC83" i="10"/>
  <c r="P83" i="10"/>
  <c r="Q83" i="10" s="1"/>
  <c r="R83" i="10" s="1"/>
  <c r="S83" i="10" s="1"/>
  <c r="T83" i="10" s="1"/>
  <c r="U83" i="10" s="1"/>
  <c r="V83" i="10" s="1"/>
  <c r="W83" i="10" s="1"/>
  <c r="X83" i="10" s="1"/>
  <c r="Y83" i="10" s="1"/>
  <c r="Z83" i="10" s="1"/>
  <c r="AA83" i="10" s="1"/>
  <c r="AB83" i="10" s="1"/>
  <c r="B83" i="10"/>
  <c r="C83" i="10" s="1"/>
  <c r="D83" i="10" s="1"/>
  <c r="E83" i="10" s="1"/>
  <c r="F83" i="10" s="1"/>
  <c r="G83" i="10" s="1"/>
  <c r="H83" i="10" s="1"/>
  <c r="I83" i="10" s="1"/>
  <c r="J83" i="10" s="1"/>
  <c r="K83" i="10" s="1"/>
  <c r="L83" i="10" s="1"/>
  <c r="M83" i="10" s="1"/>
  <c r="N83" i="10" s="1"/>
  <c r="O83" i="10" s="1"/>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U80" i="10"/>
  <c r="V80" i="10" s="1"/>
  <c r="W80" i="10" s="1"/>
  <c r="X80" i="10" s="1"/>
  <c r="Y80" i="10" s="1"/>
  <c r="Z80" i="10" s="1"/>
  <c r="AA80" i="10" s="1"/>
  <c r="AB80" i="10" s="1"/>
  <c r="C80" i="10"/>
  <c r="D80" i="10" s="1"/>
  <c r="E80" i="10" s="1"/>
  <c r="F80" i="10" s="1"/>
  <c r="G80" i="10" s="1"/>
  <c r="H80" i="10" s="1"/>
  <c r="I80" i="10" s="1"/>
  <c r="J80" i="10" s="1"/>
  <c r="K80" i="10" s="1"/>
  <c r="L80" i="10" s="1"/>
  <c r="M80" i="10" s="1"/>
  <c r="N80" i="10" s="1"/>
  <c r="O80" i="10" s="1"/>
  <c r="P80" i="10" s="1"/>
  <c r="Q80" i="10" s="1"/>
  <c r="R80" i="10" s="1"/>
  <c r="S80" i="10" s="1"/>
  <c r="T80" i="10" s="1"/>
  <c r="B80" i="10"/>
  <c r="AC79" i="10"/>
  <c r="D79" i="10"/>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79" i="10"/>
  <c r="B79" i="10"/>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C77" i="10" s="1"/>
  <c r="D77" i="10"/>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Q75" i="10"/>
  <c r="R75" i="10" s="1"/>
  <c r="S75" i="10" s="1"/>
  <c r="T75" i="10" s="1"/>
  <c r="U75" i="10" s="1"/>
  <c r="V75" i="10" s="1"/>
  <c r="W75" i="10" s="1"/>
  <c r="X75" i="10" s="1"/>
  <c r="Y75" i="10" s="1"/>
  <c r="Z75" i="10" s="1"/>
  <c r="AA75" i="10" s="1"/>
  <c r="AB75" i="10" s="1"/>
  <c r="B75" i="10"/>
  <c r="C75" i="10" s="1"/>
  <c r="D75" i="10" s="1"/>
  <c r="E75" i="10" s="1"/>
  <c r="F75" i="10" s="1"/>
  <c r="G75" i="10" s="1"/>
  <c r="H75" i="10" s="1"/>
  <c r="I75" i="10" s="1"/>
  <c r="J75" i="10" s="1"/>
  <c r="K75" i="10" s="1"/>
  <c r="L75" i="10" s="1"/>
  <c r="M75" i="10" s="1"/>
  <c r="N75" i="10" s="1"/>
  <c r="O75" i="10" s="1"/>
  <c r="P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D73" i="10"/>
  <c r="C73" i="10"/>
  <c r="B73" i="10"/>
  <c r="AC72" i="10"/>
  <c r="C72" i="10" s="1"/>
  <c r="D72" i="10" s="1"/>
  <c r="E72" i="10" s="1"/>
  <c r="F72" i="10" s="1"/>
  <c r="G72" i="10" s="1"/>
  <c r="H72" i="10" s="1"/>
  <c r="I72" i="10" s="1"/>
  <c r="J72" i="10" s="1"/>
  <c r="K72" i="10" s="1"/>
  <c r="O72" i="10"/>
  <c r="P72" i="10" s="1"/>
  <c r="Q72" i="10" s="1"/>
  <c r="R72" i="10" s="1"/>
  <c r="S72" i="10" s="1"/>
  <c r="T72" i="10" s="1"/>
  <c r="U72" i="10" s="1"/>
  <c r="V72" i="10" s="1"/>
  <c r="W72" i="10" s="1"/>
  <c r="X72" i="10" s="1"/>
  <c r="Y72" i="10" s="1"/>
  <c r="Z72" i="10" s="1"/>
  <c r="AA72" i="10" s="1"/>
  <c r="AB72" i="10" s="1"/>
  <c r="L72" i="10"/>
  <c r="M72" i="10" s="1"/>
  <c r="N72" i="10" s="1"/>
  <c r="B72" i="10"/>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X70" i="10"/>
  <c r="Y70" i="10" s="1"/>
  <c r="Z70" i="10" s="1"/>
  <c r="AA70" i="10" s="1"/>
  <c r="AB70" i="10" s="1"/>
  <c r="I70" i="10"/>
  <c r="J70" i="10" s="1"/>
  <c r="K70" i="10" s="1"/>
  <c r="L70" i="10" s="1"/>
  <c r="M70" i="10" s="1"/>
  <c r="N70" i="10" s="1"/>
  <c r="O70" i="10" s="1"/>
  <c r="P70" i="10" s="1"/>
  <c r="Q70" i="10" s="1"/>
  <c r="R70" i="10" s="1"/>
  <c r="S70" i="10" s="1"/>
  <c r="T70" i="10" s="1"/>
  <c r="U70" i="10" s="1"/>
  <c r="V70" i="10" s="1"/>
  <c r="W70" i="10" s="1"/>
  <c r="C70" i="10"/>
  <c r="D70" i="10" s="1"/>
  <c r="E70" i="10" s="1"/>
  <c r="F70" i="10" s="1"/>
  <c r="G70" i="10" s="1"/>
  <c r="H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E68" i="10"/>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D68" i="10"/>
  <c r="B68" i="10"/>
  <c r="AC67" i="10"/>
  <c r="B67" i="10"/>
  <c r="AC66" i="10"/>
  <c r="B66" i="10"/>
  <c r="B109" i="10" s="1"/>
  <c r="AC65" i="10"/>
  <c r="H65" i="10"/>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65" i="10"/>
  <c r="D65" i="10" s="1"/>
  <c r="E65" i="10" s="1"/>
  <c r="F65" i="10" s="1"/>
  <c r="G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E63" i="10"/>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C63" i="10" s="1"/>
  <c r="D63" i="10" s="1"/>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C55" i="10" s="1"/>
  <c r="D55" i="10" s="1"/>
  <c r="E55" i="10" s="1"/>
  <c r="F55" i="10" s="1"/>
  <c r="G55" i="10" s="1"/>
  <c r="H55" i="10" s="1"/>
  <c r="I55" i="10" s="1"/>
  <c r="J55" i="10" s="1"/>
  <c r="K55" i="10" s="1"/>
  <c r="L55" i="10" s="1"/>
  <c r="M55" i="10" s="1"/>
  <c r="N55" i="10" s="1"/>
  <c r="O55" i="10" s="1"/>
  <c r="P55" i="10" s="1"/>
  <c r="Q55" i="10" s="1"/>
  <c r="R55" i="10"/>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D48" i="10"/>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C48" i="10" s="1"/>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H46" i="10"/>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46" i="10"/>
  <c r="D46" i="10" s="1"/>
  <c r="E46" i="10" s="1"/>
  <c r="F46" i="10" s="1"/>
  <c r="G46" i="10" s="1"/>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C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s="1"/>
  <c r="D40" i="10" s="1"/>
  <c r="E40" i="10" s="1"/>
  <c r="F40" i="10" s="1"/>
  <c r="G40" i="10" s="1"/>
  <c r="H40" i="10" s="1"/>
  <c r="I40" i="10" s="1"/>
  <c r="J40" i="10" s="1"/>
  <c r="K40" i="10" s="1"/>
  <c r="L40" i="10" s="1"/>
  <c r="M40" i="10"/>
  <c r="N40" i="10" s="1"/>
  <c r="O40" i="10" s="1"/>
  <c r="P40" i="10" s="1"/>
  <c r="Q40" i="10" s="1"/>
  <c r="R40" i="10" s="1"/>
  <c r="S40" i="10" s="1"/>
  <c r="T40" i="10" s="1"/>
  <c r="U40" i="10" s="1"/>
  <c r="V40" i="10" s="1"/>
  <c r="W40" i="10" s="1"/>
  <c r="X40" i="10" s="1"/>
  <c r="Y40" i="10" s="1"/>
  <c r="Z40" i="10" s="1"/>
  <c r="AA40" i="10" s="1"/>
  <c r="AB40" i="10" s="1"/>
  <c r="B40" i="10"/>
  <c r="AC39" i="10"/>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X37" i="10"/>
  <c r="Y37" i="10" s="1"/>
  <c r="Z37" i="10" s="1"/>
  <c r="AA37" i="10" s="1"/>
  <c r="AB37" i="10" s="1"/>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AC33" i="10"/>
  <c r="B33" i="10"/>
  <c r="AC32" i="10"/>
  <c r="C32" i="10" s="1"/>
  <c r="D32" i="10" s="1"/>
  <c r="E32" i="10" s="1"/>
  <c r="F32" i="10" s="1"/>
  <c r="G32" i="10"/>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J31" i="10"/>
  <c r="K31" i="10" s="1"/>
  <c r="L31" i="10" s="1"/>
  <c r="M31" i="10" s="1"/>
  <c r="N31" i="10" s="1"/>
  <c r="O31" i="10" s="1"/>
  <c r="P31" i="10" s="1"/>
  <c r="Q31" i="10" s="1"/>
  <c r="R31" i="10" s="1"/>
  <c r="S31" i="10" s="1"/>
  <c r="T31" i="10" s="1"/>
  <c r="U31" i="10" s="1"/>
  <c r="V31" i="10" s="1"/>
  <c r="W31" i="10" s="1"/>
  <c r="X31" i="10" s="1"/>
  <c r="Y31" i="10" s="1"/>
  <c r="Z31" i="10" s="1"/>
  <c r="AA31" i="10" s="1"/>
  <c r="AB31" i="10" s="1"/>
  <c r="C31" i="10"/>
  <c r="D31" i="10" s="1"/>
  <c r="E31" i="10" s="1"/>
  <c r="F31" i="10" s="1"/>
  <c r="G31" i="10" s="1"/>
  <c r="H31" i="10" s="1"/>
  <c r="I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C29" i="10" s="1"/>
  <c r="D29" i="10" s="1"/>
  <c r="E29" i="10" s="1"/>
  <c r="F29" i="10" s="1"/>
  <c r="G29" i="10" s="1"/>
  <c r="H29" i="10" s="1"/>
  <c r="I29" i="10" s="1"/>
  <c r="J29" i="10" s="1"/>
  <c r="K29" i="10" s="1"/>
  <c r="L29" i="10" s="1"/>
  <c r="M29" i="10"/>
  <c r="N29" i="10" s="1"/>
  <c r="O29" i="10" s="1"/>
  <c r="P29" i="10" s="1"/>
  <c r="Q29" i="10" s="1"/>
  <c r="R29" i="10" s="1"/>
  <c r="S29" i="10" s="1"/>
  <c r="T29" i="10" s="1"/>
  <c r="U29" i="10" s="1"/>
  <c r="V29" i="10" s="1"/>
  <c r="W29" i="10" s="1"/>
  <c r="X29" i="10" s="1"/>
  <c r="Y29" i="10" s="1"/>
  <c r="Z29" i="10" s="1"/>
  <c r="AA29" i="10" s="1"/>
  <c r="AB29" i="10" s="1"/>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AC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E18" i="10"/>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C18" i="10"/>
  <c r="D18" i="10" s="1"/>
  <c r="B18" i="10"/>
  <c r="AC17" i="10"/>
  <c r="P17" i="10"/>
  <c r="Q17" i="10" s="1"/>
  <c r="R17" i="10" s="1"/>
  <c r="S17" i="10" s="1"/>
  <c r="T17" i="10" s="1"/>
  <c r="U17" i="10" s="1"/>
  <c r="V17" i="10" s="1"/>
  <c r="W17" i="10" s="1"/>
  <c r="X17" i="10" s="1"/>
  <c r="Y17" i="10" s="1"/>
  <c r="Z17" i="10" s="1"/>
  <c r="AA17" i="10" s="1"/>
  <c r="AB17" i="10" s="1"/>
  <c r="O17" i="10"/>
  <c r="C17" i="10"/>
  <c r="D17" i="10" s="1"/>
  <c r="E17" i="10" s="1"/>
  <c r="F17" i="10" s="1"/>
  <c r="G17" i="10" s="1"/>
  <c r="H17" i="10" s="1"/>
  <c r="I17" i="10" s="1"/>
  <c r="J17" i="10" s="1"/>
  <c r="K17" i="10" s="1"/>
  <c r="L17" i="10" s="1"/>
  <c r="M17" i="10" s="1"/>
  <c r="N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G12" i="10"/>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F12" i="10"/>
  <c r="B12" i="10"/>
  <c r="C12" i="10" s="1"/>
  <c r="D12" i="10" s="1"/>
  <c r="E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c r="X10" i="10" s="1"/>
  <c r="Y10" i="10" s="1"/>
  <c r="Z10" i="10" s="1"/>
  <c r="AA10" i="10" s="1"/>
  <c r="AB10" i="10" s="1"/>
  <c r="B10" i="10"/>
  <c r="AC9" i="10"/>
  <c r="B9" i="10"/>
  <c r="B5" i="10"/>
  <c r="B4" i="10"/>
  <c r="G9" i="9"/>
  <c r="H9" i="9" s="1"/>
  <c r="C9" i="9"/>
  <c r="B9" i="9"/>
  <c r="D9" i="9" s="1"/>
  <c r="A9" i="9"/>
  <c r="B1" i="9"/>
  <c r="F54" i="7"/>
  <c r="G54" i="7" s="1"/>
  <c r="E54" i="7"/>
  <c r="H54" i="7" s="1"/>
  <c r="D54" i="7"/>
  <c r="C54" i="7"/>
  <c r="H53" i="7"/>
  <c r="F53" i="7"/>
  <c r="E53" i="7"/>
  <c r="G53" i="7" s="1"/>
  <c r="D53" i="7"/>
  <c r="C53" i="7"/>
  <c r="H52" i="7"/>
  <c r="F52" i="7"/>
  <c r="E52" i="7"/>
  <c r="D52" i="7"/>
  <c r="G52" i="7" s="1"/>
  <c r="C52" i="7"/>
  <c r="F51" i="7"/>
  <c r="E51" i="7"/>
  <c r="D51" i="7"/>
  <c r="C51" i="7"/>
  <c r="F50" i="7"/>
  <c r="E50" i="7"/>
  <c r="D50" i="7"/>
  <c r="H50" i="7" s="1"/>
  <c r="C50" i="7"/>
  <c r="H49" i="7"/>
  <c r="F49" i="7"/>
  <c r="E49" i="7"/>
  <c r="D49" i="7"/>
  <c r="G49" i="7" s="1"/>
  <c r="C49" i="7"/>
  <c r="H48" i="7"/>
  <c r="G48" i="7"/>
  <c r="F48" i="7"/>
  <c r="E48" i="7"/>
  <c r="D48" i="7"/>
  <c r="C48" i="7"/>
  <c r="F47" i="7"/>
  <c r="E47" i="7"/>
  <c r="D47" i="7"/>
  <c r="H47" i="7" s="1"/>
  <c r="C47" i="7"/>
  <c r="F46" i="7"/>
  <c r="H46" i="7" s="1"/>
  <c r="E46" i="7"/>
  <c r="D46" i="7"/>
  <c r="C46" i="7"/>
  <c r="F45" i="7"/>
  <c r="E45" i="7"/>
  <c r="D45" i="7"/>
  <c r="C45" i="7"/>
  <c r="F44" i="7"/>
  <c r="E44" i="7"/>
  <c r="D44" i="7"/>
  <c r="C44" i="7"/>
  <c r="F43" i="7"/>
  <c r="E43" i="7"/>
  <c r="D43" i="7"/>
  <c r="G43" i="7" s="1"/>
  <c r="C43" i="7"/>
  <c r="F42" i="7"/>
  <c r="H42" i="7" s="1"/>
  <c r="E42" i="7"/>
  <c r="D42" i="7"/>
  <c r="C42" i="7"/>
  <c r="F41" i="7"/>
  <c r="E41" i="7"/>
  <c r="H41" i="7" s="1"/>
  <c r="D41" i="7"/>
  <c r="G41" i="7" s="1"/>
  <c r="C41" i="7"/>
  <c r="F40" i="7"/>
  <c r="E40" i="7"/>
  <c r="D40" i="7"/>
  <c r="C40" i="7"/>
  <c r="H39" i="7"/>
  <c r="F39" i="7"/>
  <c r="E39" i="7"/>
  <c r="D39" i="7"/>
  <c r="G39" i="7" s="1"/>
  <c r="C39" i="7"/>
  <c r="F38" i="7"/>
  <c r="G38" i="7" s="1"/>
  <c r="E38" i="7"/>
  <c r="H38" i="7" s="1"/>
  <c r="D38" i="7"/>
  <c r="C38" i="7"/>
  <c r="H37" i="7"/>
  <c r="G37" i="7"/>
  <c r="F37" i="7"/>
  <c r="E37" i="7"/>
  <c r="D37" i="7"/>
  <c r="C37" i="7"/>
  <c r="H36" i="7"/>
  <c r="G36" i="7"/>
  <c r="F36" i="7"/>
  <c r="E36" i="7"/>
  <c r="D36" i="7"/>
  <c r="C36" i="7"/>
  <c r="F35" i="7"/>
  <c r="E35" i="7"/>
  <c r="D35" i="7"/>
  <c r="H35" i="7" s="1"/>
  <c r="C35" i="7"/>
  <c r="H34" i="7"/>
  <c r="G34" i="7"/>
  <c r="F34" i="7"/>
  <c r="E34" i="7"/>
  <c r="D34" i="7"/>
  <c r="C34" i="7"/>
  <c r="F33" i="7"/>
  <c r="E33" i="7"/>
  <c r="D33" i="7"/>
  <c r="C33" i="7"/>
  <c r="H32" i="7"/>
  <c r="G32" i="7"/>
  <c r="F32" i="7"/>
  <c r="E32" i="7"/>
  <c r="D32" i="7"/>
  <c r="C32" i="7"/>
  <c r="F31" i="7"/>
  <c r="E31" i="7"/>
  <c r="D31" i="7"/>
  <c r="H31" i="7" s="1"/>
  <c r="C31" i="7"/>
  <c r="H30" i="7"/>
  <c r="F30" i="7"/>
  <c r="E30" i="7"/>
  <c r="D30" i="7"/>
  <c r="C30" i="7"/>
  <c r="F29" i="7"/>
  <c r="E29" i="7"/>
  <c r="D29" i="7"/>
  <c r="G29" i="7" s="1"/>
  <c r="C29" i="7"/>
  <c r="H28" i="7"/>
  <c r="F28" i="7"/>
  <c r="G28" i="7" s="1"/>
  <c r="E28" i="7"/>
  <c r="D28" i="7"/>
  <c r="C28" i="7"/>
  <c r="F27" i="7"/>
  <c r="E27" i="7"/>
  <c r="D27" i="7"/>
  <c r="H27" i="7" s="1"/>
  <c r="C27" i="7"/>
  <c r="H26" i="7"/>
  <c r="G26" i="7"/>
  <c r="F26" i="7"/>
  <c r="E26" i="7"/>
  <c r="D26" i="7"/>
  <c r="C26" i="7"/>
  <c r="F25" i="7"/>
  <c r="E25" i="7"/>
  <c r="D25" i="7"/>
  <c r="C25" i="7"/>
  <c r="H24" i="7"/>
  <c r="F24" i="7"/>
  <c r="G24" i="7" s="1"/>
  <c r="E24" i="7"/>
  <c r="D24" i="7"/>
  <c r="C24" i="7"/>
  <c r="F23" i="7"/>
  <c r="E23" i="7"/>
  <c r="D23" i="7"/>
  <c r="H23" i="7" s="1"/>
  <c r="C23" i="7"/>
  <c r="F22" i="7"/>
  <c r="E22" i="7"/>
  <c r="D22" i="7"/>
  <c r="C22" i="7"/>
  <c r="F21" i="7"/>
  <c r="E21" i="7"/>
  <c r="D21" i="7"/>
  <c r="C21" i="7"/>
  <c r="F20" i="7"/>
  <c r="E20" i="7"/>
  <c r="D20" i="7"/>
  <c r="G20" i="7" s="1"/>
  <c r="C20" i="7"/>
  <c r="F19" i="7"/>
  <c r="E19" i="7"/>
  <c r="H19" i="7" s="1"/>
  <c r="D19" i="7"/>
  <c r="C19" i="7"/>
  <c r="G18" i="7"/>
  <c r="F18" i="7"/>
  <c r="E18" i="7"/>
  <c r="D18" i="7"/>
  <c r="C18" i="7"/>
  <c r="F17" i="7"/>
  <c r="E17" i="7"/>
  <c r="D17" i="7"/>
  <c r="C17" i="7"/>
  <c r="F16" i="7"/>
  <c r="E16" i="7"/>
  <c r="D16" i="7"/>
  <c r="C16" i="7"/>
  <c r="H15" i="7"/>
  <c r="G15" i="7"/>
  <c r="F15" i="7"/>
  <c r="E15" i="7"/>
  <c r="D15" i="7"/>
  <c r="C15" i="7"/>
  <c r="F14" i="7"/>
  <c r="E14" i="7"/>
  <c r="D14" i="7"/>
  <c r="H14" i="7" s="1"/>
  <c r="C14" i="7"/>
  <c r="H13" i="7"/>
  <c r="F13" i="7"/>
  <c r="E13" i="7"/>
  <c r="D13" i="7"/>
  <c r="C13" i="7"/>
  <c r="F12" i="7"/>
  <c r="E12" i="7"/>
  <c r="D12" i="7"/>
  <c r="C12" i="7"/>
  <c r="F11" i="7"/>
  <c r="E11" i="7"/>
  <c r="D11" i="7"/>
  <c r="C11" i="7"/>
  <c r="F10" i="7"/>
  <c r="E10" i="7"/>
  <c r="D10" i="7"/>
  <c r="H10" i="7" s="1"/>
  <c r="C10" i="7"/>
  <c r="H9" i="7"/>
  <c r="F9" i="7"/>
  <c r="E9" i="7"/>
  <c r="D9" i="7"/>
  <c r="C9" i="7"/>
  <c r="F8" i="7"/>
  <c r="E8" i="7"/>
  <c r="H8" i="7" s="1"/>
  <c r="D8" i="7"/>
  <c r="G8" i="7" s="1"/>
  <c r="C8" i="7"/>
  <c r="F7" i="7"/>
  <c r="E7" i="7"/>
  <c r="D7" i="7"/>
  <c r="C7" i="7"/>
  <c r="B2" i="1"/>
  <c r="B2" i="9" s="1"/>
  <c r="F5" i="9" s="1"/>
  <c r="B57" i="10" l="1"/>
  <c r="I9" i="9"/>
  <c r="H20" i="7"/>
  <c r="G25" i="7"/>
  <c r="H25" i="7"/>
  <c r="H7" i="7"/>
  <c r="G7" i="7"/>
  <c r="G16" i="7"/>
  <c r="H16" i="7"/>
  <c r="G12" i="7"/>
  <c r="H12" i="7"/>
  <c r="H45" i="7"/>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G17" i="7"/>
  <c r="H17" i="7"/>
  <c r="G46" i="7"/>
  <c r="K5" i="9"/>
  <c r="J5" i="9"/>
  <c r="E5" i="9"/>
  <c r="AB5" i="9"/>
  <c r="D5" i="9"/>
  <c r="Z5" i="9"/>
  <c r="AA5" i="9"/>
  <c r="C5" i="9"/>
  <c r="B5" i="9"/>
  <c r="H5" i="9"/>
  <c r="X5" i="9"/>
  <c r="V5" i="9"/>
  <c r="W5" i="9"/>
  <c r="U5" i="9"/>
  <c r="R5" i="9"/>
  <c r="Q5" i="9"/>
  <c r="T5" i="9"/>
  <c r="S5" i="9"/>
  <c r="O5" i="9"/>
  <c r="H44" i="7"/>
  <c r="G44" i="7"/>
  <c r="G42" i="7"/>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E9" i="9"/>
  <c r="F9" i="9"/>
  <c r="H11" i="7"/>
  <c r="G11" i="7"/>
  <c r="G40" i="7"/>
  <c r="H40" i="7"/>
  <c r="G51" i="7"/>
  <c r="H51" i="7"/>
  <c r="G5" i="9"/>
  <c r="G50" i="7"/>
  <c r="G21" i="7"/>
  <c r="H21" i="7"/>
  <c r="C9" i="10"/>
  <c r="G9" i="7"/>
  <c r="I5" i="9"/>
  <c r="G47" i="7"/>
  <c r="G31" i="7"/>
  <c r="G35" i="7"/>
  <c r="N5" i="9"/>
  <c r="G19" i="7"/>
  <c r="G23" i="7"/>
  <c r="G27" i="7"/>
  <c r="H43" i="7"/>
  <c r="P5" i="9"/>
  <c r="G13" i="7"/>
  <c r="L5" i="9"/>
  <c r="M5" i="9"/>
  <c r="Y5" i="9"/>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H33" i="7"/>
  <c r="G33" i="7"/>
  <c r="C61" i="10"/>
  <c r="G45" i="7"/>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H29" i="7"/>
  <c r="H18" i="7"/>
  <c r="H22" i="7"/>
  <c r="G22" i="7"/>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F113" i="10"/>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G10" i="7"/>
  <c r="G14" i="7"/>
  <c r="G30" i="7"/>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C114" i="10"/>
  <c r="B161"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G113" i="10" l="1"/>
  <c r="B173" i="10"/>
  <c r="B2" i="13" s="1"/>
  <c r="B171" i="10"/>
  <c r="B2" i="11" s="1"/>
  <c r="B172" i="10"/>
  <c r="B2" i="12" s="1"/>
  <c r="D9" i="10"/>
  <c r="C57" i="10"/>
  <c r="D114" i="10"/>
  <c r="C161" i="10"/>
  <c r="C109" i="10"/>
  <c r="D61" i="10"/>
  <c r="C172" i="10"/>
  <c r="C2" i="12" s="1"/>
  <c r="C173" i="10"/>
  <c r="C2" i="13" s="1"/>
  <c r="C171" i="10"/>
  <c r="C2" i="11" s="1"/>
  <c r="E114" i="10" l="1"/>
  <c r="D161" i="10"/>
  <c r="D173" i="10" s="1"/>
  <c r="D2" i="13" s="1"/>
  <c r="D57" i="10"/>
  <c r="D171" i="10" s="1"/>
  <c r="D2" i="11" s="1"/>
  <c r="E9" i="10"/>
  <c r="H113" i="10"/>
  <c r="D109" i="10"/>
  <c r="D172" i="10" s="1"/>
  <c r="D2" i="12" s="1"/>
  <c r="E61" i="10"/>
  <c r="E57" i="10" l="1"/>
  <c r="E171" i="10" s="1"/>
  <c r="E2" i="11" s="1"/>
  <c r="F9" i="10"/>
  <c r="E109" i="10"/>
  <c r="E172" i="10" s="1"/>
  <c r="E2" i="12" s="1"/>
  <c r="F61" i="10"/>
  <c r="I113" i="10"/>
  <c r="F114" i="10"/>
  <c r="E161" i="10"/>
  <c r="E173" i="10" s="1"/>
  <c r="E2" i="13" s="1"/>
  <c r="J113" i="10" l="1"/>
  <c r="G9" i="10"/>
  <c r="F57" i="10"/>
  <c r="F171" i="10" s="1"/>
  <c r="F2" i="11" s="1"/>
  <c r="G114" i="10"/>
  <c r="F161" i="10"/>
  <c r="F173" i="10" s="1"/>
  <c r="F2" i="13" s="1"/>
  <c r="F109" i="10"/>
  <c r="F172" i="10" s="1"/>
  <c r="F2" i="12" s="1"/>
  <c r="G61" i="10"/>
  <c r="G57" i="10" l="1"/>
  <c r="G171" i="10" s="1"/>
  <c r="G2" i="11" s="1"/>
  <c r="H9" i="10"/>
  <c r="K113" i="10"/>
  <c r="H114" i="10"/>
  <c r="G161" i="10"/>
  <c r="G173" i="10" s="1"/>
  <c r="G2" i="13" s="1"/>
  <c r="G109" i="10"/>
  <c r="G172" i="10" s="1"/>
  <c r="G2" i="12" s="1"/>
  <c r="H61" i="10"/>
  <c r="I114" i="10" l="1"/>
  <c r="H161" i="10"/>
  <c r="H173" i="10" s="1"/>
  <c r="H2" i="13" s="1"/>
  <c r="L113" i="10"/>
  <c r="H57" i="10"/>
  <c r="H171" i="10" s="1"/>
  <c r="H2" i="11" s="1"/>
  <c r="I9" i="10"/>
  <c r="I61" i="10"/>
  <c r="H109" i="10"/>
  <c r="H172" i="10" s="1"/>
  <c r="H2" i="12" s="1"/>
  <c r="J9" i="10" l="1"/>
  <c r="I57" i="10"/>
  <c r="I171" i="10" s="1"/>
  <c r="I2" i="11" s="1"/>
  <c r="J61" i="10"/>
  <c r="I109" i="10"/>
  <c r="I172" i="10" s="1"/>
  <c r="I2" i="12" s="1"/>
  <c r="M113" i="10"/>
  <c r="J114" i="10"/>
  <c r="I161" i="10"/>
  <c r="I173" i="10" s="1"/>
  <c r="I2" i="13" s="1"/>
  <c r="K114" i="10" l="1"/>
  <c r="J161" i="10"/>
  <c r="J173" i="10" s="1"/>
  <c r="J2" i="13" s="1"/>
  <c r="N113" i="10"/>
  <c r="J109" i="10"/>
  <c r="J172" i="10" s="1"/>
  <c r="J2" i="12" s="1"/>
  <c r="K61" i="10"/>
  <c r="K9" i="10"/>
  <c r="J57" i="10"/>
  <c r="J171" i="10" s="1"/>
  <c r="J2" i="11" s="1"/>
  <c r="L61" i="10" l="1"/>
  <c r="K109" i="10"/>
  <c r="K172" i="10" s="1"/>
  <c r="K2" i="12" s="1"/>
  <c r="K57" i="10"/>
  <c r="K171" i="10" s="1"/>
  <c r="K2" i="11" s="1"/>
  <c r="L9" i="10"/>
  <c r="O113" i="10"/>
  <c r="L114" i="10"/>
  <c r="K161" i="10"/>
  <c r="K173" i="10" s="1"/>
  <c r="K2" i="13" s="1"/>
  <c r="M114" i="10" l="1"/>
  <c r="L161" i="10"/>
  <c r="L173" i="10" s="1"/>
  <c r="L2" i="13" s="1"/>
  <c r="P113" i="10"/>
  <c r="L57" i="10"/>
  <c r="L171" i="10" s="1"/>
  <c r="L2" i="11" s="1"/>
  <c r="M9" i="10"/>
  <c r="L109" i="10"/>
  <c r="L172" i="10" s="1"/>
  <c r="L2" i="12" s="1"/>
  <c r="M61" i="10"/>
  <c r="M57" i="10" l="1"/>
  <c r="M171" i="10" s="1"/>
  <c r="M2" i="11" s="1"/>
  <c r="N9" i="10"/>
  <c r="M109" i="10"/>
  <c r="M172" i="10" s="1"/>
  <c r="M2" i="12" s="1"/>
  <c r="N61" i="10"/>
  <c r="Q113" i="10"/>
  <c r="N114" i="10"/>
  <c r="M161" i="10"/>
  <c r="M173" i="10" s="1"/>
  <c r="M2" i="13" s="1"/>
  <c r="O114" i="10" l="1"/>
  <c r="N161" i="10"/>
  <c r="N173" i="10" s="1"/>
  <c r="N2" i="13" s="1"/>
  <c r="R113" i="10"/>
  <c r="N109" i="10"/>
  <c r="N172" i="10" s="1"/>
  <c r="N2" i="12" s="1"/>
  <c r="O61" i="10"/>
  <c r="N57" i="10"/>
  <c r="N171" i="10" s="1"/>
  <c r="N2" i="11" s="1"/>
  <c r="O9" i="10"/>
  <c r="O109" i="10" l="1"/>
  <c r="O172" i="10" s="1"/>
  <c r="O2" i="12" s="1"/>
  <c r="P61" i="10"/>
  <c r="O57" i="10"/>
  <c r="O171" i="10" s="1"/>
  <c r="O2" i="11" s="1"/>
  <c r="P9" i="10"/>
  <c r="S113" i="10"/>
  <c r="P114" i="10"/>
  <c r="O161" i="10"/>
  <c r="O173" i="10" s="1"/>
  <c r="O2" i="13" s="1"/>
  <c r="Q114" i="10" l="1"/>
  <c r="P161" i="10"/>
  <c r="P173" i="10" s="1"/>
  <c r="P2" i="13" s="1"/>
  <c r="T113" i="10"/>
  <c r="Q9" i="10"/>
  <c r="P57" i="10"/>
  <c r="P171" i="10" s="1"/>
  <c r="P2" i="11" s="1"/>
  <c r="Q61" i="10"/>
  <c r="P109" i="10"/>
  <c r="P172" i="10" s="1"/>
  <c r="P2" i="12" s="1"/>
  <c r="U113" i="10" l="1"/>
  <c r="Q109" i="10"/>
  <c r="Q172" i="10" s="1"/>
  <c r="Q2" i="12" s="1"/>
  <c r="R61" i="10"/>
  <c r="R9" i="10"/>
  <c r="Q57" i="10"/>
  <c r="Q171" i="10" s="1"/>
  <c r="Q2" i="11" s="1"/>
  <c r="R114" i="10"/>
  <c r="Q161" i="10"/>
  <c r="Q173" i="10" s="1"/>
  <c r="Q2" i="13" s="1"/>
  <c r="S114" i="10" l="1"/>
  <c r="R161" i="10"/>
  <c r="R173" i="10" s="1"/>
  <c r="R2" i="13" s="1"/>
  <c r="R57" i="10"/>
  <c r="R171" i="10" s="1"/>
  <c r="R2" i="11" s="1"/>
  <c r="S9" i="10"/>
  <c r="S61" i="10"/>
  <c r="R109" i="10"/>
  <c r="R172" i="10" s="1"/>
  <c r="R2" i="12" s="1"/>
  <c r="V113" i="10"/>
  <c r="W113" i="10" l="1"/>
  <c r="S109" i="10"/>
  <c r="S172" i="10" s="1"/>
  <c r="S2" i="12" s="1"/>
  <c r="T61" i="10"/>
  <c r="S57" i="10"/>
  <c r="S171" i="10" s="1"/>
  <c r="S2" i="11" s="1"/>
  <c r="T9" i="10"/>
  <c r="T114" i="10"/>
  <c r="S161" i="10"/>
  <c r="S173" i="10" s="1"/>
  <c r="S2" i="13" s="1"/>
  <c r="U114" i="10" l="1"/>
  <c r="T161" i="10"/>
  <c r="T173" i="10" s="1"/>
  <c r="T2" i="13" s="1"/>
  <c r="T57" i="10"/>
  <c r="T171" i="10" s="1"/>
  <c r="T2" i="11" s="1"/>
  <c r="U9" i="10"/>
  <c r="T109" i="10"/>
  <c r="T172" i="10" s="1"/>
  <c r="T2" i="12" s="1"/>
  <c r="U61" i="10"/>
  <c r="X113" i="10"/>
  <c r="V61" i="10" l="1"/>
  <c r="U109" i="10"/>
  <c r="U172" i="10" s="1"/>
  <c r="U2" i="12" s="1"/>
  <c r="U57" i="10"/>
  <c r="U171" i="10" s="1"/>
  <c r="U2" i="11" s="1"/>
  <c r="V9" i="10"/>
  <c r="Y113" i="10"/>
  <c r="V114" i="10"/>
  <c r="U161" i="10"/>
  <c r="U173" i="10" s="1"/>
  <c r="U2" i="13" s="1"/>
  <c r="W114" i="10" l="1"/>
  <c r="V161" i="10"/>
  <c r="V173" i="10" s="1"/>
  <c r="V2" i="13" s="1"/>
  <c r="V57" i="10"/>
  <c r="V171" i="10" s="1"/>
  <c r="V2" i="11" s="1"/>
  <c r="W9" i="10"/>
  <c r="Z113" i="10"/>
  <c r="V109" i="10"/>
  <c r="V172" i="10" s="1"/>
  <c r="V2" i="12" s="1"/>
  <c r="W61" i="10"/>
  <c r="W109" i="10" l="1"/>
  <c r="W172" i="10" s="1"/>
  <c r="W2" i="12" s="1"/>
  <c r="X61" i="10"/>
  <c r="W57" i="10"/>
  <c r="W171" i="10" s="1"/>
  <c r="W2" i="11" s="1"/>
  <c r="X9" i="10"/>
  <c r="AA113" i="10"/>
  <c r="X114" i="10"/>
  <c r="W161" i="10"/>
  <c r="W173" i="10" s="1"/>
  <c r="W2" i="13" s="1"/>
  <c r="Y114" i="10" l="1"/>
  <c r="X161" i="10"/>
  <c r="X173" i="10" s="1"/>
  <c r="X2" i="13" s="1"/>
  <c r="AB113" i="10"/>
  <c r="X57" i="10"/>
  <c r="X171" i="10" s="1"/>
  <c r="X2" i="11" s="1"/>
  <c r="Y9" i="10"/>
  <c r="X109" i="10"/>
  <c r="X172" i="10" s="1"/>
  <c r="X2" i="12" s="1"/>
  <c r="Y61" i="10"/>
  <c r="Z9" i="10" l="1"/>
  <c r="Y57" i="10"/>
  <c r="Y171" i="10" s="1"/>
  <c r="Y2" i="11" s="1"/>
  <c r="Y109" i="10"/>
  <c r="Y172" i="10" s="1"/>
  <c r="Y2" i="12" s="1"/>
  <c r="Z61" i="10"/>
  <c r="Z114" i="10"/>
  <c r="Y161" i="10"/>
  <c r="Y173" i="10" s="1"/>
  <c r="Y2" i="13" s="1"/>
  <c r="AA114" i="10" l="1"/>
  <c r="Z161" i="10"/>
  <c r="Z173" i="10" s="1"/>
  <c r="Z2" i="13" s="1"/>
  <c r="Z109" i="10"/>
  <c r="Z172" i="10" s="1"/>
  <c r="Z2" i="12" s="1"/>
  <c r="AA61" i="10"/>
  <c r="Z57" i="10"/>
  <c r="Z171" i="10" s="1"/>
  <c r="Z2" i="11" s="1"/>
  <c r="AA9" i="10"/>
  <c r="AA57" i="10" l="1"/>
  <c r="AA171" i="10" s="1"/>
  <c r="AA2" i="11" s="1"/>
  <c r="AB9" i="10"/>
  <c r="AB57" i="10" s="1"/>
  <c r="AB171" i="10" s="1"/>
  <c r="AB2" i="11" s="1"/>
  <c r="AB61" i="10"/>
  <c r="AB109" i="10" s="1"/>
  <c r="AB172" i="10" s="1"/>
  <c r="AB2" i="12" s="1"/>
  <c r="AA109" i="10"/>
  <c r="AA172" i="10" s="1"/>
  <c r="AA2" i="12" s="1"/>
  <c r="AB114" i="10"/>
  <c r="AB161" i="10" s="1"/>
  <c r="AB173" i="10" s="1"/>
  <c r="AB2" i="13" s="1"/>
  <c r="AA161" i="10"/>
  <c r="AA173" i="10" s="1"/>
  <c r="AA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<sst xmlns="http://schemas.openxmlformats.org/spreadsheetml/2006/main" count="725" uniqueCount="267">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</sst>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53</v>
      </c>
      <c r="C1" s="11">
        <v>46266</v>
      </c>
      <c r="F1" s="1" t="s">
        <v>2</v>
      </c>
      <c r="G1" s="1" t="s">
        <v>3</v>
      </c>
    </row>
    <row r="2" spans="1:7" x14ac:dyDescent="0.45">
      <c r="A2" s="1" t="s">
        <v>4</v>
      </c>
      <c r="B2" t="str">
        <f>INDEX($G$2:$G$49,MATCH($B$1,$F$2:$F$49,0))</f>
        <v>ME</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Maine</v>
      </c>
    </row>
    <row r="2" spans="1:28" x14ac:dyDescent="0.45">
      <c r="B2" t="str">
        <f>About!B2</f>
        <v>ME</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Maine</v>
      </c>
    </row>
    <row r="5" spans="1:29" x14ac:dyDescent="0.45">
      <c r="A5" t="s">
        <v>246</v>
      </c>
      <c r="B5" t="str">
        <f>About!$B$2</f>
        <v>ME</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13881.205049539809</v>
      </c>
      <c r="C171">
        <f>IF('State Calculations'!C$5&lt;&gt;"",B171*(1+'State Calculations'!C$5),IFERROR(INDEX(C9:C56,MATCH($B$5,$A9:$A56,0))/C57*C165,0))</f>
        <v>14992.311300266081</v>
      </c>
      <c r="D171">
        <f>IF('State Calculations'!D$5&lt;&gt;"",C171*(1+'State Calculations'!D$5),IFERROR(INDEX(D9:D56,MATCH($B$5,$A9:$A56,0))/D57*D165,0))</f>
        <v>16136.749731638936</v>
      </c>
      <c r="E171">
        <f>IF('State Calculations'!E$5&lt;&gt;"",D171*(1+'State Calculations'!E$5),IFERROR(INDEX(E9:E56,MATCH($B$5,$A9:$A56,0))/E57*E165,0))</f>
        <v>17297.075379210622</v>
      </c>
      <c r="F171">
        <f>IF('State Calculations'!F$5&lt;&gt;"",E171*(1+'State Calculations'!F$5),IFERROR(INDEX(F9:F56,MATCH($B$5,$A9:$A56,0))/F57*F165,0))</f>
        <v>18445.440305239616</v>
      </c>
      <c r="G171">
        <f>IF('State Calculations'!G$5&lt;&gt;"",F171*(1+'State Calculations'!G$5),IFERROR(INDEX(G9:G56,MATCH($B$5,$A9:$A56,0))/G57*G165,0))</f>
        <v>19537.035760555329</v>
      </c>
      <c r="H171">
        <f>IF('State Calculations'!H$5&lt;&gt;"",G171*(1+'State Calculations'!H$5),IFERROR(INDEX(H9:H56,MATCH($B$5,$A9:$A56,0))/H57*H165,0))</f>
        <v>20499.188239282092</v>
      </c>
      <c r="I171">
        <f>IF('State Calculations'!I$5&lt;&gt;"",H171*(1+'State Calculations'!I$5),IFERROR(INDEX(I9:I56,MATCH($B$5,$A9:$A56,0))/I57*I165,0))</f>
        <v>20690.084704656962</v>
      </c>
      <c r="J171">
        <f>IF('State Calculations'!J$5&lt;&gt;"",I171*(1+'State Calculations'!J$5),IFERROR(INDEX(J9:J56,MATCH($B$5,$A9:$A56,0))/J57*J165,0))</f>
        <v>20851.377421253754</v>
      </c>
      <c r="K171">
        <f>IF('State Calculations'!K$5&lt;&gt;"",J171*(1+'State Calculations'!K$5),IFERROR(INDEX(K9:K56,MATCH($B$5,$A9:$A56,0))/K57*K165,0))</f>
        <v>20977.131416753273</v>
      </c>
      <c r="L171">
        <f>IF('State Calculations'!L$5&lt;&gt;"",K171*(1+'State Calculations'!L$5),IFERROR(INDEX(L9:L56,MATCH($B$5,$A9:$A56,0))/L57*L165,0))</f>
        <v>21060.449308322448</v>
      </c>
      <c r="M171">
        <f>IF('State Calculations'!M$5&lt;&gt;"",L171*(1+'State Calculations'!M$5),IFERROR(INDEX(M9:M56,MATCH($B$5,$A9:$A56,0))/M57*M165,0))</f>
        <v>21093.404493797501</v>
      </c>
      <c r="N171">
        <f>IF('State Calculations'!N$5&lt;&gt;"",M171*(1+'State Calculations'!N$5),IFERROR(INDEX(N9:N56,MATCH($B$5,$A9:$A56,0))/N57*N165,0))</f>
        <v>21086.643680784939</v>
      </c>
      <c r="O171">
        <f>IF('State Calculations'!O$5&lt;&gt;"",N171*(1+'State Calculations'!O$5),IFERROR(INDEX(O9:O56,MATCH($B$5,$A9:$A56,0))/O57*O165,0))</f>
        <v>21075.309330125783</v>
      </c>
      <c r="P171">
        <f>IF('State Calculations'!P$5&lt;&gt;"",O171*(1+'State Calculations'!P$5),IFERROR(INDEX(P9:P56,MATCH($B$5,$A9:$A56,0))/P57*P165,0))</f>
        <v>21059.199032656914</v>
      </c>
      <c r="Q171">
        <f>IF('State Calculations'!Q$5&lt;&gt;"",P171*(1+'State Calculations'!Q$5),IFERROR(INDEX(Q9:Q56,MATCH($B$5,$A9:$A56,0))/Q57*Q165,0))</f>
        <v>21038.104970555622</v>
      </c>
      <c r="R171">
        <f>IF('State Calculations'!R$5&lt;&gt;"",Q171*(1+'State Calculations'!R$5),IFERROR(INDEX(R9:R56,MATCH($B$5,$A9:$A56,0))/R57*R165,0))</f>
        <v>21011.814221819903</v>
      </c>
      <c r="S171">
        <f>IF('State Calculations'!S$5&lt;&gt;"",R171*(1+'State Calculations'!S$5),IFERROR(INDEX(S9:S56,MATCH($B$5,$A9:$A56,0))/S57*S165,0))</f>
        <v>21003.830744996689</v>
      </c>
      <c r="T171">
        <f>IF('State Calculations'!T$5&lt;&gt;"",S171*(1+'State Calculations'!T$5),IFERROR(INDEX(T9:T56,MATCH($B$5,$A9:$A56,0))/T57*T165,0))</f>
        <v>20995.488990837788</v>
      </c>
      <c r="U171">
        <f>IF('State Calculations'!U$5&lt;&gt;"",T171*(1+'State Calculations'!U$5),IFERROR(INDEX(U9:U56,MATCH($B$5,$A9:$A56,0))/U57*U165,0))</f>
        <v>20986.785226490312</v>
      </c>
      <c r="V171">
        <f>IF('State Calculations'!V$5&lt;&gt;"",U171*(1+'State Calculations'!V$5),IFERROR(INDEX(V9:V56,MATCH($B$5,$A9:$A56,0))/V57*V165,0))</f>
        <v>20977.715701365752</v>
      </c>
      <c r="W171">
        <f>IF('State Calculations'!W$5&lt;&gt;"",V171*(1+'State Calculations'!W$5),IFERROR(INDEX(W9:W56,MATCH($B$5,$A9:$A56,0))/W57*W165,0))</f>
        <v>20968.27664773761</v>
      </c>
      <c r="X171">
        <f>IF('State Calculations'!X$5&lt;&gt;"",W171*(1+'State Calculations'!X$5),IFERROR(INDEX(X9:X56,MATCH($B$5,$A9:$A56,0))/X57*X165,0))</f>
        <v>20965.818959884837</v>
      </c>
      <c r="Y171">
        <f>IF('State Calculations'!Y$5&lt;&gt;"",X171*(1+'State Calculations'!Y$5),IFERROR(INDEX(Y9:Y56,MATCH($B$5,$A9:$A56,0))/Y57*Y165,0))</f>
        <v>20963.337596854883</v>
      </c>
      <c r="Z171">
        <f>IF('State Calculations'!Z$5&lt;&gt;"",Y171*(1+'State Calculations'!Z$5),IFERROR(INDEX(Z9:Z56,MATCH($B$5,$A9:$A56,0))/Z57*Z165,0))</f>
        <v>20960.83249813315</v>
      </c>
      <c r="AA171">
        <f>IF('State Calculations'!AA$5&lt;&gt;"",Z171*(1+'State Calculations'!AA$5),IFERROR(INDEX(AA9:AA56,MATCH($B$5,$A9:$A56,0))/AA57*AA165,0))</f>
        <v>20958.303603142434</v>
      </c>
      <c r="AB171">
        <f>IF('State Calculations'!AB$5&lt;&gt;"",AA171*(1+'State Calculations'!AB$5),IFERROR(INDEX(AB9:AB56,MATCH($B$5,$A9:$A56,0))/AB57*AB165,0))</f>
        <v>20955.750851243643</v>
      </c>
    </row>
    <row r="172" spans="1:29" x14ac:dyDescent="0.45">
      <c r="A172" s="1" t="s">
        <v>262</v>
      </c>
      <c r="B172">
        <f>IF('State Calculations'!B$5&lt;&gt;"",A172*(1+'State Calculations'!B$5),IFERROR(INDEX(B61:B108,MATCH($B$5,$A61:$A108,0))/B109*B166,0))</f>
        <v>13881.205049539809</v>
      </c>
      <c r="C172">
        <f>IF('State Calculations'!C$5&lt;&gt;"",B172*(1+'State Calculations'!C$5),IFERROR(INDEX(C61:C108,MATCH($B$5,$A61:$A108,0))/C109*C166,0))</f>
        <v>17882.163335968366</v>
      </c>
      <c r="D172">
        <f>IF('State Calculations'!D$5&lt;&gt;"",C172*(1+'State Calculations'!D$5),IFERROR(INDEX(D61:D108,MATCH($B$5,$A61:$A108,0))/D109*D166,0))</f>
        <v>22889.187076248789</v>
      </c>
      <c r="E172">
        <f>IF('State Calculations'!E$5&lt;&gt;"",D172*(1+'State Calculations'!E$5),IFERROR(INDEX(E61:E108,MATCH($B$5,$A61:$A108,0))/E109*E166,0))</f>
        <v>29080.057095895765</v>
      </c>
      <c r="F172">
        <f>IF('State Calculations'!F$5&lt;&gt;"",E172*(1+'State Calculations'!F$5),IFERROR(INDEX(F61:F108,MATCH($B$5,$A61:$A108,0))/F109*F166,0))</f>
        <v>36614.701064251291</v>
      </c>
      <c r="G172">
        <f>IF('State Calculations'!G$5&lt;&gt;"",F172*(1+'State Calculations'!G$5),IFERROR(INDEX(G61:G108,MATCH($B$5,$A61:$A108,0))/G109*G166,0))</f>
        <v>45589.370474558629</v>
      </c>
      <c r="H172">
        <f>IF('State Calculations'!H$5&lt;&gt;"",G172*(1+'State Calculations'!H$5),IFERROR(INDEX(H61:H108,MATCH($B$5,$A61:$A108,0))/H109*H166,0))</f>
        <v>55957.187118580427</v>
      </c>
      <c r="I172">
        <f>IF('State Calculations'!I$5&lt;&gt;"",H172*(1+'State Calculations'!I$5),IFERROR(INDEX(I61:I108,MATCH($B$5,$A61:$A108,0))/I109*I166,0))</f>
        <v>58819.292373097291</v>
      </c>
      <c r="J172">
        <f>IF('State Calculations'!J$5&lt;&gt;"",I172*(1+'State Calculations'!J$5),IFERROR(INDEX(J61:J108,MATCH($B$5,$A61:$A108,0))/J109*J166,0))</f>
        <v>61698.183220588682</v>
      </c>
      <c r="K172">
        <f>IF('State Calculations'!K$5&lt;&gt;"",J172*(1+'State Calculations'!K$5),IFERROR(INDEX(K61:K108,MATCH($B$5,$A61:$A108,0))/K109*K166,0))</f>
        <v>64566.434466519655</v>
      </c>
      <c r="L172">
        <f>IF('State Calculations'!L$5&lt;&gt;"",K172*(1+'State Calculations'!L$5),IFERROR(INDEX(L61:L108,MATCH($B$5,$A61:$A108,0))/L109*L166,0))</f>
        <v>67391.015077166085</v>
      </c>
      <c r="M172">
        <f>IF('State Calculations'!M$5&lt;&gt;"",L172*(1+'State Calculations'!M$5),IFERROR(INDEX(M61:M108,MATCH($B$5,$A61:$A108,0))/M109*M166,0))</f>
        <v>70132.820390604684</v>
      </c>
      <c r="N172">
        <f>IF('State Calculations'!N$5&lt;&gt;"",M172*(1+'State Calculations'!N$5),IFERROR(INDEX(N61:N108,MATCH($B$5,$A61:$A108,0))/N109*N166,0))</f>
        <v>70783.488883869999</v>
      </c>
      <c r="O172">
        <f>IF('State Calculations'!O$5&lt;&gt;"",N172*(1+'State Calculations'!O$5),IFERROR(INDEX(O61:O108,MATCH($B$5,$A61:$A108,0))/O109*O166,0))</f>
        <v>71422.042143757266</v>
      </c>
      <c r="P172">
        <f>IF('State Calculations'!P$5&lt;&gt;"",O172*(1+'State Calculations'!P$5),IFERROR(INDEX(P61:P108,MATCH($B$5,$A61:$A108,0))/P109*P166,0))</f>
        <v>72047.434591664802</v>
      </c>
      <c r="Q172">
        <f>IF('State Calculations'!Q$5&lt;&gt;"",P172*(1+'State Calculations'!Q$5),IFERROR(INDEX(Q61:Q108,MATCH($B$5,$A61:$A108,0))/Q109*Q166,0))</f>
        <v>72658.586229104782</v>
      </c>
      <c r="R172">
        <f>IF('State Calculations'!R$5&lt;&gt;"",Q172*(1+'State Calculations'!R$5),IFERROR(INDEX(R61:R108,MATCH($B$5,$A61:$A108,0))/R109*R166,0))</f>
        <v>73254.383384473826</v>
      </c>
      <c r="S172">
        <f>IF('State Calculations'!S$5&lt;&gt;"",R172*(1+'State Calculations'!S$5),IFERROR(INDEX(S61:S108,MATCH($B$5,$A61:$A108,0))/S109*S166,0))</f>
        <v>73398.853152792217</v>
      </c>
      <c r="T172">
        <f>IF('State Calculations'!T$5&lt;&gt;"",S172*(1+'State Calculations'!T$5),IFERROR(INDEX(T61:T108,MATCH($B$5,$A61:$A108,0))/T109*T166,0))</f>
        <v>73542.194928981102</v>
      </c>
      <c r="U172">
        <f>IF('State Calculations'!U$5&lt;&gt;"",T172*(1+'State Calculations'!U$5),IFERROR(INDEX(U61:U108,MATCH($B$5,$A61:$A108,0))/U109*U166,0))</f>
        <v>73684.388971563778</v>
      </c>
      <c r="V172">
        <f>IF('State Calculations'!V$5&lt;&gt;"",U172*(1+'State Calculations'!V$5),IFERROR(INDEX(V61:V108,MATCH($B$5,$A61:$A108,0))/V109*V166,0))</f>
        <v>73825.415406908127</v>
      </c>
      <c r="W172">
        <f>IF('State Calculations'!W$5&lt;&gt;"",V172*(1+'State Calculations'!W$5),IFERROR(INDEX(W61:W108,MATCH($B$5,$A61:$A108,0))/W109*W166,0))</f>
        <v>73965.254230955034</v>
      </c>
      <c r="X172">
        <f>IF('State Calculations'!X$5&lt;&gt;"",W172*(1+'State Calculations'!X$5),IFERROR(INDEX(X61:X108,MATCH($B$5,$A61:$A108,0))/X109*X166,0))</f>
        <v>73999.885639397951</v>
      </c>
      <c r="Y172">
        <f>IF('State Calculations'!Y$5&lt;&gt;"",X172*(1+'State Calculations'!Y$5),IFERROR(INDEX(Y61:Y108,MATCH($B$5,$A61:$A108,0))/Y109*Y166,0))</f>
        <v>74034.439885086715</v>
      </c>
      <c r="Z172">
        <f>IF('State Calculations'!Z$5&lt;&gt;"",Y172*(1+'State Calculations'!Z$5),IFERROR(INDEX(Z61:Z108,MATCH($B$5,$A61:$A108,0))/Z109*Z166,0))</f>
        <v>74068.916645705118</v>
      </c>
      <c r="AA172">
        <f>IF('State Calculations'!AA$5&lt;&gt;"",Z172*(1+'State Calculations'!AA$5),IFERROR(INDEX(AA61:AA108,MATCH($B$5,$A61:$A108,0))/AA109*AA166,0))</f>
        <v>74103.315598433517</v>
      </c>
      <c r="AB172">
        <f>IF('State Calculations'!AB$5&lt;&gt;"",AA172*(1+'State Calculations'!AB$5),IFERROR(INDEX(AB61:AB108,MATCH($B$5,$A61:$A108,0))/AB109*AB166,0))</f>
        <v>74137.636419950897</v>
      </c>
    </row>
    <row r="173" spans="1:29" x14ac:dyDescent="0.45">
      <c r="A173" s="1" t="s">
        <v>263</v>
      </c>
      <c r="B173">
        <f>IF('State Calculations'!B$5&lt;&gt;"",A173*(1+'State Calculations'!B$5),IFERROR(INDEX(B113:B160,MATCH($B$5,$A113:$A160,0))/B161*B167,0))</f>
        <v>13881.205049539809</v>
      </c>
      <c r="C173">
        <f>IF('State Calculations'!C$5&lt;&gt;"",B173*(1+'State Calculations'!C$5),IFERROR(INDEX(C113:C160,MATCH($B$5,$A113:$A160,0))/C161*C167,0))</f>
        <v>20519.641013412504</v>
      </c>
      <c r="D173">
        <f>IF('State Calculations'!D$5&lt;&gt;"",C173*(1+'State Calculations'!D$5),IFERROR(INDEX(D113:D160,MATCH($B$5,$A113:$A160,0))/D161*D167,0))</f>
        <v>30106.175953576119</v>
      </c>
      <c r="E173">
        <f>IF('State Calculations'!E$5&lt;&gt;"",D173*(1+'State Calculations'!E$5),IFERROR(INDEX(E113:E160,MATCH($B$5,$A113:$A160,0))/E161*E167,0))</f>
        <v>43795.950151211458</v>
      </c>
      <c r="F173">
        <f>IF('State Calculations'!F$5&lt;&gt;"",E173*(1+'State Calculations'!F$5),IFERROR(INDEX(F113:F160,MATCH($B$5,$A113:$A160,0))/F161*F167,0))</f>
        <v>63073.503633964981</v>
      </c>
      <c r="G173">
        <f>IF('State Calculations'!G$5&lt;&gt;"",F173*(1+'State Calculations'!G$5),IFERROR(INDEX(G113:G160,MATCH($B$5,$A113:$A160,0))/G161*G167,0))</f>
        <v>89729.696921867551</v>
      </c>
      <c r="H173">
        <f>IF('State Calculations'!H$5&lt;&gt;"",G173*(1+'State Calculations'!H$5),IFERROR(INDEX(H113:H160,MATCH($B$5,$A113:$A160,0))/H161*H167,0))</f>
        <v>125694.40251192555</v>
      </c>
      <c r="I173">
        <f>IF('State Calculations'!I$5&lt;&gt;"",H173*(1+'State Calculations'!I$5),IFERROR(INDEX(I113:I160,MATCH($B$5,$A113:$A160,0))/I161*I167,0))</f>
        <v>137433.7583175599</v>
      </c>
      <c r="J173">
        <f>IF('State Calculations'!J$5&lt;&gt;"",I173*(1+'State Calculations'!J$5),IFERROR(INDEX(J113:J160,MATCH($B$5,$A113:$A160,0))/J161*J167,0))</f>
        <v>149910.75189628123</v>
      </c>
      <c r="K173">
        <f>IF('State Calculations'!K$5&lt;&gt;"",J173*(1+'State Calculations'!K$5),IFERROR(INDEX(K113:K160,MATCH($B$5,$A113:$A160,0))/K161*K167,0))</f>
        <v>163084.39457873403</v>
      </c>
      <c r="L173">
        <f>IF('State Calculations'!L$5&lt;&gt;"",K173*(1+'State Calculations'!L$5),IFERROR(INDEX(L113:L160,MATCH($B$5,$A113:$A160,0))/L161*L167,0))</f>
        <v>176886.38457125719</v>
      </c>
      <c r="M173">
        <f>IF('State Calculations'!M$5&lt;&gt;"",L173*(1+'State Calculations'!M$5),IFERROR(INDEX(M113:M160,MATCH($B$5,$A113:$A160,0))/M161*M167,0))</f>
        <v>191215.56978722074</v>
      </c>
      <c r="N173">
        <f>IF('State Calculations'!N$5&lt;&gt;"",M173*(1+'State Calculations'!N$5),IFERROR(INDEX(N113:N160,MATCH($B$5,$A113:$A160,0))/N161*N167,0))</f>
        <v>194899.70770446243</v>
      </c>
      <c r="O173">
        <f>IF('State Calculations'!O$5&lt;&gt;"",N173*(1+'State Calculations'!O$5),IFERROR(INDEX(O113:O160,MATCH($B$5,$A113:$A160,0))/O161*O167,0))</f>
        <v>198595.75432651248</v>
      </c>
      <c r="P173">
        <f>IF('State Calculations'!P$5&lt;&gt;"",O173*(1+'State Calculations'!P$5),IFERROR(INDEX(P113:P160,MATCH($B$5,$A113:$A160,0))/P161*P167,0))</f>
        <v>202299.67930997181</v>
      </c>
      <c r="Q173">
        <f>IF('State Calculations'!Q$5&lt;&gt;"",P173*(1+'State Calculations'!Q$5),IFERROR(INDEX(Q113:Q160,MATCH($B$5,$A113:$A160,0))/Q161*Q167,0))</f>
        <v>206007.19149252895</v>
      </c>
      <c r="R173">
        <f>IF('State Calculations'!R$5&lt;&gt;"",Q173*(1+'State Calculations'!R$5),IFERROR(INDEX(R113:R160,MATCH($B$5,$A113:$A160,0))/R161*R167,0))</f>
        <v>209713.73416528967</v>
      </c>
      <c r="S173">
        <f>IF('State Calculations'!S$5&lt;&gt;"",R173*(1+'State Calculations'!S$5),IFERROR(INDEX(S113:S160,MATCH($B$5,$A113:$A160,0))/S161*S167,0))</f>
        <v>210639.02170309477</v>
      </c>
      <c r="T173">
        <f>IF('State Calculations'!T$5&lt;&gt;"",S173*(1+'State Calculations'!T$5),IFERROR(INDEX(T113:T160,MATCH($B$5,$A113:$A160,0))/T161*T167,0))</f>
        <v>211563.58661607388</v>
      </c>
      <c r="U173">
        <f>IF('State Calculations'!U$5&lt;&gt;"",T173*(1+'State Calculations'!U$5),IFERROR(INDEX(U113:U160,MATCH($B$5,$A113:$A160,0))/U161*U167,0))</f>
        <v>212487.34190712165</v>
      </c>
      <c r="V173">
        <f>IF('State Calculations'!V$5&lt;&gt;"",U173*(1+'State Calculations'!V$5),IFERROR(INDEX(V113:V160,MATCH($B$5,$A113:$A160,0))/V161*V167,0))</f>
        <v>213410.19939872381</v>
      </c>
      <c r="W173">
        <f>IF('State Calculations'!W$5&lt;&gt;"",V173*(1+'State Calculations'!W$5),IFERROR(INDEX(W113:W160,MATCH($B$5,$A113:$A160,0))/W161*W167,0))</f>
        <v>214332.06973212014</v>
      </c>
      <c r="X173">
        <f>IF('State Calculations'!X$5&lt;&gt;"",W173*(1+'State Calculations'!X$5),IFERROR(INDEX(X113:X160,MATCH($B$5,$A113:$A160,0))/X161*X167,0))</f>
        <v>214562.2671188729</v>
      </c>
      <c r="Y173">
        <f>IF('State Calculations'!Y$5&lt;&gt;"",X173*(1+'State Calculations'!Y$5),IFERROR(INDEX(Y113:Y160,MATCH($B$5,$A113:$A160,0))/Y161*Y167,0))</f>
        <v>214792.39059488353</v>
      </c>
      <c r="Z173">
        <f>IF('State Calculations'!Z$5&lt;&gt;"",Y173*(1+'State Calculations'!Z$5),IFERROR(INDEX(Z113:Z160,MATCH($B$5,$A113:$A160,0))/Z161*Z167,0))</f>
        <v>215022.43869459469</v>
      </c>
      <c r="AA173">
        <f>IF('State Calculations'!AA$5&lt;&gt;"",Z173*(1+'State Calculations'!AA$5),IFERROR(INDEX(AA113:AA160,MATCH($B$5,$A113:$A160,0))/AA161*AA167,0))</f>
        <v>215252.4099477111</v>
      </c>
      <c r="AB173">
        <f>IF('State Calculations'!AB$5&lt;&gt;"",AA173*(1+'State Calculations'!AB$5),IFERROR(INDEX(AB113:AB160,MATCH($B$5,$A113:$A160,0))/AB161*AB167,0))</f>
        <v>215482.30287920023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13881.205049539809</v>
      </c>
      <c r="C2">
        <f>Calcs!C171</f>
        <v>14992.311300266081</v>
      </c>
      <c r="D2">
        <f>Calcs!D171</f>
        <v>16136.749731638936</v>
      </c>
      <c r="E2">
        <f>Calcs!E171</f>
        <v>17297.075379210622</v>
      </c>
      <c r="F2">
        <f>Calcs!F171</f>
        <v>18445.440305239616</v>
      </c>
      <c r="G2">
        <f>Calcs!G171</f>
        <v>19537.035760555329</v>
      </c>
      <c r="H2">
        <f>Calcs!H171</f>
        <v>20499.188239282092</v>
      </c>
      <c r="I2">
        <f>Calcs!I171</f>
        <v>20690.084704656962</v>
      </c>
      <c r="J2">
        <f>Calcs!J171</f>
        <v>20851.377421253754</v>
      </c>
      <c r="K2">
        <f>Calcs!K171</f>
        <v>20977.131416753273</v>
      </c>
      <c r="L2">
        <f>Calcs!L171</f>
        <v>21060.449308322448</v>
      </c>
      <c r="M2">
        <f>Calcs!M171</f>
        <v>21093.404493797501</v>
      </c>
      <c r="N2">
        <f>Calcs!N171</f>
        <v>21086.643680784939</v>
      </c>
      <c r="O2">
        <f>Calcs!O171</f>
        <v>21075.309330125783</v>
      </c>
      <c r="P2">
        <f>Calcs!P171</f>
        <v>21059.199032656914</v>
      </c>
      <c r="Q2">
        <f>Calcs!Q171</f>
        <v>21038.104970555622</v>
      </c>
      <c r="R2">
        <f>Calcs!R171</f>
        <v>21011.814221819903</v>
      </c>
      <c r="S2">
        <f>Calcs!S171</f>
        <v>21003.830744996689</v>
      </c>
      <c r="T2">
        <f>Calcs!T171</f>
        <v>20995.488990837788</v>
      </c>
      <c r="U2">
        <f>Calcs!U171</f>
        <v>20986.785226490312</v>
      </c>
      <c r="V2">
        <f>Calcs!V171</f>
        <v>20977.715701365752</v>
      </c>
      <c r="W2">
        <f>Calcs!W171</f>
        <v>20968.27664773761</v>
      </c>
      <c r="X2">
        <f>Calcs!X171</f>
        <v>20965.818959884837</v>
      </c>
      <c r="Y2">
        <f>Calcs!Y171</f>
        <v>20963.337596854883</v>
      </c>
      <c r="Z2">
        <f>Calcs!Z171</f>
        <v>20960.83249813315</v>
      </c>
      <c r="AA2">
        <f>Calcs!AA171</f>
        <v>20958.303603142434</v>
      </c>
      <c r="AB2">
        <f>Calcs!AB171</f>
        <v>20955.750851243643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13881.205049539809</v>
      </c>
      <c r="C2">
        <f>Calcs!C172</f>
        <v>17882.163335968366</v>
      </c>
      <c r="D2">
        <f>Calcs!D172</f>
        <v>22889.187076248789</v>
      </c>
      <c r="E2">
        <f>Calcs!E172</f>
        <v>29080.057095895765</v>
      </c>
      <c r="F2">
        <f>Calcs!F172</f>
        <v>36614.701064251291</v>
      </c>
      <c r="G2">
        <f>Calcs!G172</f>
        <v>45589.370474558629</v>
      </c>
      <c r="H2">
        <f>Calcs!H172</f>
        <v>55957.187118580427</v>
      </c>
      <c r="I2">
        <f>Calcs!I172</f>
        <v>58819.292373097291</v>
      </c>
      <c r="J2">
        <f>Calcs!J172</f>
        <v>61698.183220588682</v>
      </c>
      <c r="K2">
        <f>Calcs!K172</f>
        <v>64566.434466519655</v>
      </c>
      <c r="L2">
        <f>Calcs!L172</f>
        <v>67391.015077166085</v>
      </c>
      <c r="M2">
        <f>Calcs!M172</f>
        <v>70132.820390604684</v>
      </c>
      <c r="N2">
        <f>Calcs!N172</f>
        <v>70783.488883869999</v>
      </c>
      <c r="O2">
        <f>Calcs!O172</f>
        <v>71422.042143757266</v>
      </c>
      <c r="P2">
        <f>Calcs!P172</f>
        <v>72047.434591664802</v>
      </c>
      <c r="Q2">
        <f>Calcs!Q172</f>
        <v>72658.586229104782</v>
      </c>
      <c r="R2">
        <f>Calcs!R172</f>
        <v>73254.383384473826</v>
      </c>
      <c r="S2">
        <f>Calcs!S172</f>
        <v>73398.853152792217</v>
      </c>
      <c r="T2">
        <f>Calcs!T172</f>
        <v>73542.194928981102</v>
      </c>
      <c r="U2">
        <f>Calcs!U172</f>
        <v>73684.388971563778</v>
      </c>
      <c r="V2">
        <f>Calcs!V172</f>
        <v>73825.415406908127</v>
      </c>
      <c r="W2">
        <f>Calcs!W172</f>
        <v>73965.254230955034</v>
      </c>
      <c r="X2">
        <f>Calcs!X172</f>
        <v>73999.885639397951</v>
      </c>
      <c r="Y2">
        <f>Calcs!Y172</f>
        <v>74034.439885086715</v>
      </c>
      <c r="Z2">
        <f>Calcs!Z172</f>
        <v>74068.916645705118</v>
      </c>
      <c r="AA2">
        <f>Calcs!AA172</f>
        <v>74103.315598433517</v>
      </c>
      <c r="AB2">
        <f>Calcs!AB172</f>
        <v>74137.636419950897</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13881.205049539809</v>
      </c>
      <c r="C2">
        <f>Calcs!C173</f>
        <v>20519.641013412504</v>
      </c>
      <c r="D2">
        <f>Calcs!D173</f>
        <v>30106.175953576119</v>
      </c>
      <c r="E2">
        <f>Calcs!E173</f>
        <v>43795.950151211458</v>
      </c>
      <c r="F2">
        <f>Calcs!F173</f>
        <v>63073.503633964981</v>
      </c>
      <c r="G2">
        <f>Calcs!G173</f>
        <v>89729.696921867551</v>
      </c>
      <c r="H2">
        <f>Calcs!H173</f>
        <v>125694.40251192555</v>
      </c>
      <c r="I2">
        <f>Calcs!I173</f>
        <v>137433.7583175599</v>
      </c>
      <c r="J2">
        <f>Calcs!J173</f>
        <v>149910.75189628123</v>
      </c>
      <c r="K2">
        <f>Calcs!K173</f>
        <v>163084.39457873403</v>
      </c>
      <c r="L2">
        <f>Calcs!L173</f>
        <v>176886.38457125719</v>
      </c>
      <c r="M2">
        <f>Calcs!M173</f>
        <v>191215.56978722074</v>
      </c>
      <c r="N2">
        <f>Calcs!N173</f>
        <v>194899.70770446243</v>
      </c>
      <c r="O2">
        <f>Calcs!O173</f>
        <v>198595.75432651248</v>
      </c>
      <c r="P2">
        <f>Calcs!P173</f>
        <v>202299.67930997181</v>
      </c>
      <c r="Q2">
        <f>Calcs!Q173</f>
        <v>206007.19149252895</v>
      </c>
      <c r="R2">
        <f>Calcs!R173</f>
        <v>209713.73416528967</v>
      </c>
      <c r="S2">
        <f>Calcs!S173</f>
        <v>210639.02170309477</v>
      </c>
      <c r="T2">
        <f>Calcs!T173</f>
        <v>211563.58661607388</v>
      </c>
      <c r="U2">
        <f>Calcs!U173</f>
        <v>212487.34190712165</v>
      </c>
      <c r="V2">
        <f>Calcs!V173</f>
        <v>213410.19939872381</v>
      </c>
      <c r="W2">
        <f>Calcs!W173</f>
        <v>214332.06973212014</v>
      </c>
      <c r="X2">
        <f>Calcs!X173</f>
        <v>214562.2671188729</v>
      </c>
      <c r="Y2">
        <f>Calcs!Y173</f>
        <v>214792.39059488353</v>
      </c>
      <c r="Z2">
        <f>Calcs!Z173</f>
        <v>215022.43869459469</v>
      </c>
      <c r="AA2">
        <f>Calcs!AA173</f>
        <v>215252.4099477111</v>
      </c>
      <c r="AB2">
        <f>Calcs!AB173</f>
        <v>215482.30287920023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2026-09-01T22:21:40Z</dcterms:modified>
</cp:coreProperties>
</file>