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alueAdded" sheetId="3" state="visible" r:id="rId3"/>
    <sheet name="2_VA_total_by_BEA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6_Calc_ISIC_aggregation" sheetId="11" state="visible" r:id="rId11"/>
    <sheet name="BVAbIC" sheetId="12" state="visible" r:id="rId12"/>
  </sheets>
  <calcPr calcId="191029" fullCalcOnLoad="1"/>
</workbook>
</file>

<file path=xl/sharedStrings.xml><?xml version="1.0" encoding="utf-8"?>
<sst xmlns="http://schemas.openxmlformats.org/spreadsheetml/2006/main" count="581" uniqueCount="581">
  <si>
    <t xml:space="preserve">BVAbIC - BAU Value Added by ISIC Code</t>
  </si>
  <si>
    <t xml:space="preserve"/>
  </si>
  <si>
    <t xml:space="preserve">State: Maine (ME)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</si>
  <si>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</si>
  <si>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</si>
  <si>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</si>
  <si>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value added by industry is computed from stateior's ValueAdded</t>
  </si>
  <si>
    <t xml:space="preserve">component, which sums V001 (Compensation of employees), V002 (Taxes on</t>
  </si>
  <si>
    <t xml:space="preserve">production and imports less subsidies), and V003 (Gross operating</t>
  </si>
  <si>
    <t xml:space="preserve">surplus) per BEA Summary industry.</t>
  </si>
  <si>
    <t xml:space="preserve">The same BEA -&gt; ISIC crosswalk and state-specific disaggregation ratios</t>
  </si>
  <si>
    <t xml:space="preserve">used for BObIC are applied here, so that VA, output, and EC all share</t>
  </si>
  <si>
    <t xml:space="preserve">a consistent 42-ISIC structure.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</si>
  <si>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</si>
  <si>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</si>
  <si>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</si>
  <si>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</si>
  <si>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</si>
  <si>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</si>
  <si>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</si>
  <si>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</si>
  <si>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</si>
  <si>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</si>
  <si>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</si>
  <si>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</si>
  <si>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</si>
  <si>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</si>
  <si>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</si>
  <si>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</si>
  <si>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</si>
  <si>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</si>
  <si>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</si>
  <si>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</si>
  <si>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</si>
  <si>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</si>
  <si>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</si>
  <si>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</si>
  <si>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</si>
  <si>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</si>
  <si>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</si>
  <si>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</si>
  <si>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</si>
  <si>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</si>
  <si>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</si>
  <si>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</si>
  <si>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</si>
  <si>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</si>
  <si>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</si>
  <si>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</si>
  <si>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</si>
  <si>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</si>
  <si>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</si>
  <si>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</si>
  <si>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</si>
  <si>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</si>
  <si>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</si>
  <si>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</si>
  <si>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</si>
  <si>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</si>
  <si>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</si>
  <si>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</si>
  <si>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</si>
  <si>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</si>
  <si>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</si>
  <si>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</si>
  <si>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</si>
  <si>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</si>
  <si>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</si>
  <si>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</si>
  <si>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</si>
  <si>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</si>
  <si>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</si>
  <si>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</si>
  <si>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</si>
  <si>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</si>
  <si>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</si>
  <si>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</si>
  <si>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</si>
  <si>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</si>
  <si>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</si>
  <si>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</si>
  <si>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</si>
  <si>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</si>
  <si>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</si>
  <si>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</si>
  <si>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</si>
  <si>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</si>
  <si>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</si>
  <si>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</si>
  <si>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</si>
  <si>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</si>
  <si>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</si>
  <si>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</si>
  <si>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</si>
  <si>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</si>
  <si>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</si>
  <si>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</si>
  <si>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</si>
  <si>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</si>
  <si>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</si>
  <si>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</si>
  <si>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 in this workbook:</t>
  </si>
  <si>
    <t xml:space="preserve">  1. About</t>
  </si>
  <si>
    <t xml:space="preserve">  2. 1_Source_ValueAdded - V001+V002+V003 x industry, raw stateior</t>
  </si>
  <si>
    <t xml:space="preserve">  3. 2_VA_total_by_BEA - sum of V001-V003 per BEA Summary code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</si>
  <si>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</si>
  <si>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</si>
  <si>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</si>
  <si>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3_Crosswalk_BEA_to_ISIC</t>
  </si>
  <si>
    <t xml:space="preserve">  8. 4_State_disagg_splits</t>
  </si>
  <si>
    <t xml:space="preserve">  9. 5_NAICS_to_ISIC_Key</t>
  </si>
  <si>
    <t xml:space="preserve">  10. 6_Calc_ISIC_aggregation</t>
  </si>
  <si>
    <t xml:space="preserve">  11. BVAbIC - final VA vector (matches BVAbIC.csv)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</si>
  <si>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</si>
  <si>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</si>
  <si>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</si>
  <si>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</si>
  <si>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</si>
  <si>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</si>
  <si>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</si>
  <si>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</si>
  <si>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</si>
  <si>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</si>
  <si>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</si>
  <si>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</si>
  <si>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</si>
  <si>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</si>
  <si>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</si>
  <si>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</si>
  <si>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</si>
  <si>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</si>
  <si>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</si>
  <si>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</si>
  <si>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</si>
  <si>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</si>
  <si>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</si>
  <si>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</si>
  <si>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</si>
  <si>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</si>
  <si>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</si>
  <si>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</si>
  <si>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</si>
  <si>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</si>
  <si>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</si>
  <si>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</si>
  <si>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</si>
  <si>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</si>
  <si>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</si>
  <si>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</si>
  <si>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</si>
  <si>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</si>
  <si>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</si>
  <si>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</si>
  <si>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</si>
  <si>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</si>
  <si>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</si>
  <si>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</si>
  <si>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</si>
  <si>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</si>
  <si>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</si>
  <si>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</si>
  <si>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</si>
  <si>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</si>
  <si>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</si>
  <si>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</si>
  <si>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</si>
  <si>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</si>
  <si>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</si>
  <si>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</si>
  <si>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</si>
  <si>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</si>
  <si>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</si>
  <si>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</si>
  <si>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</si>
  <si>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</si>
  <si>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</si>
  <si>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</si>
  <si>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</si>
  <si>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</si>
  <si>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</si>
  <si>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</si>
  <si>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</si>
  <si>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</si>
  <si>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</si>
  <si>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</si>
  <si>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</si>
  <si>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</si>
  <si>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</si>
  <si>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</si>
  <si>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</si>
  <si>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</si>
  <si>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</si>
  <si>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</si>
  <si>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</si>
  <si>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</si>
  <si>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</si>
  <si>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</si>
  <si>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</si>
  <si>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</si>
  <si>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</si>
  <si>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</si>
  <si>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</si>
  <si>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</si>
  <si>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BEA_Summary_code</t>
  </si>
  <si>
    <t xml:space="preserve">VA_USD_2019nominal (=sum of VA rows)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</si>
  <si>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</si>
  <si>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</si>
  <si>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</si>
  <si>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</si>
  <si>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</si>
  <si>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</si>
  <si>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</si>
  <si>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</si>
  <si>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</si>
  <si>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</si>
  <si>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</si>
  <si>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</si>
  <si>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</si>
  <si>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</si>
  <si>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</si>
  <si>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</si>
  <si>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</si>
  <si>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</si>
  <si>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</si>
  <si>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</si>
  <si>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</si>
  <si>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</si>
  <si>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</si>
  <si>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</si>
  <si>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</si>
  <si>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</si>
  <si>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</si>
  <si>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</si>
  <si>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</si>
  <si>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</si>
  <si>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</si>
  <si>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</si>
  <si>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</si>
  <si>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</si>
  <si>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</si>
  <si>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</si>
  <si>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</si>
  <si>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</si>
  <si>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</si>
  <si>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</si>
  <si>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</si>
  <si>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</si>
  <si>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</si>
  <si>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</si>
  <si>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</si>
  <si>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</si>
  <si>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</si>
  <si>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</si>
  <si>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</si>
  <si>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</si>
  <si>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</si>
  <si>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</si>
  <si>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</si>
  <si>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</si>
  <si>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</si>
  <si>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</si>
  <si>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</si>
  <si>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</si>
  <si>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</si>
  <si>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</si>
  <si>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</si>
  <si>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</si>
  <si>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</si>
  <si>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</si>
  <si>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</si>
  <si>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</si>
  <si>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</si>
  <si>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</si>
  <si>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</si>
  <si>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</si>
  <si>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</si>
  <si>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</si>
  <si>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</si>
  <si>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</si>
  <si>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</si>
  <si>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</si>
  <si>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</si>
  <si>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</si>
  <si>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</si>
  <si>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</si>
  <si>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</si>
  <si>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</si>
  <si>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</si>
  <si>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</si>
  <si>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</si>
  <si>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</si>
  <si>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</si>
  <si>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</si>
  <si>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</si>
  <si>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</si>
  <si>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</si>
  <si>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</si>
  <si>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</si>
  <si>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</si>
  <si>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</si>
  <si>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</si>
  <si>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</si>
  <si>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</si>
  <si>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</si>
  <si>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</si>
  <si>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</si>
  <si>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</si>
  <si>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</si>
  <si>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</si>
  <si>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</si>
  <si>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</si>
  <si>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</si>
  <si>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</si>
  <si>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</si>
  <si>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</si>
  <si>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</si>
  <si>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</si>
  <si>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</si>
  <si>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</si>
  <si>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</si>
  <si>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</si>
  <si>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</si>
  <si>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</si>
  <si>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</si>
  <si>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</si>
  <si>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</si>
  <si>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</si>
  <si>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</si>
  <si>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</si>
  <si>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</si>
  <si>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</si>
  <si>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</si>
  <si>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</si>
  <si>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</si>
  <si>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</si>
  <si>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</si>
  <si>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</si>
  <si>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</si>
  <si>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</si>
  <si>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</si>
  <si>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</si>
  <si>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</si>
  <si>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</si>
  <si>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</si>
  <si>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</si>
  <si>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</si>
  <si>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</si>
  <si>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</si>
  <si>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</si>
  <si>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</si>
  <si>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</si>
  <si>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</si>
  <si>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</si>
  <si>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</si>
  <si>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</si>
  <si>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</si>
  <si>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</si>
  <si>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</si>
  <si>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</si>
  <si>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</si>
  <si>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</si>
  <si>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</si>
  <si>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</si>
  <si>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</si>
  <si>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</si>
  <si>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</si>
  <si>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</si>
  <si>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</si>
  <si>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</si>
  <si>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</si>
  <si>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</si>
  <si>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</si>
  <si>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</si>
  <si>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</si>
  <si>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</si>
  <si>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</si>
  <si>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</si>
  <si>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</si>
  <si>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</si>
  <si>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</si>
  <si>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</si>
  <si>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</si>
  <si>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</si>
  <si>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</si>
  <si>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</si>
  <si>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</si>
  <si>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</si>
  <si>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</si>
  <si>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</si>
  <si>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</si>
  <si>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</si>
  <si>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</si>
  <si>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</si>
  <si>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</si>
  <si>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</si>
  <si>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</si>
  <si>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</si>
  <si>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</si>
  <si>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</si>
  <si>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</si>
  <si>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</si>
  <si>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</si>
  <si>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</si>
  <si>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</si>
  <si>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</si>
  <si>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</si>
  <si>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</si>
  <si>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</si>
  <si>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</si>
  <si>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</si>
  <si>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</si>
  <si>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</si>
  <si>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</si>
  <si>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</si>
  <si>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</si>
  <si>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</si>
  <si>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</si>
  <si>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</si>
  <si>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</si>
  <si>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</si>
  <si>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</si>
  <si>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</si>
  <si>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</si>
  <si>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</si>
  <si>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</si>
  <si>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</si>
  <si>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</si>
  <si>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</si>
  <si>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</si>
  <si>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</si>
  <si>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</si>
  <si>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</si>
  <si>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</si>
  <si>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</si>
  <si>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</si>
  <si>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</si>
  <si>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</si>
  <si>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</si>
  <si>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</si>
  <si>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</si>
  <si>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</si>
  <si>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</si>
  <si>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</si>
  <si>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</si>
  <si>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</si>
  <si>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</si>
  <si>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</si>
  <si>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</si>
  <si>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</si>
  <si>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</si>
  <si>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</si>
  <si>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</si>
  <si>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</si>
  <si>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</si>
  <si>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</si>
  <si>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</si>
  <si>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</si>
  <si>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</si>
  <si>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</si>
  <si>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</si>
  <si>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</si>
  <si>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</si>
  <si>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</si>
  <si>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</si>
  <si>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</si>
  <si>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</si>
  <si>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</si>
  <si>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</si>
  <si>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</si>
  <si>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</si>
  <si>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</si>
  <si>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2021 $98M [nonfuel partial total] -&gt; coal share 0.000 (applied to stateior 212 $76M)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</si>
  <si>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</si>
  <si>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</si>
  <si>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</si>
  <si>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</si>
  <si>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</si>
  <si>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</si>
  <si>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</si>
  <si>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</si>
  <si>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</si>
  <si>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</si>
  <si>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</si>
  <si>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</si>
  <si>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</si>
  <si>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</si>
  <si>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</si>
  <si>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</si>
  <si>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</si>
  <si>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</si>
  <si>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</si>
  <si>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</si>
  <si>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</si>
  <si>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</si>
  <si>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</si>
  <si>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</si>
  <si>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</si>
  <si>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</si>
  <si>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</si>
  <si>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</si>
  <si>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</si>
  <si>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</si>
  <si>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</si>
  <si>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</si>
  <si>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</si>
  <si>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</si>
  <si>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</si>
  <si>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</si>
  <si>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</si>
  <si>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</si>
  <si>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</si>
  <si>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</si>
  <si>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</si>
  <si>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</si>
  <si>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</si>
  <si>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</si>
  <si>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</si>
  <si>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</si>
  <si>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</si>
  <si>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</si>
  <si>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</si>
  <si>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</si>
  <si>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</si>
  <si>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</si>
  <si>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</si>
  <si>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</si>
  <si>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</si>
  <si>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</si>
  <si>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</si>
  <si>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</si>
  <si>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</si>
  <si>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</si>
  <si>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</si>
  <si>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</si>
  <si>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</si>
  <si>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</si>
  <si>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</si>
  <si>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</si>
  <si>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</si>
  <si>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</si>
  <si>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</si>
  <si>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</si>
  <si>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</si>
  <si>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</si>
  <si>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</si>
  <si>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</si>
  <si>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</si>
  <si>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</si>
  <si>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</si>
  <si>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</si>
  <si>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</si>
  <si>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</si>
  <si>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</si>
  <si>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</si>
  <si>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</si>
  <si>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</si>
  <si>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</si>
  <si>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</si>
  <si>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</si>
  <si>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</si>
  <si>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</si>
  <si>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</si>
  <si>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</si>
  <si>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</si>
  <si>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</si>
  <si>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</si>
  <si>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</si>
  <si>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</si>
  <si>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</si>
  <si>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</si>
  <si>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</si>
  <si>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</si>
  <si>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</si>
  <si>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</si>
  <si>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</si>
  <si>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</si>
  <si>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</si>
  <si>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</si>
  <si>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</si>
  <si>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</si>
  <si>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ValueAdded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</si>
</sst>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13</v>
      </c>
    </row>
    <row r="19">
      <c r="A19" t="s">
        <v>1</v>
      </c>
    </row>
    <row r="20">
      <c r="A20" t="s">
        <v>14</v>
      </c>
    </row>
    <row r="21">
      <c r="A21" t="s">
        <v>15</v>
      </c>
    </row>
    <row r="22">
      <c r="A22" t="s">
        <v>16</v>
      </c>
    </row>
    <row r="23">
      <c r="A23" t="s">
        <v>17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1</v>
      </c>
    </row>
    <row r="29">
      <c r="A29" t="s">
        <v>22</v>
      </c>
    </row>
    <row r="30">
      <c r="A30" t="s">
        <v>23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27</v>
      </c>
    </row>
    <row r="35">
      <c r="A35" t="s">
        <v>1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1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1</v>
      </c>
    </row>
    <row r="53">
      <c r="A53" t="s">
        <v>43</v>
      </c>
    </row>
    <row r="54">
      <c r="A54" t="s">
        <v>44</v>
      </c>
    </row>
    <row r="55">
      <c r="A55" t="s">
        <v>45</v>
      </c>
    </row>
    <row r="56">
      <c r="A56" t="s">
        <v>46</v>
      </c>
    </row>
    <row r="57">
      <c r="A57" t="s">
        <v>47</v>
      </c>
    </row>
    <row r="58">
      <c r="A58" t="s">
        <v>1</v>
      </c>
    </row>
    <row r="59">
      <c r="A59" t="s">
        <v>48</v>
      </c>
    </row>
    <row r="60">
      <c r="A60" t="s">
        <v>49</v>
      </c>
    </row>
    <row r="61">
      <c r="A61" t="s">
        <v>1</v>
      </c>
    </row>
    <row r="62">
      <c r="A62" t="s">
        <v>4</v>
      </c>
    </row>
    <row r="63">
      <c r="A63" t="s">
        <v>50</v>
      </c>
    </row>
    <row r="64">
      <c r="A64" t="s">
        <v>4</v>
      </c>
    </row>
    <row r="65">
      <c r="A65" t="s">
        <v>51</v>
      </c>
    </row>
    <row r="66">
      <c r="A66" t="s">
        <v>52</v>
      </c>
    </row>
    <row r="67">
      <c r="A67" t="s">
        <v>1</v>
      </c>
    </row>
    <row r="68">
      <c r="A68" t="s">
        <v>53</v>
      </c>
    </row>
    <row r="69">
      <c r="A69" t="s">
        <v>54</v>
      </c>
    </row>
    <row r="70">
      <c r="A70" t="s">
        <v>55</v>
      </c>
    </row>
    <row r="71">
      <c r="A71" t="s">
        <v>56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1</v>
      </c>
    </row>
    <row r="80">
      <c r="A80" t="s">
        <v>64</v>
      </c>
    </row>
    <row r="81">
      <c r="A81" t="s">
        <v>65</v>
      </c>
    </row>
    <row r="82">
      <c r="A82" t="s">
        <v>1</v>
      </c>
    </row>
    <row r="83">
      <c r="A83" t="s">
        <v>4</v>
      </c>
    </row>
    <row r="84">
      <c r="A84" t="s">
        <v>66</v>
      </c>
    </row>
    <row r="85">
      <c r="A85" t="s">
        <v>4</v>
      </c>
    </row>
    <row r="86">
      <c r="A86" t="s">
        <v>67</v>
      </c>
    </row>
    <row r="87">
      <c r="A87" t="s">
        <v>68</v>
      </c>
    </row>
    <row r="88">
      <c r="A88" t="s">
        <v>69</v>
      </c>
    </row>
    <row r="89">
      <c r="A89" t="s">
        <v>1</v>
      </c>
    </row>
    <row r="90">
      <c r="A90" t="s">
        <v>70</v>
      </c>
    </row>
    <row r="91">
      <c r="A91" t="s">
        <v>71</v>
      </c>
    </row>
    <row r="92">
      <c r="A92" t="s">
        <v>72</v>
      </c>
    </row>
    <row r="93">
      <c r="A93" t="s">
        <v>1</v>
      </c>
    </row>
    <row r="94">
      <c r="A94" t="s">
        <v>73</v>
      </c>
    </row>
    <row r="95">
      <c r="A95" t="s">
        <v>74</v>
      </c>
    </row>
    <row r="96">
      <c r="A96" t="s">
        <v>75</v>
      </c>
    </row>
    <row r="97">
      <c r="A97" t="s">
        <v>1</v>
      </c>
    </row>
    <row r="98">
      <c r="A98" t="s">
        <v>76</v>
      </c>
    </row>
    <row r="99">
      <c r="A99" t="s">
        <v>77</v>
      </c>
    </row>
    <row r="100">
      <c r="A100" t="s">
        <v>78</v>
      </c>
    </row>
    <row r="101">
      <c r="A101" t="s">
        <v>1</v>
      </c>
    </row>
    <row r="102">
      <c r="A102" t="s">
        <v>79</v>
      </c>
    </row>
    <row r="103">
      <c r="A103" t="s">
        <v>80</v>
      </c>
    </row>
    <row r="104">
      <c r="A104" t="s">
        <v>81</v>
      </c>
    </row>
    <row r="105">
      <c r="A105" t="s">
        <v>1</v>
      </c>
    </row>
    <row r="106">
      <c r="A106" t="s">
        <v>82</v>
      </c>
    </row>
    <row r="107">
      <c r="A107" t="s">
        <v>83</v>
      </c>
    </row>
    <row r="108">
      <c r="A108" t="s">
        <v>84</v>
      </c>
    </row>
    <row r="109">
      <c r="A109" t="s">
        <v>1</v>
      </c>
    </row>
    <row r="110">
      <c r="A110" t="s">
        <v>85</v>
      </c>
    </row>
    <row r="111">
      <c r="A111" t="s">
        <v>86</v>
      </c>
    </row>
    <row r="112">
      <c r="A112" t="s">
        <v>87</v>
      </c>
    </row>
    <row r="113">
      <c r="A113" t="s">
        <v>1</v>
      </c>
    </row>
    <row r="114">
      <c r="A114" t="s">
        <v>88</v>
      </c>
    </row>
    <row r="115">
      <c r="A115" t="s">
        <v>89</v>
      </c>
    </row>
    <row r="116">
      <c r="A116" t="s">
        <v>90</v>
      </c>
    </row>
    <row r="117">
      <c r="A117" t="s">
        <v>1</v>
      </c>
    </row>
    <row r="118">
      <c r="A118" t="s">
        <v>91</v>
      </c>
    </row>
    <row r="119">
      <c r="A119" t="s">
        <v>92</v>
      </c>
    </row>
    <row r="120">
      <c r="A120" t="s">
        <v>93</v>
      </c>
    </row>
    <row r="121">
      <c r="A121" t="s">
        <v>1</v>
      </c>
    </row>
    <row r="122">
      <c r="A122" t="s">
        <v>94</v>
      </c>
    </row>
    <row r="123">
      <c r="A123" t="s">
        <v>95</v>
      </c>
    </row>
    <row r="124">
      <c r="A124" t="s">
        <v>96</v>
      </c>
    </row>
    <row r="125">
      <c r="A125" t="s">
        <v>1</v>
      </c>
    </row>
    <row r="126">
      <c r="A126" t="s">
        <v>97</v>
      </c>
    </row>
    <row r="127">
      <c r="A127" t="s">
        <v>98</v>
      </c>
    </row>
    <row r="128">
      <c r="A128" t="s">
        <v>99</v>
      </c>
    </row>
    <row r="129">
      <c r="A129" t="s">
        <v>1</v>
      </c>
    </row>
    <row r="130">
      <c r="A130" t="s">
        <v>4</v>
      </c>
    </row>
    <row r="131">
      <c r="A131" t="s">
        <v>100</v>
      </c>
    </row>
    <row r="132">
      <c r="A132" t="s">
        <v>4</v>
      </c>
    </row>
    <row r="133">
      <c r="A133" t="s">
        <v>101</v>
      </c>
    </row>
    <row r="134">
      <c r="A134" t="s">
        <v>102</v>
      </c>
    </row>
    <row r="135">
      <c r="A135" t="s">
        <v>103</v>
      </c>
    </row>
    <row r="136">
      <c r="A136" t="s">
        <v>104</v>
      </c>
    </row>
    <row r="137">
      <c r="A137" t="s">
        <v>105</v>
      </c>
    </row>
    <row r="138">
      <c r="A138" t="s">
        <v>106</v>
      </c>
    </row>
    <row r="139">
      <c r="A139" t="s">
        <v>107</v>
      </c>
    </row>
    <row r="140">
      <c r="A140" t="s">
        <v>108</v>
      </c>
    </row>
    <row r="141">
      <c r="A141" t="s">
        <v>109</v>
      </c>
    </row>
    <row r="142">
      <c r="A142" t="s">
        <v>110</v>
      </c>
    </row>
    <row r="143">
      <c r="A143" t="s">
        <v>111</v>
      </c>
    </row>
    <row r="144">
      <c r="A144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113</v>
      </c>
      <c r="B1" t="s">
        <v>114</v>
      </c>
      <c r="C1" t="s">
        <v>115</v>
      </c>
      <c r="D1" t="s">
        <v>116</v>
      </c>
    </row>
    <row r="2">
      <c r="A2" t="s">
        <v>117</v>
      </c>
      <c r="B2" t="s">
        <v>118</v>
      </c>
      <c r="C2" t="n">
        <v>1.12266</v>
      </c>
      <c r="D2" t="s">
        <v>119</v>
      </c>
    </row>
    <row r="3">
      <c r="A3" t="s">
        <v>120</v>
      </c>
      <c r="B3" t="s">
        <v>121</v>
      </c>
      <c r="C3" t="n">
        <v>2019</v>
      </c>
      <c r="D3" t="s">
        <v>122</v>
      </c>
    </row>
    <row r="4">
      <c r="A4" t="s">
        <v>123</v>
      </c>
      <c r="B4" t="s">
        <v>124</v>
      </c>
      <c r="C4" t="n">
        <v>0.000000001</v>
      </c>
      <c r="D4" t="s">
        <v>125</v>
      </c>
    </row>
    <row r="5">
      <c r="A5" t="s">
        <v>123</v>
      </c>
      <c r="B5" t="s">
        <v>126</v>
      </c>
      <c r="C5" t="n">
        <v>1</v>
      </c>
      <c r="D5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  <c r="AH1" t="s">
        <v>161</v>
      </c>
      <c r="AI1" t="s">
        <v>162</v>
      </c>
      <c r="AJ1" t="s">
        <v>163</v>
      </c>
      <c r="AK1" t="s">
        <v>164</v>
      </c>
      <c r="AL1" t="s">
        <v>165</v>
      </c>
      <c r="AM1" t="s">
        <v>166</v>
      </c>
      <c r="AN1" t="s">
        <v>167</v>
      </c>
      <c r="AO1" t="s">
        <v>168</v>
      </c>
      <c r="AP1" t="s">
        <v>169</v>
      </c>
      <c r="AQ1" t="s">
        <v>170</v>
      </c>
      <c r="AR1" t="s">
        <v>171</v>
      </c>
      <c r="AS1" t="s">
        <v>172</v>
      </c>
      <c r="AT1" t="s">
        <v>173</v>
      </c>
      <c r="AU1" t="s">
        <v>174</v>
      </c>
      <c r="AV1" t="s">
        <v>175</v>
      </c>
      <c r="AW1" t="s">
        <v>176</v>
      </c>
      <c r="AX1" t="s">
        <v>177</v>
      </c>
      <c r="AY1" t="s">
        <v>178</v>
      </c>
      <c r="AZ1" t="s">
        <v>179</v>
      </c>
      <c r="BA1" t="s">
        <v>180</v>
      </c>
      <c r="BB1" t="s">
        <v>181</v>
      </c>
      <c r="BC1" t="s">
        <v>182</v>
      </c>
      <c r="BD1" t="s">
        <v>183</v>
      </c>
      <c r="BE1" t="s">
        <v>184</v>
      </c>
      <c r="BF1" t="s">
        <v>185</v>
      </c>
      <c r="BG1" t="s">
        <v>186</v>
      </c>
      <c r="BH1" t="s">
        <v>187</v>
      </c>
      <c r="BI1" t="s">
        <v>188</v>
      </c>
      <c r="BJ1" t="s">
        <v>189</v>
      </c>
      <c r="BK1" t="s">
        <v>190</v>
      </c>
      <c r="BL1" t="s">
        <v>191</v>
      </c>
      <c r="BM1" t="s">
        <v>192</v>
      </c>
      <c r="BN1" t="s">
        <v>193</v>
      </c>
      <c r="BO1" t="s">
        <v>194</v>
      </c>
      <c r="BP1" t="s">
        <v>195</v>
      </c>
      <c r="BQ1" t="s">
        <v>196</v>
      </c>
      <c r="BR1" t="s">
        <v>197</v>
      </c>
      <c r="BS1" t="s">
        <v>198</v>
      </c>
      <c r="BT1" t="s">
        <v>199</v>
      </c>
    </row>
    <row r="2">
      <c r="A2" t="s">
        <v>200</v>
      </c>
      <c r="B2" t="n">
        <v>81938163.5815053</v>
      </c>
      <c r="C2" t="n">
        <v>368679042.924131</v>
      </c>
      <c r="D2" t="n">
        <v>0</v>
      </c>
      <c r="E2" t="n">
        <v>13670101.7332329</v>
      </c>
      <c r="F2" t="n">
        <v>320589.31427649</v>
      </c>
      <c r="G2" t="n">
        <v>270435943.437195</v>
      </c>
      <c r="H2" t="n">
        <v>1549534972.12367</v>
      </c>
      <c r="I2" t="n">
        <v>209278014.338475</v>
      </c>
      <c r="J2" t="n">
        <v>67277773.1945678</v>
      </c>
      <c r="K2" t="n">
        <v>13122594.2291154</v>
      </c>
      <c r="L2" t="n">
        <v>372390877.886874</v>
      </c>
      <c r="M2" t="n">
        <v>175623478.909113</v>
      </c>
      <c r="N2" t="n">
        <v>283834399.948929</v>
      </c>
      <c r="O2" t="n">
        <v>22655946.1978959</v>
      </c>
      <c r="P2" t="n">
        <v>46619400.9458749</v>
      </c>
      <c r="Q2" t="n">
        <v>583445699.447447</v>
      </c>
      <c r="R2" t="n">
        <v>56235591.1005793</v>
      </c>
      <c r="S2" t="n">
        <v>116476744.491368</v>
      </c>
      <c r="T2" t="n">
        <v>427362296.223794</v>
      </c>
      <c r="U2" t="n">
        <v>79028900.3477635</v>
      </c>
      <c r="V2" t="n">
        <v>81931219.4614825</v>
      </c>
      <c r="W2" t="n">
        <v>425442222.08049</v>
      </c>
      <c r="X2" t="n">
        <v>65904444.4979765</v>
      </c>
      <c r="Y2" t="n">
        <v>14969093.5091207</v>
      </c>
      <c r="Z2" t="n">
        <v>238132832.407884</v>
      </c>
      <c r="AA2" t="n">
        <v>160771474.392991</v>
      </c>
      <c r="AB2" t="n">
        <v>1603934505.765</v>
      </c>
      <c r="AC2" t="n">
        <v>634496282.096843</v>
      </c>
      <c r="AD2" t="n">
        <v>705218146.047776</v>
      </c>
      <c r="AE2" t="n">
        <v>430208321.99407</v>
      </c>
      <c r="AF2" t="n">
        <v>1279242604.73802</v>
      </c>
      <c r="AG2" t="n">
        <v>43976635.0474289</v>
      </c>
      <c r="AH2" t="n">
        <v>35570142.4674144</v>
      </c>
      <c r="AI2" t="n">
        <v>5188272.44023455</v>
      </c>
      <c r="AJ2" t="n">
        <v>356645011.904159</v>
      </c>
      <c r="AK2" t="n">
        <v>68728018.2567727</v>
      </c>
      <c r="AL2" t="n">
        <v>4843403.8397286</v>
      </c>
      <c r="AM2" t="n">
        <v>233448278.974815</v>
      </c>
      <c r="AN2" t="n">
        <v>200568951.887693</v>
      </c>
      <c r="AO2" t="n">
        <v>141263442.617651</v>
      </c>
      <c r="AP2" t="n">
        <v>26964645.095714</v>
      </c>
      <c r="AQ2" t="n">
        <v>162650617.362716</v>
      </c>
      <c r="AR2" t="n">
        <v>86800531.134863</v>
      </c>
      <c r="AS2" t="n">
        <v>780426519.91855</v>
      </c>
      <c r="AT2" t="n">
        <v>283674052.969215</v>
      </c>
      <c r="AU2" t="n">
        <v>1134532357.2966</v>
      </c>
      <c r="AV2" t="n">
        <v>6801367.52136752</v>
      </c>
      <c r="AW2" t="n">
        <v>119163248.914533</v>
      </c>
      <c r="AX2" t="n">
        <v>246838067.076324</v>
      </c>
      <c r="AY2" t="n">
        <v>76211214.953271</v>
      </c>
      <c r="AZ2" t="n">
        <v>342929403.290124</v>
      </c>
      <c r="BA2" t="n">
        <v>673203198.502031</v>
      </c>
      <c r="BB2" t="n">
        <v>1650510900.862</v>
      </c>
      <c r="BC2" t="n">
        <v>1287579469.74964</v>
      </c>
      <c r="BD2" t="n">
        <v>1328215187.23926</v>
      </c>
      <c r="BE2" t="n">
        <v>138740896.515437</v>
      </c>
      <c r="BF2" t="n">
        <v>919709078.396768</v>
      </c>
      <c r="BG2" t="n">
        <v>2285506708.79662</v>
      </c>
      <c r="BH2" t="n">
        <v>2711009526.22235</v>
      </c>
      <c r="BI2" t="n">
        <v>949656669.272672</v>
      </c>
      <c r="BJ2" t="n">
        <v>730499959.837717</v>
      </c>
      <c r="BK2" t="n">
        <v>153410422.108192</v>
      </c>
      <c r="BL2" t="n">
        <v>243158559.938721</v>
      </c>
      <c r="BM2" t="n">
        <v>526036742.08795</v>
      </c>
      <c r="BN2" t="n">
        <v>1400522455.74093</v>
      </c>
      <c r="BO2" t="n">
        <v>1114317782.04677</v>
      </c>
      <c r="BP2" t="n">
        <v>337177431.568176</v>
      </c>
      <c r="BQ2" t="n">
        <v>903145280.670346</v>
      </c>
      <c r="BR2" t="n">
        <v>258679107.758374</v>
      </c>
      <c r="BS2" t="n">
        <v>5128480583.91894</v>
      </c>
      <c r="BT2" t="n">
        <v>245652588.099142</v>
      </c>
    </row>
    <row r="3">
      <c r="A3" t="s">
        <v>201</v>
      </c>
      <c r="B3" t="n">
        <v>-32452401.5330669</v>
      </c>
      <c r="C3" t="n">
        <v>25930693.7597691</v>
      </c>
      <c r="D3" t="n">
        <v>0</v>
      </c>
      <c r="E3" t="n">
        <v>4200704.59683497</v>
      </c>
      <c r="F3" t="n">
        <v>20743.3929593379</v>
      </c>
      <c r="G3" t="n">
        <v>204720467.375964</v>
      </c>
      <c r="H3" t="n">
        <v>29357522.2018996</v>
      </c>
      <c r="I3" t="n">
        <v>7288246.79556811</v>
      </c>
      <c r="J3" t="n">
        <v>3627484.45234167</v>
      </c>
      <c r="K3" t="n">
        <v>1067880.54921266</v>
      </c>
      <c r="L3" t="n">
        <v>13910993.2673716</v>
      </c>
      <c r="M3" t="n">
        <v>6886316.70497608</v>
      </c>
      <c r="N3" t="n">
        <v>16076430.56171</v>
      </c>
      <c r="O3" t="n">
        <v>620475.429484618</v>
      </c>
      <c r="P3" t="n">
        <v>2362665.7599456</v>
      </c>
      <c r="Q3" t="n">
        <v>20794975.6937106</v>
      </c>
      <c r="R3" t="n">
        <v>1150125.06582412</v>
      </c>
      <c r="S3" t="n">
        <v>4135340.58335704</v>
      </c>
      <c r="T3" t="n">
        <v>102074082.70922</v>
      </c>
      <c r="U3" t="n">
        <v>4022964.38421873</v>
      </c>
      <c r="V3" t="n">
        <v>3365568.14637696</v>
      </c>
      <c r="W3" t="n">
        <v>25826487.6586517</v>
      </c>
      <c r="X3" t="n">
        <v>2060828.19425708</v>
      </c>
      <c r="Y3" t="n">
        <v>3057963.79617035</v>
      </c>
      <c r="Z3" t="n">
        <v>41627022.2241197</v>
      </c>
      <c r="AA3" t="n">
        <v>7748635.03968114</v>
      </c>
      <c r="AB3" t="n">
        <v>807231223.742898</v>
      </c>
      <c r="AC3" t="n">
        <v>264034887.647585</v>
      </c>
      <c r="AD3" t="n">
        <v>191227334.418642</v>
      </c>
      <c r="AE3" t="n">
        <v>193927550.237178</v>
      </c>
      <c r="AF3" t="n">
        <v>516686073.412653</v>
      </c>
      <c r="AG3" t="n">
        <v>19969745.3819271</v>
      </c>
      <c r="AH3" t="n">
        <v>151500.454683237</v>
      </c>
      <c r="AI3" t="n">
        <v>808866.550679812</v>
      </c>
      <c r="AJ3" t="n">
        <v>16076260.574439</v>
      </c>
      <c r="AK3" t="n">
        <v>4987257.06713781</v>
      </c>
      <c r="AL3" t="n">
        <v>2179135.93256059</v>
      </c>
      <c r="AM3" t="n">
        <v>6297843.94464389</v>
      </c>
      <c r="AN3" t="n">
        <v>3155469.53795829</v>
      </c>
      <c r="AO3" t="n">
        <v>7856833.11361522</v>
      </c>
      <c r="AP3" t="n">
        <v>4324797.56056243</v>
      </c>
      <c r="AQ3" t="n">
        <v>63249909.7831006</v>
      </c>
      <c r="AR3" t="n">
        <v>4513523.87553351</v>
      </c>
      <c r="AS3" t="n">
        <v>56280745.6940989</v>
      </c>
      <c r="AT3" t="n">
        <v>6731876.14235029</v>
      </c>
      <c r="AU3" t="n">
        <v>130401388.983476</v>
      </c>
      <c r="AV3" t="n">
        <v>1809230.76923077</v>
      </c>
      <c r="AW3" t="n">
        <v>1313372186.12441</v>
      </c>
      <c r="AX3" t="n">
        <v>72613505.6962338</v>
      </c>
      <c r="AY3" t="n">
        <v>43970093.4579439</v>
      </c>
      <c r="AZ3" t="n">
        <v>42845890.7910292</v>
      </c>
      <c r="BA3" t="n">
        <v>17363205.7383414</v>
      </c>
      <c r="BB3" t="n">
        <v>41109698.0194751</v>
      </c>
      <c r="BC3" t="n">
        <v>36107631.255825</v>
      </c>
      <c r="BD3" t="n">
        <v>34831628.9570552</v>
      </c>
      <c r="BE3" t="n">
        <v>16790325.3729823</v>
      </c>
      <c r="BF3" t="n">
        <v>44288192.2013919</v>
      </c>
      <c r="BG3" t="n">
        <v>39786580.3645164</v>
      </c>
      <c r="BH3" t="n">
        <v>101555768.688616</v>
      </c>
      <c r="BI3" t="n">
        <v>46308724.6544941</v>
      </c>
      <c r="BJ3" t="n">
        <v>13346467.0805424</v>
      </c>
      <c r="BK3" t="n">
        <v>19903014.0418052</v>
      </c>
      <c r="BL3" t="n">
        <v>68686196.6524165</v>
      </c>
      <c r="BM3" t="n">
        <v>192549102.180529</v>
      </c>
      <c r="BN3" t="n">
        <v>259596424.185303</v>
      </c>
      <c r="BO3" t="n">
        <v>87005179.7164047</v>
      </c>
      <c r="BP3" t="n">
        <v>0</v>
      </c>
      <c r="BQ3" t="n">
        <v>0</v>
      </c>
      <c r="BR3" t="n">
        <v>-27297710.2875689</v>
      </c>
      <c r="BS3" t="n">
        <v>0</v>
      </c>
      <c r="BT3" t="n">
        <v>-45151822.2243165</v>
      </c>
    </row>
    <row r="4">
      <c r="A4" t="s">
        <v>202</v>
      </c>
      <c r="B4" t="n">
        <v>301511375.682949</v>
      </c>
      <c r="C4" t="n">
        <v>162090263.3161</v>
      </c>
      <c r="D4" t="n">
        <v>0</v>
      </c>
      <c r="E4" t="n">
        <v>20328474.0015072</v>
      </c>
      <c r="F4" t="n">
        <v>258667.292764172</v>
      </c>
      <c r="G4" t="n">
        <v>544546664.314407</v>
      </c>
      <c r="H4" t="n">
        <v>888610094.977853</v>
      </c>
      <c r="I4" t="n">
        <v>96233738.865957</v>
      </c>
      <c r="J4" t="n">
        <v>62496858.7384186</v>
      </c>
      <c r="K4" t="n">
        <v>11809525.221672</v>
      </c>
      <c r="L4" t="n">
        <v>167001613.563507</v>
      </c>
      <c r="M4" t="n">
        <v>94890204.3859104</v>
      </c>
      <c r="N4" t="n">
        <v>168989169.489361</v>
      </c>
      <c r="O4" t="n">
        <v>12324170.9948062</v>
      </c>
      <c r="P4" t="n">
        <v>44917933.2941795</v>
      </c>
      <c r="Q4" t="n">
        <v>499459324.858842</v>
      </c>
      <c r="R4" t="n">
        <v>18914283.8335966</v>
      </c>
      <c r="S4" t="n">
        <v>63587914.9252752</v>
      </c>
      <c r="T4" t="n">
        <v>429263621.066986</v>
      </c>
      <c r="U4" t="n">
        <v>23448135.2680177</v>
      </c>
      <c r="V4" t="n">
        <v>17813930.7620335</v>
      </c>
      <c r="W4" t="n">
        <v>370931290.260858</v>
      </c>
      <c r="X4" t="n">
        <v>34734727.3077664</v>
      </c>
      <c r="Y4" t="n">
        <v>84372228.3840815</v>
      </c>
      <c r="Z4" t="n">
        <v>529740145.367996</v>
      </c>
      <c r="AA4" t="n">
        <v>100779890.567328</v>
      </c>
      <c r="AB4" t="n">
        <v>1312934270.49211</v>
      </c>
      <c r="AC4" t="n">
        <v>372613718.627816</v>
      </c>
      <c r="AD4" t="n">
        <v>254396874.734836</v>
      </c>
      <c r="AE4" t="n">
        <v>87581619.6999722</v>
      </c>
      <c r="AF4" t="n">
        <v>940065228.058397</v>
      </c>
      <c r="AG4" t="n">
        <v>34053619.570644</v>
      </c>
      <c r="AH4" t="n">
        <v>35678357.0779024</v>
      </c>
      <c r="AI4" t="n">
        <v>4402861.00908564</v>
      </c>
      <c r="AJ4" t="n">
        <v>264678727.521402</v>
      </c>
      <c r="AK4" t="n">
        <v>46084724.6760895</v>
      </c>
      <c r="AL4" t="n">
        <v>14977460.2277108</v>
      </c>
      <c r="AM4" t="n">
        <v>88153877.0805413</v>
      </c>
      <c r="AN4" t="n">
        <v>23475578.5743492</v>
      </c>
      <c r="AO4" t="n">
        <v>177479724.268734</v>
      </c>
      <c r="AP4" t="n">
        <v>29609869.5578519</v>
      </c>
      <c r="AQ4" t="n">
        <v>493600907.352727</v>
      </c>
      <c r="AR4" t="n">
        <v>95785944.9896035</v>
      </c>
      <c r="AS4" t="n">
        <v>1157395428.79302</v>
      </c>
      <c r="AT4" t="n">
        <v>13395159.6602516</v>
      </c>
      <c r="AU4" t="n">
        <v>1133966253.71993</v>
      </c>
      <c r="AV4" t="n">
        <v>-4410598.29059829</v>
      </c>
      <c r="AW4" t="n">
        <v>8526805388.19059</v>
      </c>
      <c r="AX4" t="n">
        <v>1069937346.96686</v>
      </c>
      <c r="AY4" t="n">
        <v>332416822.429907</v>
      </c>
      <c r="AZ4" t="n">
        <v>306622319.492936</v>
      </c>
      <c r="BA4" t="n">
        <v>134133595.759628</v>
      </c>
      <c r="BB4" t="n">
        <v>705779401.118522</v>
      </c>
      <c r="BC4" t="n">
        <v>137412898.994531</v>
      </c>
      <c r="BD4" t="n">
        <v>420553183.803681</v>
      </c>
      <c r="BE4" t="n">
        <v>83068778.1115807</v>
      </c>
      <c r="BF4" t="n">
        <v>200298421.630981</v>
      </c>
      <c r="BG4" t="n">
        <v>624806710.838868</v>
      </c>
      <c r="BH4" t="n">
        <v>516434705.089033</v>
      </c>
      <c r="BI4" t="n">
        <v>65134606.0728336</v>
      </c>
      <c r="BJ4" t="n">
        <v>71053573.0817405</v>
      </c>
      <c r="BK4" t="n">
        <v>150586563.850002</v>
      </c>
      <c r="BL4" t="n">
        <v>87455243.4088627</v>
      </c>
      <c r="BM4" t="n">
        <v>405214155.731521</v>
      </c>
      <c r="BN4" t="n">
        <v>404676907.760791</v>
      </c>
      <c r="BO4" t="n">
        <v>377377038.236821</v>
      </c>
      <c r="BP4" t="n">
        <v>209114029.163469</v>
      </c>
      <c r="BQ4" t="n">
        <v>571672237.929836</v>
      </c>
      <c r="BR4" t="n">
        <v>46192546.7809628</v>
      </c>
      <c r="BS4" t="n">
        <v>817381772.650188</v>
      </c>
      <c r="BT4" t="n">
        <v>121465901.519832</v>
      </c>
    </row>
    <row r="5">
      <c r="A5" t="s">
        <v>200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201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2.71" hidden="0" customWidth="1"/>
  </cols>
  <sheetData>
    <row r="1">
      <c r="A1" t="s">
        <v>203</v>
      </c>
      <c r="B1" t="s">
        <v>204</v>
      </c>
    </row>
    <row r="2">
      <c r="A2" t="s">
        <v>129</v>
      </c>
      <c r="B2" t="str">
        <f>SUM(INDEX('1_Source_ValueAdded'!$B$2:$BT$7, 0, MATCH($A2, '1_Source_ValueAdded'!$B$1:$BT$1, 0)))</f>
      </c>
    </row>
    <row r="3">
      <c r="A3" t="s">
        <v>130</v>
      </c>
      <c r="B3" t="str">
        <f>SUM(INDEX('1_Source_ValueAdded'!$B$2:$BT$7, 0, MATCH($A3, '1_Source_ValueAdded'!$B$1:$BT$1, 0)))</f>
      </c>
    </row>
    <row r="4">
      <c r="A4" t="s">
        <v>131</v>
      </c>
      <c r="B4" t="str">
        <f>SUM(INDEX('1_Source_ValueAdded'!$B$2:$BT$7, 0, MATCH($A4, '1_Source_ValueAdded'!$B$1:$BT$1, 0)))</f>
      </c>
    </row>
    <row r="5">
      <c r="A5" t="s">
        <v>132</v>
      </c>
      <c r="B5" t="str">
        <f>SUM(INDEX('1_Source_ValueAdded'!$B$2:$BT$7, 0, MATCH($A5, '1_Source_ValueAdded'!$B$1:$BT$1, 0)))</f>
      </c>
    </row>
    <row r="6">
      <c r="A6" t="s">
        <v>133</v>
      </c>
      <c r="B6" t="str">
        <f>SUM(INDEX('1_Source_ValueAdded'!$B$2:$BT$7, 0, MATCH($A6, '1_Source_ValueAdded'!$B$1:$BT$1, 0)))</f>
      </c>
    </row>
    <row r="7">
      <c r="A7" t="s">
        <v>134</v>
      </c>
      <c r="B7" t="str">
        <f>SUM(INDEX('1_Source_ValueAdded'!$B$2:$BT$7, 0, MATCH($A7, '1_Source_ValueAdded'!$B$1:$BT$1, 0)))</f>
      </c>
    </row>
    <row r="8">
      <c r="A8" t="s">
        <v>135</v>
      </c>
      <c r="B8" t="str">
        <f>SUM(INDEX('1_Source_ValueAdded'!$B$2:$BT$7, 0, MATCH($A8, '1_Source_ValueAdded'!$B$1:$BT$1, 0)))</f>
      </c>
    </row>
    <row r="9">
      <c r="A9" t="s">
        <v>136</v>
      </c>
      <c r="B9" t="str">
        <f>SUM(INDEX('1_Source_ValueAdded'!$B$2:$BT$7, 0, MATCH($A9, '1_Source_ValueAdded'!$B$1:$BT$1, 0)))</f>
      </c>
    </row>
    <row r="10">
      <c r="A10" t="s">
        <v>137</v>
      </c>
      <c r="B10" t="str">
        <f>SUM(INDEX('1_Source_ValueAdded'!$B$2:$BT$7, 0, MATCH($A10, '1_Source_ValueAdded'!$B$1:$BT$1, 0)))</f>
      </c>
    </row>
    <row r="11">
      <c r="A11" t="s">
        <v>138</v>
      </c>
      <c r="B11" t="str">
        <f>SUM(INDEX('1_Source_ValueAdded'!$B$2:$BT$7, 0, MATCH($A11, '1_Source_ValueAdded'!$B$1:$BT$1, 0)))</f>
      </c>
    </row>
    <row r="12">
      <c r="A12" t="s">
        <v>139</v>
      </c>
      <c r="B12" t="str">
        <f>SUM(INDEX('1_Source_ValueAdded'!$B$2:$BT$7, 0, MATCH($A12, '1_Source_ValueAdded'!$B$1:$BT$1, 0)))</f>
      </c>
    </row>
    <row r="13">
      <c r="A13" t="s">
        <v>140</v>
      </c>
      <c r="B13" t="str">
        <f>SUM(INDEX('1_Source_ValueAdded'!$B$2:$BT$7, 0, MATCH($A13, '1_Source_ValueAdded'!$B$1:$BT$1, 0)))</f>
      </c>
    </row>
    <row r="14">
      <c r="A14" t="s">
        <v>141</v>
      </c>
      <c r="B14" t="str">
        <f>SUM(INDEX('1_Source_ValueAdded'!$B$2:$BT$7, 0, MATCH($A14, '1_Source_ValueAdded'!$B$1:$BT$1, 0)))</f>
      </c>
    </row>
    <row r="15">
      <c r="A15" t="s">
        <v>142</v>
      </c>
      <c r="B15" t="str">
        <f>SUM(INDEX('1_Source_ValueAdded'!$B$2:$BT$7, 0, MATCH($A15, '1_Source_ValueAdded'!$B$1:$BT$1, 0)))</f>
      </c>
    </row>
    <row r="16">
      <c r="A16" t="s">
        <v>143</v>
      </c>
      <c r="B16" t="str">
        <f>SUM(INDEX('1_Source_ValueAdded'!$B$2:$BT$7, 0, MATCH($A16, '1_Source_ValueAdded'!$B$1:$BT$1, 0)))</f>
      </c>
    </row>
    <row r="17">
      <c r="A17" t="s">
        <v>144</v>
      </c>
      <c r="B17" t="str">
        <f>SUM(INDEX('1_Source_ValueAdded'!$B$2:$BT$7, 0, MATCH($A17, '1_Source_ValueAdded'!$B$1:$BT$1, 0)))</f>
      </c>
    </row>
    <row r="18">
      <c r="A18" t="s">
        <v>145</v>
      </c>
      <c r="B18" t="str">
        <f>SUM(INDEX('1_Source_ValueAdded'!$B$2:$BT$7, 0, MATCH($A18, '1_Source_ValueAdded'!$B$1:$BT$1, 0)))</f>
      </c>
    </row>
    <row r="19">
      <c r="A19" t="s">
        <v>146</v>
      </c>
      <c r="B19" t="str">
        <f>SUM(INDEX('1_Source_ValueAdded'!$B$2:$BT$7, 0, MATCH($A19, '1_Source_ValueAdded'!$B$1:$BT$1, 0)))</f>
      </c>
    </row>
    <row r="20">
      <c r="A20" t="s">
        <v>147</v>
      </c>
      <c r="B20" t="str">
        <f>SUM(INDEX('1_Source_ValueAdded'!$B$2:$BT$7, 0, MATCH($A20, '1_Source_ValueAdded'!$B$1:$BT$1, 0)))</f>
      </c>
    </row>
    <row r="21">
      <c r="A21" t="s">
        <v>148</v>
      </c>
      <c r="B21" t="str">
        <f>SUM(INDEX('1_Source_ValueAdded'!$B$2:$BT$7, 0, MATCH($A21, '1_Source_ValueAdded'!$B$1:$BT$1, 0)))</f>
      </c>
    </row>
    <row r="22">
      <c r="A22" t="s">
        <v>149</v>
      </c>
      <c r="B22" t="str">
        <f>SUM(INDEX('1_Source_ValueAdded'!$B$2:$BT$7, 0, MATCH($A22, '1_Source_ValueAdded'!$B$1:$BT$1, 0)))</f>
      </c>
    </row>
    <row r="23">
      <c r="A23" t="s">
        <v>150</v>
      </c>
      <c r="B23" t="str">
        <f>SUM(INDEX('1_Source_ValueAdded'!$B$2:$BT$7, 0, MATCH($A23, '1_Source_ValueAdded'!$B$1:$BT$1, 0)))</f>
      </c>
    </row>
    <row r="24">
      <c r="A24" t="s">
        <v>151</v>
      </c>
      <c r="B24" t="str">
        <f>SUM(INDEX('1_Source_ValueAdded'!$B$2:$BT$7, 0, MATCH($A24, '1_Source_ValueAdded'!$B$1:$BT$1, 0)))</f>
      </c>
    </row>
    <row r="25">
      <c r="A25" t="s">
        <v>152</v>
      </c>
      <c r="B25" t="str">
        <f>SUM(INDEX('1_Source_ValueAdded'!$B$2:$BT$7, 0, MATCH($A25, '1_Source_ValueAdded'!$B$1:$BT$1, 0)))</f>
      </c>
    </row>
    <row r="26">
      <c r="A26" t="s">
        <v>153</v>
      </c>
      <c r="B26" t="str">
        <f>SUM(INDEX('1_Source_ValueAdded'!$B$2:$BT$7, 0, MATCH($A26, '1_Source_ValueAdded'!$B$1:$BT$1, 0)))</f>
      </c>
    </row>
    <row r="27">
      <c r="A27" t="s">
        <v>154</v>
      </c>
      <c r="B27" t="str">
        <f>SUM(INDEX('1_Source_ValueAdded'!$B$2:$BT$7, 0, MATCH($A27, '1_Source_ValueAdded'!$B$1:$BT$1, 0)))</f>
      </c>
    </row>
    <row r="28">
      <c r="A28" t="s">
        <v>155</v>
      </c>
      <c r="B28" t="str">
        <f>SUM(INDEX('1_Source_ValueAdded'!$B$2:$BT$7, 0, MATCH($A28, '1_Source_ValueAdded'!$B$1:$BT$1, 0)))</f>
      </c>
    </row>
    <row r="29">
      <c r="A29" t="s">
        <v>156</v>
      </c>
      <c r="B29" t="str">
        <f>SUM(INDEX('1_Source_ValueAdded'!$B$2:$BT$7, 0, MATCH($A29, '1_Source_ValueAdded'!$B$1:$BT$1, 0)))</f>
      </c>
    </row>
    <row r="30">
      <c r="A30" t="s">
        <v>157</v>
      </c>
      <c r="B30" t="str">
        <f>SUM(INDEX('1_Source_ValueAdded'!$B$2:$BT$7, 0, MATCH($A30, '1_Source_ValueAdded'!$B$1:$BT$1, 0)))</f>
      </c>
    </row>
    <row r="31">
      <c r="A31" t="s">
        <v>158</v>
      </c>
      <c r="B31" t="str">
        <f>SUM(INDEX('1_Source_ValueAdded'!$B$2:$BT$7, 0, MATCH($A31, '1_Source_ValueAdded'!$B$1:$BT$1, 0)))</f>
      </c>
    </row>
    <row r="32">
      <c r="A32" t="s">
        <v>159</v>
      </c>
      <c r="B32" t="str">
        <f>SUM(INDEX('1_Source_ValueAdded'!$B$2:$BT$7, 0, MATCH($A32, '1_Source_ValueAdded'!$B$1:$BT$1, 0)))</f>
      </c>
    </row>
    <row r="33">
      <c r="A33" t="s">
        <v>160</v>
      </c>
      <c r="B33" t="str">
        <f>SUM(INDEX('1_Source_ValueAdded'!$B$2:$BT$7, 0, MATCH($A33, '1_Source_ValueAdded'!$B$1:$BT$1, 0)))</f>
      </c>
    </row>
    <row r="34">
      <c r="A34" t="s">
        <v>161</v>
      </c>
      <c r="B34" t="str">
        <f>SUM(INDEX('1_Source_ValueAdded'!$B$2:$BT$7, 0, MATCH($A34, '1_Source_ValueAdded'!$B$1:$BT$1, 0)))</f>
      </c>
    </row>
    <row r="35">
      <c r="A35" t="s">
        <v>162</v>
      </c>
      <c r="B35" t="str">
        <f>SUM(INDEX('1_Source_ValueAdded'!$B$2:$BT$7, 0, MATCH($A35, '1_Source_ValueAdded'!$B$1:$BT$1, 0)))</f>
      </c>
    </row>
    <row r="36">
      <c r="A36" t="s">
        <v>163</v>
      </c>
      <c r="B36" t="str">
        <f>SUM(INDEX('1_Source_ValueAdded'!$B$2:$BT$7, 0, MATCH($A36, '1_Source_ValueAdded'!$B$1:$BT$1, 0)))</f>
      </c>
    </row>
    <row r="37">
      <c r="A37" t="s">
        <v>164</v>
      </c>
      <c r="B37" t="str">
        <f>SUM(INDEX('1_Source_ValueAdded'!$B$2:$BT$7, 0, MATCH($A37, '1_Source_ValueAdded'!$B$1:$BT$1, 0)))</f>
      </c>
    </row>
    <row r="38">
      <c r="A38" t="s">
        <v>165</v>
      </c>
      <c r="B38" t="str">
        <f>SUM(INDEX('1_Source_ValueAdded'!$B$2:$BT$7, 0, MATCH($A38, '1_Source_ValueAdded'!$B$1:$BT$1, 0)))</f>
      </c>
    </row>
    <row r="39">
      <c r="A39" t="s">
        <v>166</v>
      </c>
      <c r="B39" t="str">
        <f>SUM(INDEX('1_Source_ValueAdded'!$B$2:$BT$7, 0, MATCH($A39, '1_Source_ValueAdded'!$B$1:$BT$1, 0)))</f>
      </c>
    </row>
    <row r="40">
      <c r="A40" t="s">
        <v>167</v>
      </c>
      <c r="B40" t="str">
        <f>SUM(INDEX('1_Source_ValueAdded'!$B$2:$BT$7, 0, MATCH($A40, '1_Source_ValueAdded'!$B$1:$BT$1, 0)))</f>
      </c>
    </row>
    <row r="41">
      <c r="A41" t="s">
        <v>168</v>
      </c>
      <c r="B41" t="str">
        <f>SUM(INDEX('1_Source_ValueAdded'!$B$2:$BT$7, 0, MATCH($A41, '1_Source_ValueAdded'!$B$1:$BT$1, 0)))</f>
      </c>
    </row>
    <row r="42">
      <c r="A42" t="s">
        <v>169</v>
      </c>
      <c r="B42" t="str">
        <f>SUM(INDEX('1_Source_ValueAdded'!$B$2:$BT$7, 0, MATCH($A42, '1_Source_ValueAdded'!$B$1:$BT$1, 0)))</f>
      </c>
    </row>
    <row r="43">
      <c r="A43" t="s">
        <v>170</v>
      </c>
      <c r="B43" t="str">
        <f>SUM(INDEX('1_Source_ValueAdded'!$B$2:$BT$7, 0, MATCH($A43, '1_Source_ValueAdded'!$B$1:$BT$1, 0)))</f>
      </c>
    </row>
    <row r="44">
      <c r="A44" t="s">
        <v>171</v>
      </c>
      <c r="B44" t="str">
        <f>SUM(INDEX('1_Source_ValueAdded'!$B$2:$BT$7, 0, MATCH($A44, '1_Source_ValueAdded'!$B$1:$BT$1, 0)))</f>
      </c>
    </row>
    <row r="45">
      <c r="A45" t="s">
        <v>172</v>
      </c>
      <c r="B45" t="str">
        <f>SUM(INDEX('1_Source_ValueAdded'!$B$2:$BT$7, 0, MATCH($A45, '1_Source_ValueAdded'!$B$1:$BT$1, 0)))</f>
      </c>
    </row>
    <row r="46">
      <c r="A46" t="s">
        <v>173</v>
      </c>
      <c r="B46" t="str">
        <f>SUM(INDEX('1_Source_ValueAdded'!$B$2:$BT$7, 0, MATCH($A46, '1_Source_ValueAdded'!$B$1:$BT$1, 0)))</f>
      </c>
    </row>
    <row r="47">
      <c r="A47" t="s">
        <v>174</v>
      </c>
      <c r="B47" t="str">
        <f>SUM(INDEX('1_Source_ValueAdded'!$B$2:$BT$7, 0, MATCH($A47, '1_Source_ValueAdded'!$B$1:$BT$1, 0)))</f>
      </c>
    </row>
    <row r="48">
      <c r="A48" t="s">
        <v>175</v>
      </c>
      <c r="B48" t="str">
        <f>SUM(INDEX('1_Source_ValueAdded'!$B$2:$BT$7, 0, MATCH($A48, '1_Source_ValueAdded'!$B$1:$BT$1, 0)))</f>
      </c>
    </row>
    <row r="49">
      <c r="A49" t="s">
        <v>176</v>
      </c>
      <c r="B49" t="str">
        <f>SUM(INDEX('1_Source_ValueAdded'!$B$2:$BT$7, 0, MATCH($A49, '1_Source_ValueAdded'!$B$1:$BT$1, 0)))</f>
      </c>
    </row>
    <row r="50">
      <c r="A50" t="s">
        <v>177</v>
      </c>
      <c r="B50" t="str">
        <f>SUM(INDEX('1_Source_ValueAdded'!$B$2:$BT$7, 0, MATCH($A50, '1_Source_ValueAdded'!$B$1:$BT$1, 0)))</f>
      </c>
    </row>
    <row r="51">
      <c r="A51" t="s">
        <v>178</v>
      </c>
      <c r="B51" t="str">
        <f>SUM(INDEX('1_Source_ValueAdded'!$B$2:$BT$7, 0, MATCH($A51, '1_Source_ValueAdded'!$B$1:$BT$1, 0)))</f>
      </c>
    </row>
    <row r="52">
      <c r="A52" t="s">
        <v>179</v>
      </c>
      <c r="B52" t="str">
        <f>SUM(INDEX('1_Source_ValueAdded'!$B$2:$BT$7, 0, MATCH($A52, '1_Source_ValueAdded'!$B$1:$BT$1, 0)))</f>
      </c>
    </row>
    <row r="53">
      <c r="A53" t="s">
        <v>180</v>
      </c>
      <c r="B53" t="str">
        <f>SUM(INDEX('1_Source_ValueAdded'!$B$2:$BT$7, 0, MATCH($A53, '1_Source_ValueAdded'!$B$1:$BT$1, 0)))</f>
      </c>
    </row>
    <row r="54">
      <c r="A54" t="s">
        <v>181</v>
      </c>
      <c r="B54" t="str">
        <f>SUM(INDEX('1_Source_ValueAdded'!$B$2:$BT$7, 0, MATCH($A54, '1_Source_ValueAdded'!$B$1:$BT$1, 0)))</f>
      </c>
    </row>
    <row r="55">
      <c r="A55" t="s">
        <v>182</v>
      </c>
      <c r="B55" t="str">
        <f>SUM(INDEX('1_Source_ValueAdded'!$B$2:$BT$7, 0, MATCH($A55, '1_Source_ValueAdded'!$B$1:$BT$1, 0)))</f>
      </c>
    </row>
    <row r="56">
      <c r="A56" t="s">
        <v>183</v>
      </c>
      <c r="B56" t="str">
        <f>SUM(INDEX('1_Source_ValueAdded'!$B$2:$BT$7, 0, MATCH($A56, '1_Source_ValueAdded'!$B$1:$BT$1, 0)))</f>
      </c>
    </row>
    <row r="57">
      <c r="A57" t="s">
        <v>184</v>
      </c>
      <c r="B57" t="str">
        <f>SUM(INDEX('1_Source_ValueAdded'!$B$2:$BT$7, 0, MATCH($A57, '1_Source_ValueAdded'!$B$1:$BT$1, 0)))</f>
      </c>
    </row>
    <row r="58">
      <c r="A58" t="s">
        <v>185</v>
      </c>
      <c r="B58" t="str">
        <f>SUM(INDEX('1_Source_ValueAdded'!$B$2:$BT$7, 0, MATCH($A58, '1_Source_ValueAdded'!$B$1:$BT$1, 0)))</f>
      </c>
    </row>
    <row r="59">
      <c r="A59" t="s">
        <v>186</v>
      </c>
      <c r="B59" t="str">
        <f>SUM(INDEX('1_Source_ValueAdded'!$B$2:$BT$7, 0, MATCH($A59, '1_Source_ValueAdded'!$B$1:$BT$1, 0)))</f>
      </c>
    </row>
    <row r="60">
      <c r="A60" t="s">
        <v>187</v>
      </c>
      <c r="B60" t="str">
        <f>SUM(INDEX('1_Source_ValueAdded'!$B$2:$BT$7, 0, MATCH($A60, '1_Source_ValueAdded'!$B$1:$BT$1, 0)))</f>
      </c>
    </row>
    <row r="61">
      <c r="A61" t="s">
        <v>188</v>
      </c>
      <c r="B61" t="str">
        <f>SUM(INDEX('1_Source_ValueAdded'!$B$2:$BT$7, 0, MATCH($A61, '1_Source_ValueAdded'!$B$1:$BT$1, 0)))</f>
      </c>
    </row>
    <row r="62">
      <c r="A62" t="s">
        <v>189</v>
      </c>
      <c r="B62" t="str">
        <f>SUM(INDEX('1_Source_ValueAdded'!$B$2:$BT$7, 0, MATCH($A62, '1_Source_ValueAdded'!$B$1:$BT$1, 0)))</f>
      </c>
    </row>
    <row r="63">
      <c r="A63" t="s">
        <v>190</v>
      </c>
      <c r="B63" t="str">
        <f>SUM(INDEX('1_Source_ValueAdded'!$B$2:$BT$7, 0, MATCH($A63, '1_Source_ValueAdded'!$B$1:$BT$1, 0)))</f>
      </c>
    </row>
    <row r="64">
      <c r="A64" t="s">
        <v>191</v>
      </c>
      <c r="B64" t="str">
        <f>SUM(INDEX('1_Source_ValueAdded'!$B$2:$BT$7, 0, MATCH($A64, '1_Source_ValueAdded'!$B$1:$BT$1, 0)))</f>
      </c>
    </row>
    <row r="65">
      <c r="A65" t="s">
        <v>192</v>
      </c>
      <c r="B65" t="str">
        <f>SUM(INDEX('1_Source_ValueAdded'!$B$2:$BT$7, 0, MATCH($A65, '1_Source_ValueAdded'!$B$1:$BT$1, 0)))</f>
      </c>
    </row>
    <row r="66">
      <c r="A66" t="s">
        <v>193</v>
      </c>
      <c r="B66" t="str">
        <f>SUM(INDEX('1_Source_ValueAdded'!$B$2:$BT$7, 0, MATCH($A66, '1_Source_ValueAdded'!$B$1:$BT$1, 0)))</f>
      </c>
    </row>
    <row r="67">
      <c r="A67" t="s">
        <v>194</v>
      </c>
      <c r="B67" t="str">
        <f>SUM(INDEX('1_Source_ValueAdded'!$B$2:$BT$7, 0, MATCH($A67, '1_Source_ValueAdded'!$B$1:$BT$1, 0)))</f>
      </c>
    </row>
    <row r="68">
      <c r="A68" t="s">
        <v>195</v>
      </c>
      <c r="B68" t="str">
        <f>SUM(INDEX('1_Source_ValueAdded'!$B$2:$BT$7, 0, MATCH($A68, '1_Source_ValueAdded'!$B$1:$BT$1, 0)))</f>
      </c>
    </row>
    <row r="69">
      <c r="A69" t="s">
        <v>196</v>
      </c>
      <c r="B69" t="str">
        <f>SUM(INDEX('1_Source_ValueAdded'!$B$2:$BT$7, 0, MATCH($A69, '1_Source_ValueAdded'!$B$1:$BT$1, 0)))</f>
      </c>
    </row>
    <row r="70">
      <c r="A70" t="s">
        <v>197</v>
      </c>
      <c r="B70" t="str">
        <f>SUM(INDEX('1_Source_ValueAdded'!$B$2:$BT$7, 0, MATCH($A70, '1_Source_ValueAdded'!$B$1:$BT$1, 0)))</f>
      </c>
    </row>
    <row r="71">
      <c r="A71" t="s">
        <v>198</v>
      </c>
      <c r="B71" t="str">
        <f>SUM(INDEX('1_Source_ValueAdded'!$B$2:$BT$7, 0, MATCH($A71, '1_Source_ValueAdded'!$B$1:$BT$1, 0)))</f>
      </c>
    </row>
    <row r="72">
      <c r="A72" t="s">
        <v>199</v>
      </c>
      <c r="B72" t="str">
        <f>SUM(INDEX('1_Source_ValueAdded'!$B$2:$BT$7, 0, MATCH($A72, '1_Source_ValueAdded'!$B$1:$BT$1, 0)))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205</v>
      </c>
    </row>
    <row r="2">
      <c r="A2" t="s">
        <v>206</v>
      </c>
    </row>
    <row r="3">
      <c r="A3" t="s">
        <v>207</v>
      </c>
    </row>
    <row r="4">
      <c r="A4" t="s">
        <v>208</v>
      </c>
    </row>
    <row r="5">
      <c r="A5" t="s">
        <v>209</v>
      </c>
    </row>
    <row r="6">
      <c r="A6" t="s">
        <v>1</v>
      </c>
    </row>
    <row r="8">
      <c r="A8" t="s">
        <v>210</v>
      </c>
      <c r="B8" t="s">
        <v>129</v>
      </c>
      <c r="C8" t="s">
        <v>130</v>
      </c>
      <c r="D8" t="s">
        <v>131</v>
      </c>
      <c r="E8" t="s">
        <v>132</v>
      </c>
      <c r="F8" t="s">
        <v>133</v>
      </c>
      <c r="G8" t="s">
        <v>134</v>
      </c>
      <c r="H8" t="s">
        <v>135</v>
      </c>
      <c r="I8" t="s">
        <v>136</v>
      </c>
      <c r="J8" t="s">
        <v>137</v>
      </c>
      <c r="K8" t="s">
        <v>138</v>
      </c>
      <c r="L8" t="s">
        <v>139</v>
      </c>
      <c r="M8" t="s">
        <v>140</v>
      </c>
      <c r="N8" t="s">
        <v>141</v>
      </c>
      <c r="O8" t="s">
        <v>142</v>
      </c>
      <c r="P8" t="s">
        <v>143</v>
      </c>
      <c r="Q8" t="s">
        <v>144</v>
      </c>
      <c r="R8" t="s">
        <v>145</v>
      </c>
      <c r="S8" t="s">
        <v>146</v>
      </c>
      <c r="T8" t="s">
        <v>147</v>
      </c>
      <c r="U8" t="s">
        <v>148</v>
      </c>
      <c r="V8" t="s">
        <v>149</v>
      </c>
      <c r="W8" t="s">
        <v>150</v>
      </c>
      <c r="X8" t="s">
        <v>151</v>
      </c>
      <c r="Y8" t="s">
        <v>152</v>
      </c>
      <c r="Z8" t="s">
        <v>153</v>
      </c>
      <c r="AA8" t="s">
        <v>154</v>
      </c>
      <c r="AB8" t="s">
        <v>155</v>
      </c>
      <c r="AC8" t="s">
        <v>156</v>
      </c>
      <c r="AD8" t="s">
        <v>157</v>
      </c>
      <c r="AE8" t="s">
        <v>158</v>
      </c>
      <c r="AF8" t="s">
        <v>159</v>
      </c>
      <c r="AG8" t="s">
        <v>160</v>
      </c>
      <c r="AH8" t="s">
        <v>161</v>
      </c>
      <c r="AI8" t="s">
        <v>162</v>
      </c>
      <c r="AJ8" t="s">
        <v>163</v>
      </c>
      <c r="AK8" t="s">
        <v>164</v>
      </c>
      <c r="AL8" t="s">
        <v>165</v>
      </c>
      <c r="AM8" t="s">
        <v>166</v>
      </c>
      <c r="AN8" t="s">
        <v>167</v>
      </c>
      <c r="AO8" t="s">
        <v>168</v>
      </c>
      <c r="AP8" t="s">
        <v>169</v>
      </c>
      <c r="AQ8" t="s">
        <v>170</v>
      </c>
      <c r="AR8" t="s">
        <v>171</v>
      </c>
      <c r="AS8" t="s">
        <v>172</v>
      </c>
      <c r="AT8" t="s">
        <v>173</v>
      </c>
      <c r="AU8" t="s">
        <v>174</v>
      </c>
      <c r="AV8" t="s">
        <v>175</v>
      </c>
      <c r="AW8" t="s">
        <v>176</v>
      </c>
      <c r="AX8" t="s">
        <v>177</v>
      </c>
      <c r="AY8" t="s">
        <v>178</v>
      </c>
      <c r="AZ8" t="s">
        <v>179</v>
      </c>
      <c r="BA8" t="s">
        <v>180</v>
      </c>
      <c r="BB8" t="s">
        <v>181</v>
      </c>
      <c r="BC8" t="s">
        <v>182</v>
      </c>
      <c r="BD8" t="s">
        <v>183</v>
      </c>
      <c r="BE8" t="s">
        <v>184</v>
      </c>
      <c r="BF8" t="s">
        <v>185</v>
      </c>
      <c r="BG8" t="s">
        <v>186</v>
      </c>
      <c r="BH8" t="s">
        <v>187</v>
      </c>
      <c r="BI8" t="s">
        <v>188</v>
      </c>
      <c r="BJ8" t="s">
        <v>189</v>
      </c>
      <c r="BK8" t="s">
        <v>190</v>
      </c>
      <c r="BL8" t="s">
        <v>191</v>
      </c>
      <c r="BM8" t="s">
        <v>192</v>
      </c>
      <c r="BN8" t="s">
        <v>193</v>
      </c>
      <c r="BO8" t="s">
        <v>194</v>
      </c>
      <c r="BP8" t="s">
        <v>195</v>
      </c>
      <c r="BQ8" t="s">
        <v>196</v>
      </c>
      <c r="BR8" t="s">
        <v>197</v>
      </c>
      <c r="BS8" t="s">
        <v>198</v>
      </c>
      <c r="BT8" t="s">
        <v>199</v>
      </c>
      <c r="BU8" t="s">
        <v>211</v>
      </c>
      <c r="BV8" t="s">
        <v>212</v>
      </c>
    </row>
    <row r="9">
      <c r="A9" t="s">
        <v>129</v>
      </c>
      <c r="B9" t="n">
        <v>910791993.714825</v>
      </c>
      <c r="C9" t="n">
        <v>193114081.825991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31300.5954924164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6783136.53438149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130</v>
      </c>
      <c r="B10" t="n">
        <v>6232.07012191467</v>
      </c>
      <c r="C10" t="n">
        <v>682420751.977741</v>
      </c>
      <c r="D10" t="n">
        <v>0</v>
      </c>
      <c r="E10" t="n">
        <v>0</v>
      </c>
      <c r="F10" t="n">
        <v>0</v>
      </c>
      <c r="G10" t="n">
        <v>0</v>
      </c>
      <c r="H10" t="n">
        <v>218276.129037237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132</v>
      </c>
      <c r="B12" t="n">
        <v>0</v>
      </c>
      <c r="C12" t="n">
        <v>0</v>
      </c>
      <c r="D12" t="n">
        <v>0</v>
      </c>
      <c r="E12" t="n">
        <v>69162271.9810163</v>
      </c>
      <c r="F12" t="n">
        <v>2262702.15943819</v>
      </c>
      <c r="G12" t="n">
        <v>0</v>
      </c>
      <c r="H12" t="n">
        <v>4198249.7404407</v>
      </c>
      <c r="I12" t="n">
        <v>0</v>
      </c>
      <c r="J12" t="n">
        <v>91818.4506496252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99696.6171350203</v>
      </c>
      <c r="Z12" t="n">
        <v>332466.852791553</v>
      </c>
      <c r="AA12" t="n">
        <v>0</v>
      </c>
      <c r="AB12" t="n">
        <v>171650.846410995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1053.07267736807</v>
      </c>
      <c r="BB12" t="n">
        <v>34751.3983531463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133</v>
      </c>
      <c r="B13" t="n">
        <v>0</v>
      </c>
      <c r="C13" t="n">
        <v>0</v>
      </c>
      <c r="D13" t="n">
        <v>2254.95057293619</v>
      </c>
      <c r="E13" t="n">
        <v>0</v>
      </c>
      <c r="F13" t="n">
        <v>1107348.74834434</v>
      </c>
      <c r="G13" t="n">
        <v>0</v>
      </c>
      <c r="H13" t="n">
        <v>73704.4665623082</v>
      </c>
      <c r="I13" t="n">
        <v>0</v>
      </c>
      <c r="J13" t="n">
        <v>0</v>
      </c>
      <c r="K13" t="n">
        <v>0</v>
      </c>
      <c r="L13" t="n">
        <v>1454.98142452529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1963.76955177288</v>
      </c>
      <c r="Z13" t="n">
        <v>0</v>
      </c>
      <c r="AA13" t="n">
        <v>0</v>
      </c>
      <c r="AB13" t="n">
        <v>4092.73246588212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449.847749482733</v>
      </c>
      <c r="BB13" t="n">
        <v>2884.317923154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134</v>
      </c>
      <c r="B14" t="n">
        <v>0</v>
      </c>
      <c r="C14" t="n">
        <v>0</v>
      </c>
      <c r="D14" t="n">
        <v>193895.098947527</v>
      </c>
      <c r="E14" t="n">
        <v>0</v>
      </c>
      <c r="F14" t="n">
        <v>0</v>
      </c>
      <c r="G14" t="n">
        <v>1552504456.36109</v>
      </c>
      <c r="H14" t="n">
        <v>8417050.18701291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4609849.55437792</v>
      </c>
      <c r="AC14" t="n">
        <v>0</v>
      </c>
      <c r="AD14" t="n">
        <v>0</v>
      </c>
      <c r="AE14" t="n">
        <v>0</v>
      </c>
      <c r="AF14" t="n">
        <v>2761604.33611165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8924471.91914924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1270091.97195336</v>
      </c>
      <c r="BB14" t="n">
        <v>378259.836683445</v>
      </c>
      <c r="BC14" t="n">
        <v>0</v>
      </c>
      <c r="BD14" t="n">
        <v>0</v>
      </c>
      <c r="BE14" t="n">
        <v>8403.95894231792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13749591.299282</v>
      </c>
      <c r="BU14" t="n">
        <v>0</v>
      </c>
      <c r="BV14" t="n">
        <v>0</v>
      </c>
    </row>
    <row r="15">
      <c r="A15" t="s">
        <v>135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4484103880.64964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934738.535445911</v>
      </c>
      <c r="BB15" t="n">
        <v>59553.9787126204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4916344.06810227</v>
      </c>
      <c r="I16" t="n">
        <v>933804684.172251</v>
      </c>
      <c r="J16" t="n">
        <v>720595.302956891</v>
      </c>
      <c r="K16" t="n">
        <v>0</v>
      </c>
      <c r="L16" t="n">
        <v>834278.506889992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2431930.9951059</v>
      </c>
      <c r="S16" t="n">
        <v>0</v>
      </c>
      <c r="T16" t="n">
        <v>0</v>
      </c>
      <c r="U16" t="n">
        <v>0</v>
      </c>
      <c r="V16" t="n">
        <v>0</v>
      </c>
      <c r="W16" t="n">
        <v>40086.3462633084</v>
      </c>
      <c r="X16" t="n">
        <v>0</v>
      </c>
      <c r="Y16" t="n">
        <v>0</v>
      </c>
      <c r="Z16" t="n">
        <v>65303.7485835202</v>
      </c>
      <c r="AA16" t="n">
        <v>324287.83729264</v>
      </c>
      <c r="AB16" t="n">
        <v>8603602.11917897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152767.753528602</v>
      </c>
      <c r="BB16" t="n">
        <v>736062.812455989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1985980.79587182</v>
      </c>
      <c r="BV16" t="n">
        <v>0</v>
      </c>
    </row>
    <row r="17">
      <c r="A17" t="s">
        <v>137</v>
      </c>
      <c r="B17" t="n">
        <v>0</v>
      </c>
      <c r="C17" t="n">
        <v>0</v>
      </c>
      <c r="D17" t="n">
        <v>0</v>
      </c>
      <c r="E17" t="n">
        <v>1168031.13089389</v>
      </c>
      <c r="F17" t="n">
        <v>0</v>
      </c>
      <c r="G17" t="n">
        <v>0</v>
      </c>
      <c r="H17" t="n">
        <v>1561493.56454503</v>
      </c>
      <c r="I17" t="n">
        <v>27454.0482327957</v>
      </c>
      <c r="J17" t="n">
        <v>278274782.811014</v>
      </c>
      <c r="K17" t="n">
        <v>1201.40450028177</v>
      </c>
      <c r="L17" t="n">
        <v>29828.4030637425</v>
      </c>
      <c r="M17" t="n">
        <v>9604.81197823055</v>
      </c>
      <c r="N17" t="n">
        <v>0</v>
      </c>
      <c r="O17" t="n">
        <v>330460.36306944</v>
      </c>
      <c r="P17" t="n">
        <v>25058.0857827474</v>
      </c>
      <c r="Q17" t="n">
        <v>179.887898113222</v>
      </c>
      <c r="R17" t="n">
        <v>107209.032703184</v>
      </c>
      <c r="S17" t="n">
        <v>8054.52911299212</v>
      </c>
      <c r="T17" t="n">
        <v>0</v>
      </c>
      <c r="U17" t="n">
        <v>20841.5662170976</v>
      </c>
      <c r="V17" t="n">
        <v>13181.8217189097</v>
      </c>
      <c r="W17" t="n">
        <v>21396.7266091551</v>
      </c>
      <c r="X17" t="n">
        <v>0</v>
      </c>
      <c r="Y17" t="n">
        <v>339453.740646585</v>
      </c>
      <c r="Z17" t="n">
        <v>45097.2341231606</v>
      </c>
      <c r="AA17" t="n">
        <v>150655.273231489</v>
      </c>
      <c r="AB17" t="n">
        <v>2254770.79029738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68031.8772934555</v>
      </c>
      <c r="BB17" t="n">
        <v>1401132.71092474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6479.22640890052</v>
      </c>
      <c r="BV17" t="n">
        <v>0</v>
      </c>
    </row>
    <row r="18">
      <c r="A18" t="s">
        <v>138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82817.9623392596</v>
      </c>
      <c r="I18" t="n">
        <v>0</v>
      </c>
      <c r="J18" t="n">
        <v>45118.6898969292</v>
      </c>
      <c r="K18" t="n">
        <v>88568708.8010048</v>
      </c>
      <c r="L18" t="n">
        <v>289880.039562019</v>
      </c>
      <c r="M18" t="n">
        <v>74556.6209229633</v>
      </c>
      <c r="N18" t="n">
        <v>93.9436960977797</v>
      </c>
      <c r="O18" t="n">
        <v>157647.099938903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360.739240643526</v>
      </c>
      <c r="V18" t="n">
        <v>0</v>
      </c>
      <c r="W18" t="n">
        <v>203.410379207358</v>
      </c>
      <c r="X18" t="n">
        <v>0</v>
      </c>
      <c r="Y18" t="n">
        <v>1020562.56799461</v>
      </c>
      <c r="Z18" t="n">
        <v>32700.7482403085</v>
      </c>
      <c r="AA18" t="n">
        <v>0</v>
      </c>
      <c r="AB18" t="n">
        <v>327905.265522109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32319.2048153208</v>
      </c>
      <c r="BB18" t="n">
        <v>158566.098625168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172705.750731871</v>
      </c>
      <c r="BV18" t="n">
        <v>0</v>
      </c>
    </row>
    <row r="19">
      <c r="A19" t="s">
        <v>139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15444766.8041641</v>
      </c>
      <c r="I19" t="n">
        <v>1318022.49079091</v>
      </c>
      <c r="J19" t="n">
        <v>1493356.10922802</v>
      </c>
      <c r="K19" t="n">
        <v>15234312.2478025</v>
      </c>
      <c r="L19" t="n">
        <v>1193347188.85679</v>
      </c>
      <c r="M19" t="n">
        <v>15401144.8943204</v>
      </c>
      <c r="N19" t="n">
        <v>786341.200921502</v>
      </c>
      <c r="O19" t="n">
        <v>2064223.61938528</v>
      </c>
      <c r="P19" t="n">
        <v>3528132.79680055</v>
      </c>
      <c r="Q19" t="n">
        <v>164199.036797645</v>
      </c>
      <c r="R19" t="n">
        <v>211280.695768189</v>
      </c>
      <c r="S19" t="n">
        <v>803978.737408396</v>
      </c>
      <c r="T19" t="n">
        <v>0</v>
      </c>
      <c r="U19" t="n">
        <v>340535.783760335</v>
      </c>
      <c r="V19" t="n">
        <v>0</v>
      </c>
      <c r="W19" t="n">
        <v>3388.83430046091</v>
      </c>
      <c r="X19" t="n">
        <v>396019.661645234</v>
      </c>
      <c r="Y19" t="n">
        <v>39480.5504957373</v>
      </c>
      <c r="Z19" t="n">
        <v>103679.080483579</v>
      </c>
      <c r="AA19" t="n">
        <v>1940893.85895299</v>
      </c>
      <c r="AB19" t="n">
        <v>21740314.6606126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1886917.21136847</v>
      </c>
      <c r="BB19" t="n">
        <v>17040493.0878523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2352822.69565698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19853397.4492442</v>
      </c>
      <c r="BV19" t="n">
        <v>0</v>
      </c>
    </row>
    <row r="20">
      <c r="A20" t="s">
        <v>140</v>
      </c>
      <c r="B20" t="n">
        <v>0</v>
      </c>
      <c r="C20" t="n">
        <v>0</v>
      </c>
      <c r="D20" t="n">
        <v>0</v>
      </c>
      <c r="E20" t="n">
        <v>0</v>
      </c>
      <c r="F20" t="n">
        <v>1363.01870253011</v>
      </c>
      <c r="G20" t="n">
        <v>0</v>
      </c>
      <c r="H20" t="n">
        <v>896866.306264814</v>
      </c>
      <c r="I20" t="n">
        <v>0</v>
      </c>
      <c r="J20" t="n">
        <v>63913.9034925041</v>
      </c>
      <c r="K20" t="n">
        <v>16085.3683173667</v>
      </c>
      <c r="L20" t="n">
        <v>1154523.49575672</v>
      </c>
      <c r="M20" t="n">
        <v>647269893.99515</v>
      </c>
      <c r="N20" t="n">
        <v>190148.303616051</v>
      </c>
      <c r="O20" t="n">
        <v>2672711.30850178</v>
      </c>
      <c r="P20" t="n">
        <v>914835.038303083</v>
      </c>
      <c r="Q20" t="n">
        <v>116779.306772294</v>
      </c>
      <c r="R20" t="n">
        <v>7332.93051586113</v>
      </c>
      <c r="S20" t="n">
        <v>66982.3313558176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70365.0341447932</v>
      </c>
      <c r="AA20" t="n">
        <v>9910.37677539802</v>
      </c>
      <c r="AB20" t="n">
        <v>6900963.69090996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17719.2431328915</v>
      </c>
      <c r="AZ20" t="n">
        <v>0</v>
      </c>
      <c r="BA20" t="n">
        <v>851886.68908132</v>
      </c>
      <c r="BB20" t="n">
        <v>12393929.0621063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422535.797784335</v>
      </c>
      <c r="BV20" t="n">
        <v>0</v>
      </c>
    </row>
    <row r="21">
      <c r="A21" t="s">
        <v>141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103340.715386815</v>
      </c>
      <c r="I21" t="n">
        <v>0</v>
      </c>
      <c r="J21" t="n">
        <v>27149.4446842614</v>
      </c>
      <c r="K21" t="n">
        <v>72566.8222003286</v>
      </c>
      <c r="L21" t="n">
        <v>93864.3500567702</v>
      </c>
      <c r="M21" t="n">
        <v>834934.018725615</v>
      </c>
      <c r="N21" t="n">
        <v>538582484.415085</v>
      </c>
      <c r="O21" t="n">
        <v>813284.842418571</v>
      </c>
      <c r="P21" t="n">
        <v>8323.37865517724</v>
      </c>
      <c r="Q21" t="n">
        <v>356334.454120707</v>
      </c>
      <c r="R21" t="n">
        <v>0</v>
      </c>
      <c r="S21" t="n">
        <v>2395395.05553058</v>
      </c>
      <c r="T21" t="n">
        <v>0</v>
      </c>
      <c r="U21" t="n">
        <v>8854.31073029826</v>
      </c>
      <c r="V21" t="n">
        <v>0</v>
      </c>
      <c r="W21" t="n">
        <v>703.986492720968</v>
      </c>
      <c r="X21" t="n">
        <v>1812.99500678623</v>
      </c>
      <c r="Y21" t="n">
        <v>0</v>
      </c>
      <c r="Z21" t="n">
        <v>174392.300672813</v>
      </c>
      <c r="AA21" t="n">
        <v>104889.943172224</v>
      </c>
      <c r="AB21" t="n">
        <v>4590503.35718274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2121204.15793989</v>
      </c>
      <c r="BB21" t="n">
        <v>96373375.5757358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16864.7321540908</v>
      </c>
      <c r="I22" t="n">
        <v>0</v>
      </c>
      <c r="J22" t="n">
        <v>31730.2028812743</v>
      </c>
      <c r="K22" t="n">
        <v>108143.776364694</v>
      </c>
      <c r="L22" t="n">
        <v>22999.9276774421</v>
      </c>
      <c r="M22" t="n">
        <v>79071.9983267603</v>
      </c>
      <c r="N22" t="n">
        <v>14329.9594537665</v>
      </c>
      <c r="O22" t="n">
        <v>76451171.5867606</v>
      </c>
      <c r="P22" t="n">
        <v>52487.9298411347</v>
      </c>
      <c r="Q22" t="n">
        <v>0</v>
      </c>
      <c r="R22" t="n">
        <v>1203.17859439263</v>
      </c>
      <c r="S22" t="n">
        <v>2148.2005023767</v>
      </c>
      <c r="T22" t="n">
        <v>0</v>
      </c>
      <c r="U22" t="n">
        <v>0</v>
      </c>
      <c r="V22" t="n">
        <v>0</v>
      </c>
      <c r="W22" t="n">
        <v>6373.55355368056</v>
      </c>
      <c r="X22" t="n">
        <v>0</v>
      </c>
      <c r="Y22" t="n">
        <v>2891.8217894322</v>
      </c>
      <c r="Z22" t="n">
        <v>100.970435363925</v>
      </c>
      <c r="AA22" t="n">
        <v>14223.2653744163</v>
      </c>
      <c r="AB22" t="n">
        <v>505129.206446623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37793.2551886854</v>
      </c>
      <c r="BB22" t="n">
        <v>583153.991352295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145212.902401525</v>
      </c>
      <c r="I23" t="n">
        <v>0</v>
      </c>
      <c r="J23" t="n">
        <v>0</v>
      </c>
      <c r="K23" t="n">
        <v>11057.4718464971</v>
      </c>
      <c r="L23" t="n">
        <v>197227.978810798</v>
      </c>
      <c r="M23" t="n">
        <v>409506.512148981</v>
      </c>
      <c r="N23" t="n">
        <v>4456.6334342747</v>
      </c>
      <c r="O23" t="n">
        <v>82450.1128537679</v>
      </c>
      <c r="P23" t="n">
        <v>371593773.139686</v>
      </c>
      <c r="Q23" t="n">
        <v>107631.390947931</v>
      </c>
      <c r="R23" t="n">
        <v>0</v>
      </c>
      <c r="S23" t="n">
        <v>4094.70133086369</v>
      </c>
      <c r="T23" t="n">
        <v>0</v>
      </c>
      <c r="U23" t="n">
        <v>95630.7622857875</v>
      </c>
      <c r="V23" t="n">
        <v>0</v>
      </c>
      <c r="W23" t="n">
        <v>0</v>
      </c>
      <c r="X23" t="n">
        <v>0</v>
      </c>
      <c r="Y23" t="n">
        <v>0</v>
      </c>
      <c r="Z23" t="n">
        <v>1287.37748730865</v>
      </c>
      <c r="AA23" t="n">
        <v>33751.5334051001</v>
      </c>
      <c r="AB23" t="n">
        <v>815608.091969505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73525.5202033037</v>
      </c>
      <c r="BB23" t="n">
        <v>3785251.33475223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97158.7231257942</v>
      </c>
      <c r="BV23" t="n">
        <v>0</v>
      </c>
    </row>
    <row r="24">
      <c r="A24" t="s">
        <v>144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8109471.67590956</v>
      </c>
      <c r="I24" t="n">
        <v>0</v>
      </c>
      <c r="J24" t="n">
        <v>0</v>
      </c>
      <c r="K24" t="n">
        <v>6243.44129882481</v>
      </c>
      <c r="L24" t="n">
        <v>936349.814744137</v>
      </c>
      <c r="M24" t="n">
        <v>3371264.03499291</v>
      </c>
      <c r="N24" t="n">
        <v>2132127.09574605</v>
      </c>
      <c r="O24" t="n">
        <v>6128111.0161724</v>
      </c>
      <c r="P24" t="n">
        <v>14575288.4527959</v>
      </c>
      <c r="Q24" t="n">
        <v>2002774017.70197</v>
      </c>
      <c r="R24" t="n">
        <v>0</v>
      </c>
      <c r="S24" t="n">
        <v>87781.8504388888</v>
      </c>
      <c r="T24" t="n">
        <v>0</v>
      </c>
      <c r="U24" t="n">
        <v>0</v>
      </c>
      <c r="V24" t="n">
        <v>4527.20336219701</v>
      </c>
      <c r="W24" t="n">
        <v>0</v>
      </c>
      <c r="X24" t="n">
        <v>0</v>
      </c>
      <c r="Y24" t="n">
        <v>0</v>
      </c>
      <c r="Z24" t="n">
        <v>93803.4380328799</v>
      </c>
      <c r="AA24" t="n">
        <v>584560.46424216</v>
      </c>
      <c r="AB24" t="n">
        <v>13188414.1442128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5350193.5393544</v>
      </c>
      <c r="BB24" t="n">
        <v>131828020.530876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374139.408346462</v>
      </c>
      <c r="BV24" t="n">
        <v>0</v>
      </c>
    </row>
    <row r="25">
      <c r="A25" t="s">
        <v>145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859574.917702235</v>
      </c>
      <c r="I25" t="n">
        <v>720077.834914138</v>
      </c>
      <c r="J25" t="n">
        <v>74254.945800926</v>
      </c>
      <c r="K25" t="n">
        <v>36730.1775635012</v>
      </c>
      <c r="L25" t="n">
        <v>106973.217409707</v>
      </c>
      <c r="M25" t="n">
        <v>112073.468471879</v>
      </c>
      <c r="N25" t="n">
        <v>6244.35656178399</v>
      </c>
      <c r="O25" t="n">
        <v>108700.75218629</v>
      </c>
      <c r="P25" t="n">
        <v>0</v>
      </c>
      <c r="Q25" t="n">
        <v>0</v>
      </c>
      <c r="R25" t="n">
        <v>181384068.33735</v>
      </c>
      <c r="S25" t="n">
        <v>261431.530527175</v>
      </c>
      <c r="T25" t="n">
        <v>0</v>
      </c>
      <c r="U25" t="n">
        <v>94275.0346740676</v>
      </c>
      <c r="V25" t="n">
        <v>1717.96972218712</v>
      </c>
      <c r="W25" t="n">
        <v>1293.98537652583</v>
      </c>
      <c r="X25" t="n">
        <v>14639.9621019845</v>
      </c>
      <c r="Y25" t="n">
        <v>0</v>
      </c>
      <c r="Z25" t="n">
        <v>9906.09461954713</v>
      </c>
      <c r="AA25" t="n">
        <v>16903.8594498696</v>
      </c>
      <c r="AB25" t="n">
        <v>1796532.49222925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125485.389445582</v>
      </c>
      <c r="BB25" t="n">
        <v>566775.675662545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1108531.51363984</v>
      </c>
      <c r="I26" t="n">
        <v>133142.533645833</v>
      </c>
      <c r="J26" t="n">
        <v>69586.1953903929</v>
      </c>
      <c r="K26" t="n">
        <v>10085.8151536593</v>
      </c>
      <c r="L26" t="n">
        <v>650570.746369139</v>
      </c>
      <c r="M26" t="n">
        <v>294057.181273509</v>
      </c>
      <c r="N26" t="n">
        <v>425669.941310146</v>
      </c>
      <c r="O26" t="n">
        <v>105036.326780555</v>
      </c>
      <c r="P26" t="n">
        <v>15307.943058182</v>
      </c>
      <c r="Q26" t="n">
        <v>11130.2796480085</v>
      </c>
      <c r="R26" t="n">
        <v>359024.848401762</v>
      </c>
      <c r="S26" t="n">
        <v>298691471.044083</v>
      </c>
      <c r="T26" t="n">
        <v>3429.82490734992</v>
      </c>
      <c r="U26" t="n">
        <v>65488.398738574</v>
      </c>
      <c r="V26" t="n">
        <v>473123.595024559</v>
      </c>
      <c r="W26" t="n">
        <v>48867.984553953</v>
      </c>
      <c r="X26" t="n">
        <v>692625.071302622</v>
      </c>
      <c r="Y26" t="n">
        <v>1813.79381040363</v>
      </c>
      <c r="Z26" t="n">
        <v>152837.875193467</v>
      </c>
      <c r="AA26" t="n">
        <v>472988.28904922</v>
      </c>
      <c r="AB26" t="n">
        <v>9295757.53590361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583263.21793905</v>
      </c>
      <c r="BB26" t="n">
        <v>22511971.8151135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500459.793025695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6649.82539334643</v>
      </c>
      <c r="T27" t="n">
        <v>3390560531.17183</v>
      </c>
      <c r="U27" t="n">
        <v>0</v>
      </c>
      <c r="V27" t="n">
        <v>457481.51415405</v>
      </c>
      <c r="W27" t="n">
        <v>55894.8739076383</v>
      </c>
      <c r="X27" t="n">
        <v>0</v>
      </c>
      <c r="Y27" t="n">
        <v>104133.9529502</v>
      </c>
      <c r="Z27" t="n">
        <v>2682216.30129594</v>
      </c>
      <c r="AA27" t="n">
        <v>0</v>
      </c>
      <c r="AB27" t="n">
        <v>33576302.4775421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389562.452525683</v>
      </c>
      <c r="BB27" t="n">
        <v>8200716.15389832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172731.225675726</v>
      </c>
      <c r="I28" t="n">
        <v>0</v>
      </c>
      <c r="J28" t="n">
        <v>8861.67199451314</v>
      </c>
      <c r="K28" t="n">
        <v>0</v>
      </c>
      <c r="L28" t="n">
        <v>151795.944441071</v>
      </c>
      <c r="M28" t="n">
        <v>23839.5070683781</v>
      </c>
      <c r="N28" t="n">
        <v>29319.7382366342</v>
      </c>
      <c r="O28" t="n">
        <v>0</v>
      </c>
      <c r="P28" t="n">
        <v>2210813.2043242</v>
      </c>
      <c r="Q28" t="n">
        <v>0</v>
      </c>
      <c r="R28" t="n">
        <v>128034.280287003</v>
      </c>
      <c r="S28" t="n">
        <v>53656.4826101728</v>
      </c>
      <c r="T28" t="n">
        <v>0</v>
      </c>
      <c r="U28" t="n">
        <v>304949619.152106</v>
      </c>
      <c r="V28" t="n">
        <v>184119.535702383</v>
      </c>
      <c r="W28" t="n">
        <v>3154.52663750982</v>
      </c>
      <c r="X28" t="n">
        <v>612410.709213939</v>
      </c>
      <c r="Y28" t="n">
        <v>0</v>
      </c>
      <c r="Z28" t="n">
        <v>5556797.57779865</v>
      </c>
      <c r="AA28" t="n">
        <v>1321404.49559244</v>
      </c>
      <c r="AB28" t="n">
        <v>2045294.74038758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47108.5160933799</v>
      </c>
      <c r="BB28" t="n">
        <v>1107050.12819443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28739.6073933336</v>
      </c>
      <c r="I29" t="n">
        <v>0</v>
      </c>
      <c r="J29" t="n">
        <v>641212.353393252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212228.568593657</v>
      </c>
      <c r="T29" t="n">
        <v>7481474.64424596</v>
      </c>
      <c r="U29" t="n">
        <v>1715581.49552558</v>
      </c>
      <c r="V29" t="n">
        <v>165152018.131847</v>
      </c>
      <c r="W29" t="n">
        <v>0</v>
      </c>
      <c r="X29" t="n">
        <v>244286.662843336</v>
      </c>
      <c r="Y29" t="n">
        <v>0</v>
      </c>
      <c r="Z29" t="n">
        <v>1279552.25029075</v>
      </c>
      <c r="AA29" t="n">
        <v>20196.1386384894</v>
      </c>
      <c r="AB29" t="n">
        <v>5388676.38625005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258656.466540003</v>
      </c>
      <c r="BB29" t="n">
        <v>3348164.26132337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1635442.99853266</v>
      </c>
      <c r="I30" t="n">
        <v>6202883.08562907</v>
      </c>
      <c r="J30" t="n">
        <v>170456.762829109</v>
      </c>
      <c r="K30" t="n">
        <v>0</v>
      </c>
      <c r="L30" t="n">
        <v>0</v>
      </c>
      <c r="M30" t="n">
        <v>0</v>
      </c>
      <c r="N30" t="n">
        <v>325366.008506291</v>
      </c>
      <c r="O30" t="n">
        <v>0</v>
      </c>
      <c r="P30" t="n">
        <v>0</v>
      </c>
      <c r="Q30" t="n">
        <v>0</v>
      </c>
      <c r="R30" t="n">
        <v>0</v>
      </c>
      <c r="S30" t="n">
        <v>96998.7724908082</v>
      </c>
      <c r="T30" t="n">
        <v>0</v>
      </c>
      <c r="U30" t="n">
        <v>2354713.34263353</v>
      </c>
      <c r="V30" t="n">
        <v>0</v>
      </c>
      <c r="W30" t="n">
        <v>2440890472.06326</v>
      </c>
      <c r="X30" t="n">
        <v>3628639.15299434</v>
      </c>
      <c r="Y30" t="n">
        <v>0</v>
      </c>
      <c r="Z30" t="n">
        <v>164408.484442456</v>
      </c>
      <c r="AA30" t="n">
        <v>3220056.19391888</v>
      </c>
      <c r="AB30" t="n">
        <v>21737763.1888299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936972.551242669</v>
      </c>
      <c r="BB30" t="n">
        <v>13577584.0607347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8313501.90920768</v>
      </c>
      <c r="BV30" t="n">
        <v>0</v>
      </c>
    </row>
    <row r="31">
      <c r="A31" t="s">
        <v>151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42441.7466218815</v>
      </c>
      <c r="I31" t="n">
        <v>41948.6110459102</v>
      </c>
      <c r="J31" t="n">
        <v>0</v>
      </c>
      <c r="K31" t="n">
        <v>0</v>
      </c>
      <c r="L31" t="n">
        <v>138196.083731813</v>
      </c>
      <c r="M31" t="n">
        <v>189574.033539593</v>
      </c>
      <c r="N31" t="n">
        <v>8929.96595586481</v>
      </c>
      <c r="O31" t="n">
        <v>70097.2733785581</v>
      </c>
      <c r="P31" t="n">
        <v>0</v>
      </c>
      <c r="Q31" t="n">
        <v>0</v>
      </c>
      <c r="R31" t="n">
        <v>36307.9808099224</v>
      </c>
      <c r="S31" t="n">
        <v>1469515.12445013</v>
      </c>
      <c r="T31" t="n">
        <v>0</v>
      </c>
      <c r="U31" t="n">
        <v>759782.80586329</v>
      </c>
      <c r="V31" t="n">
        <v>7693.25618560831</v>
      </c>
      <c r="W31" t="n">
        <v>841983.923391065</v>
      </c>
      <c r="X31" t="n">
        <v>152116213.039485</v>
      </c>
      <c r="Y31" t="n">
        <v>0</v>
      </c>
      <c r="Z31" t="n">
        <v>0</v>
      </c>
      <c r="AA31" t="n">
        <v>332345.658918755</v>
      </c>
      <c r="AB31" t="n">
        <v>1727628.74484365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474348.932832793</v>
      </c>
      <c r="BB31" t="n">
        <v>41420648.1296256</v>
      </c>
      <c r="BC31" t="n">
        <v>0</v>
      </c>
      <c r="BD31" t="n">
        <v>699040.532595695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396955.159581126</v>
      </c>
      <c r="BV31" t="n">
        <v>0</v>
      </c>
    </row>
    <row r="32">
      <c r="A32" t="s">
        <v>152</v>
      </c>
      <c r="B32" t="n">
        <v>0</v>
      </c>
      <c r="C32" t="n">
        <v>0</v>
      </c>
      <c r="D32" t="n">
        <v>65.3689784540411</v>
      </c>
      <c r="E32" t="n">
        <v>6899.54134544781</v>
      </c>
      <c r="F32" t="n">
        <v>0</v>
      </c>
      <c r="G32" t="n">
        <v>0</v>
      </c>
      <c r="H32" t="n">
        <v>29536.7599441255</v>
      </c>
      <c r="I32" t="n">
        <v>0</v>
      </c>
      <c r="J32" t="n">
        <v>23813.6753340131</v>
      </c>
      <c r="K32" t="n">
        <v>8518.27388671818</v>
      </c>
      <c r="L32" t="n">
        <v>0</v>
      </c>
      <c r="M32" t="n">
        <v>0</v>
      </c>
      <c r="N32" t="n">
        <v>0</v>
      </c>
      <c r="O32" t="n">
        <v>1252.34643897382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423374403.80213</v>
      </c>
      <c r="Z32" t="n">
        <v>2098782.79589357</v>
      </c>
      <c r="AA32" t="n">
        <v>0</v>
      </c>
      <c r="AB32" t="n">
        <v>1317826.47951425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4763.99353937508</v>
      </c>
      <c r="BB32" t="n">
        <v>74741.7653066402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405878.584526087</v>
      </c>
      <c r="I33" t="n">
        <v>6042.35513095193</v>
      </c>
      <c r="J33" t="n">
        <v>272724.190408474</v>
      </c>
      <c r="K33" t="n">
        <v>7756.47100025614</v>
      </c>
      <c r="L33" t="n">
        <v>53409.0085189313</v>
      </c>
      <c r="M33" t="n">
        <v>391863.798742707</v>
      </c>
      <c r="N33" t="n">
        <v>1134540.65966787</v>
      </c>
      <c r="O33" t="n">
        <v>148628.560463845</v>
      </c>
      <c r="P33" t="n">
        <v>1554.46790864754</v>
      </c>
      <c r="Q33" t="n">
        <v>0</v>
      </c>
      <c r="R33" t="n">
        <v>0</v>
      </c>
      <c r="S33" t="n">
        <v>5306106.1157284</v>
      </c>
      <c r="T33" t="n">
        <v>16713061.9206318</v>
      </c>
      <c r="U33" t="n">
        <v>2460.03309981527</v>
      </c>
      <c r="V33" t="n">
        <v>140165.291385503</v>
      </c>
      <c r="W33" t="n">
        <v>203431.979442264</v>
      </c>
      <c r="X33" t="n">
        <v>0</v>
      </c>
      <c r="Y33" t="n">
        <v>44871400.9564893</v>
      </c>
      <c r="Z33" t="n">
        <v>1486315774.86734</v>
      </c>
      <c r="AA33" t="n">
        <v>2561132.54542316</v>
      </c>
      <c r="AB33" t="n">
        <v>30154991.9434382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1074684.80556907</v>
      </c>
      <c r="BB33" t="n">
        <v>150586060.250179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543118.998305147</v>
      </c>
      <c r="I34" t="n">
        <v>864122.900724598</v>
      </c>
      <c r="J34" t="n">
        <v>158187.548611503</v>
      </c>
      <c r="K34" t="n">
        <v>20585.9298351906</v>
      </c>
      <c r="L34" t="n">
        <v>1001465.3851345</v>
      </c>
      <c r="M34" t="n">
        <v>1288924.77351713</v>
      </c>
      <c r="N34" t="n">
        <v>202857.19118593</v>
      </c>
      <c r="O34" t="n">
        <v>2213958.12649138</v>
      </c>
      <c r="P34" t="n">
        <v>4354499.19424985</v>
      </c>
      <c r="Q34" t="n">
        <v>47758.6980172869</v>
      </c>
      <c r="R34" t="n">
        <v>586028.387961073</v>
      </c>
      <c r="S34" t="n">
        <v>4181004.05733059</v>
      </c>
      <c r="T34" t="n">
        <v>0</v>
      </c>
      <c r="U34" t="n">
        <v>2313197.40357942</v>
      </c>
      <c r="V34" t="n">
        <v>0</v>
      </c>
      <c r="W34" t="n">
        <v>1488062.64241599</v>
      </c>
      <c r="X34" t="n">
        <v>206301.014860095</v>
      </c>
      <c r="Y34" t="n">
        <v>54770.9736417031</v>
      </c>
      <c r="Z34" t="n">
        <v>3339095.08391652</v>
      </c>
      <c r="AA34" t="n">
        <v>754427492.199052</v>
      </c>
      <c r="AB34" t="n">
        <v>8774108.46874361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757840.462751367</v>
      </c>
      <c r="BB34" t="n">
        <v>7170012.82258655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867306.307371009</v>
      </c>
      <c r="BV34" t="n">
        <v>0</v>
      </c>
    </row>
    <row r="35">
      <c r="A35" t="s">
        <v>155</v>
      </c>
      <c r="B35" t="n">
        <v>0</v>
      </c>
      <c r="C35" t="n">
        <v>2096840.78931149</v>
      </c>
      <c r="D35" t="n">
        <v>0</v>
      </c>
      <c r="E35" t="n">
        <v>0</v>
      </c>
      <c r="F35" t="n">
        <v>0</v>
      </c>
      <c r="G35" t="n">
        <v>0</v>
      </c>
      <c r="H35" t="n">
        <v>17905995.4177601</v>
      </c>
      <c r="I35" t="n">
        <v>0</v>
      </c>
      <c r="J35" t="n">
        <v>0</v>
      </c>
      <c r="K35" t="n">
        <v>0</v>
      </c>
      <c r="L35" t="n">
        <v>0</v>
      </c>
      <c r="M35" t="n">
        <v>2905.07872832405</v>
      </c>
      <c r="N35" t="n">
        <v>0</v>
      </c>
      <c r="O35" t="n">
        <v>0</v>
      </c>
      <c r="P35" t="n">
        <v>89652.1147509188</v>
      </c>
      <c r="Q35" t="n">
        <v>0</v>
      </c>
      <c r="R35" t="n">
        <v>0</v>
      </c>
      <c r="S35" t="n">
        <v>9742.70929883223</v>
      </c>
      <c r="T35" t="n">
        <v>2482780.40511469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6097505418.76909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206740.165182605</v>
      </c>
      <c r="AM35" t="n">
        <v>1613721.84489756</v>
      </c>
      <c r="AN35" t="n">
        <v>1013601.08763138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36940447.5704752</v>
      </c>
      <c r="AZ35" t="n">
        <v>0</v>
      </c>
      <c r="BA35" t="n">
        <v>20714215.9948238</v>
      </c>
      <c r="BB35" t="n">
        <v>2457910.85272653</v>
      </c>
      <c r="BC35" t="n">
        <v>0</v>
      </c>
      <c r="BD35" t="n">
        <v>74656.1707603853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228855620.074778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29619.1400718975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1531926607.13527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18358930.3212312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908320.295538191</v>
      </c>
      <c r="AZ36" t="n">
        <v>0</v>
      </c>
      <c r="BA36" t="n">
        <v>399858.390970617</v>
      </c>
      <c r="BB36" t="n">
        <v>19746.093381265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493652.334531625</v>
      </c>
      <c r="BM36" t="n">
        <v>0</v>
      </c>
      <c r="BN36" t="n">
        <v>0</v>
      </c>
      <c r="BO36" t="n">
        <v>280675907.844646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42685874.2711706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1676468359.13708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254974.080114733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34455.9567722613</v>
      </c>
      <c r="AZ37" t="n">
        <v>0</v>
      </c>
      <c r="BA37" t="n">
        <v>68911.9135445225</v>
      </c>
      <c r="BB37" t="n">
        <v>6891.19135445225</v>
      </c>
      <c r="BC37" t="n">
        <v>0</v>
      </c>
      <c r="BD37" t="n">
        <v>13782.3827089045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6891.19135445225</v>
      </c>
      <c r="BM37" t="n">
        <v>0</v>
      </c>
      <c r="BN37" t="n">
        <v>77422534.8672711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7395970.78482647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7055700.81765782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1027607243.57452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4460.7785191957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37278726.0849184</v>
      </c>
      <c r="BO38" t="n">
        <v>8747586.67614276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159</v>
      </c>
      <c r="B39" t="n">
        <v>542733.388542249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17289726.2578187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5645197.60912044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4182114827.70709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1994968.41436369</v>
      </c>
      <c r="AQ39" t="n">
        <v>0</v>
      </c>
      <c r="AR39" t="n">
        <v>0</v>
      </c>
      <c r="AS39" t="n">
        <v>1242896.98831389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4967629.68259213</v>
      </c>
      <c r="AZ39" t="n">
        <v>0</v>
      </c>
      <c r="BA39" t="n">
        <v>7164469.90079025</v>
      </c>
      <c r="BB39" t="n">
        <v>30352019.4471048</v>
      </c>
      <c r="BC39" t="n">
        <v>0</v>
      </c>
      <c r="BD39" t="n">
        <v>427493.231649363</v>
      </c>
      <c r="BE39" t="n">
        <v>0</v>
      </c>
      <c r="BF39" t="n">
        <v>439368.043639623</v>
      </c>
      <c r="BG39" t="n">
        <v>19791.3533171001</v>
      </c>
      <c r="BH39" t="n">
        <v>0</v>
      </c>
      <c r="BI39" t="n">
        <v>0</v>
      </c>
      <c r="BJ39" t="n">
        <v>0</v>
      </c>
      <c r="BK39" t="n">
        <v>0</v>
      </c>
      <c r="BL39" t="n">
        <v>1417060.89750437</v>
      </c>
      <c r="BM39" t="n">
        <v>0</v>
      </c>
      <c r="BN39" t="n">
        <v>78666671.1648096</v>
      </c>
      <c r="BO39" t="n">
        <v>54885381.0189821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160</v>
      </c>
      <c r="B40" t="n">
        <v>0</v>
      </c>
      <c r="C40" t="n">
        <v>3426019.84897295</v>
      </c>
      <c r="D40" t="n">
        <v>0</v>
      </c>
      <c r="E40" t="n">
        <v>0</v>
      </c>
      <c r="F40" t="n">
        <v>0</v>
      </c>
      <c r="G40" t="n">
        <v>0</v>
      </c>
      <c r="H40" t="n">
        <v>22709.039511812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184005153.789801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980617.615282793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379172.144576013</v>
      </c>
      <c r="AZ40" t="n">
        <v>0</v>
      </c>
      <c r="BA40" t="n">
        <v>167909.261844913</v>
      </c>
      <c r="BB40" t="n">
        <v>1268953.60181156</v>
      </c>
      <c r="BC40" t="n">
        <v>0</v>
      </c>
      <c r="BD40" t="n">
        <v>0</v>
      </c>
      <c r="BE40" t="n">
        <v>0</v>
      </c>
      <c r="BF40" t="n">
        <v>0</v>
      </c>
      <c r="BG40" t="n">
        <v>51611.4534359365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256623.21915732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128807850.863898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845619.88481358</v>
      </c>
      <c r="AZ41" t="n">
        <v>0</v>
      </c>
      <c r="BA41" t="n">
        <v>160775.992725068</v>
      </c>
      <c r="BB41" t="n">
        <v>1097605.33494998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670.14627231136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38708318.8349765</v>
      </c>
      <c r="AJ42" t="n">
        <v>0</v>
      </c>
      <c r="AK42" t="n">
        <v>0</v>
      </c>
      <c r="AL42" t="n">
        <v>0</v>
      </c>
      <c r="AM42" t="n">
        <v>1810065.08151298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10722.3403569818</v>
      </c>
      <c r="BB42" t="n">
        <v>51601.2629679747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219137.831045815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149344.108157888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1222452950.71535</v>
      </c>
      <c r="AK43" t="n">
        <v>0</v>
      </c>
      <c r="AL43" t="n">
        <v>0</v>
      </c>
      <c r="AM43" t="n">
        <v>67156149.5053461</v>
      </c>
      <c r="AN43" t="n">
        <v>21109465.0270128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1107094.36699652</v>
      </c>
      <c r="AZ43" t="n">
        <v>0</v>
      </c>
      <c r="BA43" t="n">
        <v>363620.437253989</v>
      </c>
      <c r="BB43" t="n">
        <v>1863554.7409267</v>
      </c>
      <c r="BC43" t="n">
        <v>0</v>
      </c>
      <c r="BD43" t="n">
        <v>0</v>
      </c>
      <c r="BE43" t="n">
        <v>7754636.86656781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241229347.025913</v>
      </c>
      <c r="AL44" t="n">
        <v>0</v>
      </c>
      <c r="AM44" t="n">
        <v>26457.5971731449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4409.59952885748</v>
      </c>
      <c r="BB44" t="n">
        <v>277804.770318021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113649.798247192</v>
      </c>
      <c r="H45" t="n">
        <v>74070.2665193143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34377084.9931892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19224.3439821121</v>
      </c>
      <c r="BB45" t="n">
        <v>242000.565421882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245902.800441627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29599.4111642699</v>
      </c>
      <c r="AE46" t="n">
        <v>0</v>
      </c>
      <c r="AF46" t="n">
        <v>0</v>
      </c>
      <c r="AG46" t="n">
        <v>72860.0890197413</v>
      </c>
      <c r="AH46" t="n">
        <v>0</v>
      </c>
      <c r="AI46" t="n">
        <v>844721.657072625</v>
      </c>
      <c r="AJ46" t="n">
        <v>1357019.15799268</v>
      </c>
      <c r="AK46" t="n">
        <v>1199914.59104386</v>
      </c>
      <c r="AL46" t="n">
        <v>0</v>
      </c>
      <c r="AM46" t="n">
        <v>577700815.204183</v>
      </c>
      <c r="AN46" t="n">
        <v>2984986.77202753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6830.63334560074</v>
      </c>
      <c r="AZ46" t="n">
        <v>0</v>
      </c>
      <c r="BA46" t="n">
        <v>774138.445834751</v>
      </c>
      <c r="BB46" t="n">
        <v>14690415.4486053</v>
      </c>
      <c r="BC46" t="n">
        <v>0</v>
      </c>
      <c r="BD46" t="n">
        <v>11384.3889093346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93351.9890565435</v>
      </c>
      <c r="BO46" t="n">
        <v>2249555.24848451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207474.444595884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1065241.9244923</v>
      </c>
      <c r="AK47" t="n">
        <v>0</v>
      </c>
      <c r="AL47" t="n">
        <v>0</v>
      </c>
      <c r="AM47" t="n">
        <v>5242600.51792286</v>
      </c>
      <c r="AN47" t="n">
        <v>407281624.642224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610036.799781927</v>
      </c>
      <c r="BB47" t="n">
        <v>3427973.28608423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1669.61752900669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119922.093822567</v>
      </c>
      <c r="Y48" t="n">
        <v>0</v>
      </c>
      <c r="Z48" t="n">
        <v>0</v>
      </c>
      <c r="AA48" t="n">
        <v>0</v>
      </c>
      <c r="AB48" t="n">
        <v>115929.530166247</v>
      </c>
      <c r="AC48" t="n">
        <v>0</v>
      </c>
      <c r="AD48" t="n">
        <v>0</v>
      </c>
      <c r="AE48" t="n">
        <v>0</v>
      </c>
      <c r="AF48" t="n">
        <v>179737.956600894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483303074.310266</v>
      </c>
      <c r="AP48" t="n">
        <v>0</v>
      </c>
      <c r="AQ48" t="n">
        <v>0</v>
      </c>
      <c r="AR48" t="n">
        <v>2830292.07993225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1015635.60210142</v>
      </c>
      <c r="BB48" t="n">
        <v>3329580.31317173</v>
      </c>
      <c r="BC48" t="n">
        <v>0</v>
      </c>
      <c r="BD48" t="n">
        <v>12703.6116337465</v>
      </c>
      <c r="BE48" t="n">
        <v>68.3651785279336</v>
      </c>
      <c r="BF48" t="n">
        <v>25479.8153339716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72.5920664785516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54336.1336909166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2597.39523379626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3438.99580322257</v>
      </c>
      <c r="AC49" t="n">
        <v>0</v>
      </c>
      <c r="AD49" t="n">
        <v>0</v>
      </c>
      <c r="AE49" t="n">
        <v>0</v>
      </c>
      <c r="AF49" t="n">
        <v>251046.693635247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112543201.05794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99730.8782934544</v>
      </c>
      <c r="AY49" t="n">
        <v>44019.1462812489</v>
      </c>
      <c r="AZ49" t="n">
        <v>0</v>
      </c>
      <c r="BA49" t="n">
        <v>320514.408860343</v>
      </c>
      <c r="BB49" t="n">
        <v>1395544.49694772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38516.7529960928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1653976.82073653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200829.796099839</v>
      </c>
      <c r="AC50" t="n">
        <v>0</v>
      </c>
      <c r="AD50" t="n">
        <v>0</v>
      </c>
      <c r="AE50" t="n">
        <v>0</v>
      </c>
      <c r="AF50" t="n">
        <v>13980622.8056359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1778778.19402714</v>
      </c>
      <c r="AQ50" t="n">
        <v>1085206755.20218</v>
      </c>
      <c r="AR50" t="n">
        <v>10041.4898049919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15888505.8685844</v>
      </c>
      <c r="AZ50" t="n">
        <v>0</v>
      </c>
      <c r="BA50" t="n">
        <v>4102665.83461099</v>
      </c>
      <c r="BB50" t="n">
        <v>158520696.055777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1081611.90185199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447842.815433696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187536.460425438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1964362.64152112</v>
      </c>
      <c r="AC51" t="n">
        <v>0</v>
      </c>
      <c r="AD51" t="n">
        <v>0</v>
      </c>
      <c r="AE51" t="n">
        <v>0</v>
      </c>
      <c r="AF51" t="n">
        <v>93324.2969899952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63275031.7899099</v>
      </c>
      <c r="AP51" t="n">
        <v>0</v>
      </c>
      <c r="AQ51" t="n">
        <v>1382223.88651645</v>
      </c>
      <c r="AR51" t="n">
        <v>148760067.503235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13088.1636022554</v>
      </c>
      <c r="AZ51" t="n">
        <v>0</v>
      </c>
      <c r="BA51" t="n">
        <v>9464449.43620488</v>
      </c>
      <c r="BB51" t="n">
        <v>103081238.430181</v>
      </c>
      <c r="BC51" t="n">
        <v>0</v>
      </c>
      <c r="BD51" t="n">
        <v>34712.086075547</v>
      </c>
      <c r="BE51" t="n">
        <v>0</v>
      </c>
      <c r="BF51" t="n">
        <v>63733.6662370699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53490.7555918265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10777.622691325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2732803648.07476</v>
      </c>
      <c r="AT52" t="n">
        <v>78145847.7291245</v>
      </c>
      <c r="AU52" t="n">
        <v>0</v>
      </c>
      <c r="AV52" t="n">
        <v>0</v>
      </c>
      <c r="AW52" t="n">
        <v>0</v>
      </c>
      <c r="AX52" t="n">
        <v>0</v>
      </c>
      <c r="AY52" t="n">
        <v>192941001.420099</v>
      </c>
      <c r="AZ52" t="n">
        <v>0</v>
      </c>
      <c r="BA52" t="n">
        <v>6792596.70120756</v>
      </c>
      <c r="BB52" t="n">
        <v>6776430.26717057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1088.77181665054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27543749.4176253</v>
      </c>
      <c r="AT53" t="n">
        <v>627988341.038598</v>
      </c>
      <c r="AU53" t="n">
        <v>4124267.64147224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1139944.09203311</v>
      </c>
      <c r="BB53" t="n">
        <v>1168252.15926603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18996.7643178539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5623042.23808475</v>
      </c>
      <c r="AU54" t="n">
        <v>4277972541.20625</v>
      </c>
      <c r="AV54" t="n">
        <v>0</v>
      </c>
      <c r="AW54" t="n">
        <v>0</v>
      </c>
      <c r="AX54" t="n">
        <v>0</v>
      </c>
      <c r="AY54" t="n">
        <v>0</v>
      </c>
      <c r="AZ54" t="n">
        <v>322944.993403516</v>
      </c>
      <c r="BA54" t="n">
        <v>9091851.40252488</v>
      </c>
      <c r="BB54" t="n">
        <v>10262052.0845047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352697094.017094</v>
      </c>
      <c r="AW55" t="n">
        <v>0</v>
      </c>
      <c r="AX55" t="n">
        <v>0</v>
      </c>
      <c r="AY55" t="n">
        <v>0</v>
      </c>
      <c r="AZ55" t="n">
        <v>0</v>
      </c>
      <c r="BA55" t="n">
        <v>11965.811965812</v>
      </c>
      <c r="BB55" t="n">
        <v>11965.811965812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96616802.4203175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11112063894.7413</v>
      </c>
      <c r="AX56" t="n">
        <v>0</v>
      </c>
      <c r="AY56" t="n">
        <v>0</v>
      </c>
      <c r="AZ56" t="n">
        <v>0</v>
      </c>
      <c r="BA56" t="n">
        <v>505185.895008196</v>
      </c>
      <c r="BB56" t="n">
        <v>626430.509810163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750624.17052574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3626453.02385248</v>
      </c>
      <c r="AT57" t="n">
        <v>0</v>
      </c>
      <c r="AU57" t="n">
        <v>917168.908361139</v>
      </c>
      <c r="AV57" t="n">
        <v>0</v>
      </c>
      <c r="AW57" t="n">
        <v>0</v>
      </c>
      <c r="AX57" t="n">
        <v>3359934529.30519</v>
      </c>
      <c r="AY57" t="n">
        <v>0</v>
      </c>
      <c r="AZ57" t="n">
        <v>0</v>
      </c>
      <c r="BA57" t="n">
        <v>713092.961999453</v>
      </c>
      <c r="BB57" t="n">
        <v>1360506.3090779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159507.63623672</v>
      </c>
      <c r="BN57" t="n">
        <v>0</v>
      </c>
      <c r="BO57" t="n">
        <v>525436.919368018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147663.551401869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1014953.27102804</v>
      </c>
      <c r="AD58" t="n">
        <v>0</v>
      </c>
      <c r="AE58" t="n">
        <v>5758878.5046729</v>
      </c>
      <c r="AF58" t="n">
        <v>521495.327102804</v>
      </c>
      <c r="AG58" t="n">
        <v>0</v>
      </c>
      <c r="AH58" t="n">
        <v>0</v>
      </c>
      <c r="AI58" t="n">
        <v>0</v>
      </c>
      <c r="AJ58" t="n">
        <v>2396261.68224299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143925.23364486</v>
      </c>
      <c r="AT58" t="n">
        <v>157009.345794393</v>
      </c>
      <c r="AU58" t="n">
        <v>1276635.51401869</v>
      </c>
      <c r="AV58" t="n">
        <v>0</v>
      </c>
      <c r="AW58" t="n">
        <v>0</v>
      </c>
      <c r="AX58" t="n">
        <v>2166355.14018692</v>
      </c>
      <c r="AY58" t="n">
        <v>736811214.953271</v>
      </c>
      <c r="AZ58" t="n">
        <v>0</v>
      </c>
      <c r="BA58" t="n">
        <v>315887.85046729</v>
      </c>
      <c r="BB58" t="n">
        <v>396261.682242991</v>
      </c>
      <c r="BC58" t="n">
        <v>0</v>
      </c>
      <c r="BD58" t="n">
        <v>0</v>
      </c>
      <c r="BE58" t="n">
        <v>0</v>
      </c>
      <c r="BF58" t="n">
        <v>5607.47663551402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2300934.57943925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4772.85182032184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883798517.272636</v>
      </c>
      <c r="BA59" t="n">
        <v>861499.753568093</v>
      </c>
      <c r="BB59" t="n">
        <v>646721.42165361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17791.6198949645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276758.531699448</v>
      </c>
      <c r="AC60" t="n">
        <v>0</v>
      </c>
      <c r="AD60" t="n">
        <v>0</v>
      </c>
      <c r="AE60" t="n">
        <v>0</v>
      </c>
      <c r="AF60" t="n">
        <v>2951432.05590911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133083066.165451</v>
      </c>
      <c r="AP60" t="n">
        <v>0</v>
      </c>
      <c r="AQ60" t="n">
        <v>326179.698074349</v>
      </c>
      <c r="AR60" t="n">
        <v>40173477.7228299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258966.911804483</v>
      </c>
      <c r="AZ60" t="n">
        <v>0</v>
      </c>
      <c r="BA60" t="n">
        <v>934228076.451311</v>
      </c>
      <c r="BB60" t="n">
        <v>26873253.4280164</v>
      </c>
      <c r="BC60" t="n">
        <v>0</v>
      </c>
      <c r="BD60" t="n">
        <v>11139530.9009028</v>
      </c>
      <c r="BE60" t="n">
        <v>0</v>
      </c>
      <c r="BF60" t="n">
        <v>753178.575553497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8263219.01788351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1568496.09126974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19484.423494034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1575802.75008</v>
      </c>
      <c r="AF61" t="n">
        <v>5005061.28503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149043661.964677</v>
      </c>
      <c r="AS61" t="n">
        <v>0</v>
      </c>
      <c r="AT61" t="n">
        <v>1200727.59781985</v>
      </c>
      <c r="AU61" t="n">
        <v>0</v>
      </c>
      <c r="AV61" t="n">
        <v>0</v>
      </c>
      <c r="AW61" t="n">
        <v>0</v>
      </c>
      <c r="AX61" t="n">
        <v>0</v>
      </c>
      <c r="AY61" t="n">
        <v>94986.564533416</v>
      </c>
      <c r="AZ61" t="n">
        <v>0</v>
      </c>
      <c r="BA61" t="n">
        <v>31447859.5193709</v>
      </c>
      <c r="BB61" t="n">
        <v>3632880502.67439</v>
      </c>
      <c r="BC61" t="n">
        <v>0</v>
      </c>
      <c r="BD61" t="n">
        <v>3541293.97004069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4812652.60302641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309813.058764935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44955315.8177631</v>
      </c>
      <c r="BB62" t="n">
        <v>22789272.2063602</v>
      </c>
      <c r="BC62" t="n">
        <v>2207691831.98465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4100420.99782115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4780419.64016444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3741451.7574425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414419.773445269</v>
      </c>
      <c r="AV63" t="n">
        <v>0</v>
      </c>
      <c r="AW63" t="n">
        <v>0</v>
      </c>
      <c r="AX63" t="n">
        <v>782144.361150226</v>
      </c>
      <c r="AY63" t="n">
        <v>697509.33699591</v>
      </c>
      <c r="AZ63" t="n">
        <v>0</v>
      </c>
      <c r="BA63" t="n">
        <v>36153747.5594366</v>
      </c>
      <c r="BB63" t="n">
        <v>134263251.248941</v>
      </c>
      <c r="BC63" t="n">
        <v>0</v>
      </c>
      <c r="BD63" t="n">
        <v>2980647096.17559</v>
      </c>
      <c r="BE63" t="n">
        <v>692489.121792823</v>
      </c>
      <c r="BF63" t="n">
        <v>75879.676828007</v>
      </c>
      <c r="BG63" t="n">
        <v>0</v>
      </c>
      <c r="BH63" t="n">
        <v>0</v>
      </c>
      <c r="BI63" t="n">
        <v>0</v>
      </c>
      <c r="BJ63" t="n">
        <v>110901.066133241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184</v>
      </c>
      <c r="B64" t="n">
        <v>0</v>
      </c>
      <c r="C64" t="n">
        <v>0</v>
      </c>
      <c r="D64" t="n">
        <v>960873.059459801</v>
      </c>
      <c r="E64" t="n">
        <v>0</v>
      </c>
      <c r="F64" t="n">
        <v>0</v>
      </c>
      <c r="G64" t="n">
        <v>0</v>
      </c>
      <c r="H64" t="n">
        <v>9753.02477543086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551045.899811843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2389491.06998056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765612.444871322</v>
      </c>
      <c r="AZ64" t="n">
        <v>0</v>
      </c>
      <c r="BA64" t="n">
        <v>107283.272529739</v>
      </c>
      <c r="BB64" t="n">
        <v>760735.932483607</v>
      </c>
      <c r="BC64" t="n">
        <v>0</v>
      </c>
      <c r="BD64" t="n">
        <v>0</v>
      </c>
      <c r="BE64" t="n">
        <v>509187016.961372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4642439.79310509</v>
      </c>
      <c r="BV64" t="n">
        <v>0</v>
      </c>
    </row>
    <row r="65">
      <c r="A65" t="s">
        <v>185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3011131.83044188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3355753.49916198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504009.190503147</v>
      </c>
      <c r="AV65" t="n">
        <v>0</v>
      </c>
      <c r="AW65" t="n">
        <v>0</v>
      </c>
      <c r="AX65" t="n">
        <v>284312.876694083</v>
      </c>
      <c r="AY65" t="n">
        <v>0</v>
      </c>
      <c r="AZ65" t="n">
        <v>0</v>
      </c>
      <c r="BA65" t="n">
        <v>21435467.7943902</v>
      </c>
      <c r="BB65" t="n">
        <v>142694909.704417</v>
      </c>
      <c r="BC65" t="n">
        <v>0</v>
      </c>
      <c r="BD65" t="n">
        <v>0</v>
      </c>
      <c r="BE65" t="n">
        <v>0</v>
      </c>
      <c r="BF65" t="n">
        <v>1292908498.99548</v>
      </c>
      <c r="BG65" t="n">
        <v>0</v>
      </c>
      <c r="BH65" t="n">
        <v>0</v>
      </c>
      <c r="BI65" t="n">
        <v>0</v>
      </c>
      <c r="BJ65" t="n">
        <v>0</v>
      </c>
      <c r="BK65" t="n">
        <v>7430904.73177716</v>
      </c>
      <c r="BL65" t="n">
        <v>0</v>
      </c>
      <c r="BM65" t="n">
        <v>122659467.439202</v>
      </c>
      <c r="BN65" t="n">
        <v>56078561.0424783</v>
      </c>
      <c r="BO65" t="n">
        <v>202465.230373059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1886530.07406991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36815577.912538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1807453.96318076</v>
      </c>
      <c r="AZ66" t="n">
        <v>0</v>
      </c>
      <c r="BA66" t="n">
        <v>3204465.25555588</v>
      </c>
      <c r="BB66" t="n">
        <v>1547632.45597352</v>
      </c>
      <c r="BC66" t="n">
        <v>0</v>
      </c>
      <c r="BD66" t="n">
        <v>0</v>
      </c>
      <c r="BE66" t="n">
        <v>0</v>
      </c>
      <c r="BF66" t="n">
        <v>0</v>
      </c>
      <c r="BG66" t="n">
        <v>4331190635.38278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203338.570857835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8072462.9123077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11452370.793109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1001923.91213246</v>
      </c>
      <c r="AZ67" t="n">
        <v>0</v>
      </c>
      <c r="BA67" t="n">
        <v>17704883.3080621</v>
      </c>
      <c r="BB67" t="n">
        <v>50616181.4344384</v>
      </c>
      <c r="BC67" t="n">
        <v>0</v>
      </c>
      <c r="BD67" t="n">
        <v>0</v>
      </c>
      <c r="BE67" t="n">
        <v>0</v>
      </c>
      <c r="BF67" t="n">
        <v>0</v>
      </c>
      <c r="BG67" t="n">
        <v>24483722.941414</v>
      </c>
      <c r="BH67" t="n">
        <v>5779756619.40065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11864554.6810116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287673.383435892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173942.045798446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1110553.06163624</v>
      </c>
      <c r="AY68" t="n">
        <v>0</v>
      </c>
      <c r="AZ68" t="n">
        <v>0</v>
      </c>
      <c r="BA68" t="n">
        <v>214082.51790578</v>
      </c>
      <c r="BB68" t="n">
        <v>140491.652375668</v>
      </c>
      <c r="BC68" t="n">
        <v>0</v>
      </c>
      <c r="BD68" t="n">
        <v>0</v>
      </c>
      <c r="BE68" t="n">
        <v>0</v>
      </c>
      <c r="BF68" t="n">
        <v>0</v>
      </c>
      <c r="BG68" t="n">
        <v>990131.645314234</v>
      </c>
      <c r="BH68" t="n">
        <v>0</v>
      </c>
      <c r="BI68" t="n">
        <v>1736262740.84535</v>
      </c>
      <c r="BJ68" t="n">
        <v>4341861.06627661</v>
      </c>
      <c r="BK68" t="n">
        <v>0</v>
      </c>
      <c r="BL68" t="n">
        <v>0</v>
      </c>
      <c r="BM68" t="n">
        <v>0</v>
      </c>
      <c r="BN68" t="n">
        <v>4281650.35811561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870904.127865817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1153809.29042096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687847.846212493</v>
      </c>
      <c r="BB69" t="n">
        <v>122037.521102216</v>
      </c>
      <c r="BC69" t="n">
        <v>0</v>
      </c>
      <c r="BD69" t="n">
        <v>0</v>
      </c>
      <c r="BE69" t="n">
        <v>0</v>
      </c>
      <c r="BF69" t="n">
        <v>0</v>
      </c>
      <c r="BG69" t="n">
        <v>1270299.65147307</v>
      </c>
      <c r="BH69" t="n">
        <v>0</v>
      </c>
      <c r="BI69" t="n">
        <v>10539604.0951914</v>
      </c>
      <c r="BJ69" t="n">
        <v>1360224663.04525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1417692.10513206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3211130.24788448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2489605.64803678</v>
      </c>
      <c r="AY70" t="n">
        <v>3732103.28164032</v>
      </c>
      <c r="AZ70" t="n">
        <v>0</v>
      </c>
      <c r="BA70" t="n">
        <v>327337.03890854</v>
      </c>
      <c r="BB70" t="n">
        <v>19995221.6583991</v>
      </c>
      <c r="BC70" t="n">
        <v>0</v>
      </c>
      <c r="BD70" t="n">
        <v>0</v>
      </c>
      <c r="BE70" t="n">
        <v>0</v>
      </c>
      <c r="BF70" t="n">
        <v>721524.599847697</v>
      </c>
      <c r="BG70" t="n">
        <v>0</v>
      </c>
      <c r="BH70" t="n">
        <v>0</v>
      </c>
      <c r="BI70" t="n">
        <v>0</v>
      </c>
      <c r="BJ70" t="n">
        <v>0</v>
      </c>
      <c r="BK70" t="n">
        <v>469124690.945064</v>
      </c>
      <c r="BL70" t="n">
        <v>4974600.91524386</v>
      </c>
      <c r="BM70" t="n">
        <v>18441.523318791</v>
      </c>
      <c r="BN70" t="n">
        <v>10380272.4380645</v>
      </c>
      <c r="BO70" t="n">
        <v>852920.453494082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2355947.29160413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371991.677621704</v>
      </c>
      <c r="AD71" t="n">
        <v>0</v>
      </c>
      <c r="AE71" t="n">
        <v>0</v>
      </c>
      <c r="AF71" t="n">
        <v>11333346.4448746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264527.415197656</v>
      </c>
      <c r="AY71" t="n">
        <v>1016777.25216599</v>
      </c>
      <c r="AZ71" t="n">
        <v>0</v>
      </c>
      <c r="BA71" t="n">
        <v>264527.415197656</v>
      </c>
      <c r="BB71" t="n">
        <v>343058.991584461</v>
      </c>
      <c r="BC71" t="n">
        <v>0</v>
      </c>
      <c r="BD71" t="n">
        <v>0</v>
      </c>
      <c r="BE71" t="n">
        <v>0</v>
      </c>
      <c r="BF71" t="n">
        <v>12478254.163777</v>
      </c>
      <c r="BG71" t="n">
        <v>0</v>
      </c>
      <c r="BH71" t="n">
        <v>0</v>
      </c>
      <c r="BI71" t="n">
        <v>0</v>
      </c>
      <c r="BJ71" t="n">
        <v>2591542.02076454</v>
      </c>
      <c r="BK71" t="n">
        <v>57865.3720744874</v>
      </c>
      <c r="BL71" t="n">
        <v>621263300.796009</v>
      </c>
      <c r="BM71" t="n">
        <v>843181.13594253</v>
      </c>
      <c r="BN71" t="n">
        <v>44093413.5207594</v>
      </c>
      <c r="BO71" t="n">
        <v>14974731.6447048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10473213.2135214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57671.8789290828</v>
      </c>
      <c r="AD72" t="n">
        <v>1632114.17369304</v>
      </c>
      <c r="AE72" t="n">
        <v>2404917.35134275</v>
      </c>
      <c r="AF72" t="n">
        <v>4186978.41025141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911215.687079508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6482319.19162891</v>
      </c>
      <c r="AY72" t="n">
        <v>6101684.79069696</v>
      </c>
      <c r="AZ72" t="n">
        <v>0</v>
      </c>
      <c r="BA72" t="n">
        <v>311428.146217047</v>
      </c>
      <c r="BB72" t="n">
        <v>23068.7515716331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6101684.79069696</v>
      </c>
      <c r="BL72" t="n">
        <v>191459103.668769</v>
      </c>
      <c r="BM72" t="n">
        <v>1249213267.91918</v>
      </c>
      <c r="BN72" t="n">
        <v>276340575.076593</v>
      </c>
      <c r="BO72" t="n">
        <v>11811200.8046762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3546767.52716338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143218.641239376</v>
      </c>
      <c r="AC73" t="n">
        <v>0</v>
      </c>
      <c r="AD73" t="n">
        <v>2506326.22168909</v>
      </c>
      <c r="AE73" t="n">
        <v>0</v>
      </c>
      <c r="AF73" t="n">
        <v>6739700.76420595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12636.9389328862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5627650.13811197</v>
      </c>
      <c r="BM73" t="n">
        <v>75821.6335973169</v>
      </c>
      <c r="BN73" t="n">
        <v>3810382497.92934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33698.5038210297</v>
      </c>
      <c r="BV73" t="n">
        <v>0</v>
      </c>
    </row>
    <row r="74">
      <c r="A74" t="s">
        <v>194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1635311.51122495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1671651.76702995</v>
      </c>
      <c r="AC74" t="n">
        <v>6300078.89273936</v>
      </c>
      <c r="AD74" t="n">
        <v>0</v>
      </c>
      <c r="AE74" t="n">
        <v>482334.304320895</v>
      </c>
      <c r="AF74" t="n">
        <v>15292640.3746673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2497566.67168902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4730840.57388713</v>
      </c>
      <c r="AY74" t="n">
        <v>1311552.8685986</v>
      </c>
      <c r="AZ74" t="n">
        <v>0</v>
      </c>
      <c r="BA74" t="n">
        <v>3719920.73058443</v>
      </c>
      <c r="BB74" t="n">
        <v>3726528.04982171</v>
      </c>
      <c r="BC74" t="n">
        <v>0</v>
      </c>
      <c r="BD74" t="n">
        <v>0</v>
      </c>
      <c r="BE74" t="n">
        <v>0</v>
      </c>
      <c r="BF74" t="n">
        <v>33036.5961863626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11007793.849296</v>
      </c>
      <c r="BO74" t="n">
        <v>2513734781.86262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3791.2546445915</v>
      </c>
      <c r="I75" t="n">
        <v>0</v>
      </c>
      <c r="J75" t="n">
        <v>0</v>
      </c>
      <c r="K75" t="n">
        <v>0</v>
      </c>
      <c r="L75" t="n">
        <v>0</v>
      </c>
      <c r="M75" t="n">
        <v>2106.69293868868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2085.53945933759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55605.0681206753</v>
      </c>
      <c r="AQ75" t="n">
        <v>0</v>
      </c>
      <c r="AR75" t="n">
        <v>18956.2732229575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2337940.36416476</v>
      </c>
      <c r="BB75" t="n">
        <v>29509862.401952</v>
      </c>
      <c r="BC75" t="n">
        <v>0</v>
      </c>
      <c r="BD75" t="n">
        <v>0</v>
      </c>
      <c r="BE75" t="n">
        <v>0</v>
      </c>
      <c r="BF75" t="n">
        <v>308355.377760109</v>
      </c>
      <c r="BG75" t="n">
        <v>0</v>
      </c>
      <c r="BH75" t="n">
        <v>1963869.9058984</v>
      </c>
      <c r="BI75" t="n">
        <v>0</v>
      </c>
      <c r="BJ75" t="n">
        <v>0</v>
      </c>
      <c r="BK75" t="n">
        <v>27802.5340603377</v>
      </c>
      <c r="BL75" t="n">
        <v>0</v>
      </c>
      <c r="BM75" t="n">
        <v>0</v>
      </c>
      <c r="BN75" t="n">
        <v>0</v>
      </c>
      <c r="BO75" t="n">
        <v>0</v>
      </c>
      <c r="BP75" t="n">
        <v>853355815.429426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196</v>
      </c>
      <c r="B76" t="n">
        <v>0</v>
      </c>
      <c r="C76" t="n">
        <v>2233558.08584552</v>
      </c>
      <c r="D76" t="n">
        <v>0</v>
      </c>
      <c r="E76" t="n">
        <v>0</v>
      </c>
      <c r="F76" t="n">
        <v>0</v>
      </c>
      <c r="G76" t="n">
        <v>179706.800470779</v>
      </c>
      <c r="H76" t="n">
        <v>1681871.33773934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147691.789123215</v>
      </c>
      <c r="T76" t="n">
        <v>0</v>
      </c>
      <c r="U76" t="n">
        <v>0</v>
      </c>
      <c r="V76" t="n">
        <v>0</v>
      </c>
      <c r="W76" t="n">
        <v>0</v>
      </c>
      <c r="X76" t="n">
        <v>27647.2000724276</v>
      </c>
      <c r="Y76" t="n">
        <v>0</v>
      </c>
      <c r="Z76" t="n">
        <v>12759.3831016178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2647589.20216026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276472.000724276</v>
      </c>
      <c r="AW76" t="n">
        <v>0</v>
      </c>
      <c r="AX76" t="n">
        <v>0</v>
      </c>
      <c r="AY76" t="n">
        <v>0</v>
      </c>
      <c r="AZ76" t="n">
        <v>0</v>
      </c>
      <c r="BA76" t="n">
        <v>9377008.69123168</v>
      </c>
      <c r="BB76" t="n">
        <v>94475090.5141637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4612474.54541666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1898376561.50652</v>
      </c>
      <c r="BR76" t="n">
        <v>1543635.33737721</v>
      </c>
      <c r="BS76" t="n">
        <v>0</v>
      </c>
      <c r="BT76" t="n">
        <v>0</v>
      </c>
      <c r="BU76" t="n">
        <v>0</v>
      </c>
      <c r="BV76" t="n">
        <v>20067259.3859037</v>
      </c>
    </row>
    <row r="77">
      <c r="A77" t="s">
        <v>197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78412725.662603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12585280.529172</v>
      </c>
      <c r="AF77" t="n">
        <v>270651.194175741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76120.6483619272</v>
      </c>
      <c r="AQ77" t="n">
        <v>0</v>
      </c>
      <c r="AR77" t="n">
        <v>0</v>
      </c>
      <c r="AS77" t="n">
        <v>0</v>
      </c>
      <c r="AT77" t="n">
        <v>0</v>
      </c>
      <c r="AU77" t="n">
        <v>11489988.977742</v>
      </c>
      <c r="AV77" t="n">
        <v>0</v>
      </c>
      <c r="AW77" t="n">
        <v>0</v>
      </c>
      <c r="AX77" t="n">
        <v>3556525.8484656</v>
      </c>
      <c r="AY77" t="n">
        <v>0</v>
      </c>
      <c r="AZ77" t="n">
        <v>0</v>
      </c>
      <c r="BA77" t="n">
        <v>2473921.07176263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6453339.41112783</v>
      </c>
      <c r="BO77" t="n">
        <v>0</v>
      </c>
      <c r="BP77" t="n">
        <v>0</v>
      </c>
      <c r="BQ77" t="n">
        <v>0</v>
      </c>
      <c r="BR77" t="n">
        <v>302934806.931016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198</v>
      </c>
      <c r="B78" t="n">
        <v>1514302.15628329</v>
      </c>
      <c r="C78" t="n">
        <v>93608055.7878816</v>
      </c>
      <c r="D78" t="n">
        <v>0</v>
      </c>
      <c r="E78" t="n">
        <v>3570765.32786647</v>
      </c>
      <c r="F78" t="n">
        <v>0</v>
      </c>
      <c r="G78" t="n">
        <v>4604942.56842437</v>
      </c>
      <c r="H78" t="n">
        <v>79126781.492339</v>
      </c>
      <c r="I78" t="n">
        <v>638433.054659366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3553382.97209818</v>
      </c>
      <c r="T78" t="n">
        <v>8536106.88938093</v>
      </c>
      <c r="U78" t="n">
        <v>0</v>
      </c>
      <c r="V78" t="n">
        <v>2255006.89440966</v>
      </c>
      <c r="W78" t="n">
        <v>1139025.09800209</v>
      </c>
      <c r="X78" t="n">
        <v>6606936.9051216</v>
      </c>
      <c r="Y78" t="n">
        <v>0</v>
      </c>
      <c r="Z78" t="n">
        <v>217496.005703208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8101439.30769875</v>
      </c>
      <c r="AP78" t="n">
        <v>3555.9402072775</v>
      </c>
      <c r="AQ78" t="n">
        <v>0</v>
      </c>
      <c r="AR78" t="n">
        <v>9056979.7079358</v>
      </c>
      <c r="AS78" t="n">
        <v>0</v>
      </c>
      <c r="AT78" t="n">
        <v>0</v>
      </c>
      <c r="AU78" t="n">
        <v>0</v>
      </c>
      <c r="AV78" t="n">
        <v>118377249.500268</v>
      </c>
      <c r="AW78" t="n">
        <v>0</v>
      </c>
      <c r="AX78" t="n">
        <v>0</v>
      </c>
      <c r="AY78" t="n">
        <v>0</v>
      </c>
      <c r="AZ78" t="n">
        <v>0</v>
      </c>
      <c r="BA78" t="n">
        <v>17559232.7435363</v>
      </c>
      <c r="BB78" t="n">
        <v>210913481.514251</v>
      </c>
      <c r="BC78" t="n">
        <v>0</v>
      </c>
      <c r="BD78" t="n">
        <v>34542403.1734937</v>
      </c>
      <c r="BE78" t="n">
        <v>30555158.1578093</v>
      </c>
      <c r="BF78" t="n">
        <v>360671903.343742</v>
      </c>
      <c r="BG78" t="n">
        <v>130716362.019521</v>
      </c>
      <c r="BH78" t="n">
        <v>819779343.505341</v>
      </c>
      <c r="BI78" t="n">
        <v>0</v>
      </c>
      <c r="BJ78" t="n">
        <v>14216648.9486955</v>
      </c>
      <c r="BK78" t="n">
        <v>12139979.8676454</v>
      </c>
      <c r="BL78" t="n">
        <v>10077534.5474244</v>
      </c>
      <c r="BM78" t="n">
        <v>40210571.863894</v>
      </c>
      <c r="BN78" t="n">
        <v>72171362.4469042</v>
      </c>
      <c r="BO78" t="n">
        <v>4380918.33536588</v>
      </c>
      <c r="BP78" t="n">
        <v>0</v>
      </c>
      <c r="BQ78" t="n">
        <v>0</v>
      </c>
      <c r="BR78" t="n">
        <v>0</v>
      </c>
      <c r="BS78" t="n">
        <v>6844523494.13064</v>
      </c>
      <c r="BT78" t="n">
        <v>0</v>
      </c>
      <c r="BU78" t="n">
        <v>15820377.9821776</v>
      </c>
      <c r="BV78" t="n">
        <v>0</v>
      </c>
    </row>
    <row r="79">
      <c r="A79" t="s">
        <v>199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314449886.118356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12293602.0306864</v>
      </c>
      <c r="AE79" t="n">
        <v>0</v>
      </c>
      <c r="AF79" t="n">
        <v>0</v>
      </c>
      <c r="AG79" t="n">
        <v>0</v>
      </c>
      <c r="AH79" t="n">
        <v>281240.115780001</v>
      </c>
      <c r="AI79" t="n">
        <v>980079.191354549</v>
      </c>
      <c r="AJ79" t="n">
        <v>0</v>
      </c>
      <c r="AK79" t="n">
        <v>37025687.3638247</v>
      </c>
      <c r="AL79" t="n">
        <v>0</v>
      </c>
      <c r="AM79" t="n">
        <v>33834038.1711092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44742.7456922729</v>
      </c>
      <c r="AT79" t="n">
        <v>0</v>
      </c>
      <c r="AU79" t="n">
        <v>928944.624849094</v>
      </c>
      <c r="AV79" t="n">
        <v>0</v>
      </c>
      <c r="AW79" t="n">
        <v>18176207.7857514</v>
      </c>
      <c r="AX79" t="n">
        <v>61640589.3153879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210930.086835001</v>
      </c>
      <c r="BL79" t="n">
        <v>93003123.4387335</v>
      </c>
      <c r="BM79" t="n">
        <v>0</v>
      </c>
      <c r="BN79" t="n">
        <v>0</v>
      </c>
      <c r="BO79" t="n">
        <v>7065092.60550366</v>
      </c>
      <c r="BP79" t="n">
        <v>0</v>
      </c>
      <c r="BQ79" t="n">
        <v>0</v>
      </c>
      <c r="BR79" t="n">
        <v>0</v>
      </c>
      <c r="BS79" t="n">
        <v>0</v>
      </c>
      <c r="BT79" t="n">
        <v>234807798.78611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213</v>
      </c>
    </row>
    <row r="2">
      <c r="A2" t="s">
        <v>214</v>
      </c>
    </row>
    <row r="3">
      <c r="A3" t="s">
        <v>215</v>
      </c>
    </row>
    <row r="4">
      <c r="A4" t="s">
        <v>87</v>
      </c>
    </row>
    <row r="5">
      <c r="A5" t="s">
        <v>1</v>
      </c>
    </row>
    <row r="6">
      <c r="A6" t="s">
        <v>216</v>
      </c>
    </row>
    <row r="7">
      <c r="A7" t="s">
        <v>1</v>
      </c>
    </row>
    <row r="9">
      <c r="A9" t="s">
        <v>217</v>
      </c>
      <c r="B9" t="s">
        <v>218</v>
      </c>
      <c r="C9" t="s">
        <v>219</v>
      </c>
      <c r="D9" t="s">
        <v>220</v>
      </c>
      <c r="E9" t="s">
        <v>221</v>
      </c>
    </row>
    <row r="10">
      <c r="A10" t="s">
        <v>222</v>
      </c>
      <c r="B10" t="n">
        <v>12031000</v>
      </c>
      <c r="C10" t="s">
        <v>223</v>
      </c>
      <c r="D10" t="n">
        <v>600000000</v>
      </c>
      <c r="E10" t="s">
        <v>224</v>
      </c>
    </row>
    <row r="11">
      <c r="A11" t="s">
        <v>225</v>
      </c>
      <c r="B11" t="n">
        <v>1000000</v>
      </c>
      <c r="C11" t="s">
        <v>223</v>
      </c>
      <c r="D11" t="n">
        <v>40000000</v>
      </c>
      <c r="E11" t="s">
        <v>226</v>
      </c>
    </row>
    <row r="12">
      <c r="A12" t="s">
        <v>227</v>
      </c>
      <c r="B12" t="n">
        <v>4220000</v>
      </c>
      <c r="C12" t="s">
        <v>223</v>
      </c>
      <c r="D12" t="n">
        <v>125000000</v>
      </c>
      <c r="E12" t="s">
        <v>228</v>
      </c>
    </row>
    <row r="13">
      <c r="A13" t="s">
        <v>229</v>
      </c>
      <c r="B13" t="n">
        <v>0</v>
      </c>
      <c r="C13" t="s">
        <v>223</v>
      </c>
      <c r="D13" t="n">
        <v>0</v>
      </c>
      <c r="E13"/>
    </row>
    <row r="14">
      <c r="A14" t="s">
        <v>230</v>
      </c>
      <c r="B14" t="n">
        <v>0</v>
      </c>
      <c r="C14" t="s">
        <v>223</v>
      </c>
      <c r="D14" t="n">
        <v>0</v>
      </c>
      <c r="E14"/>
    </row>
    <row r="15">
      <c r="A15" t="s">
        <v>231</v>
      </c>
      <c r="B15" t="n">
        <v>10710000</v>
      </c>
      <c r="C15" t="s">
        <v>223</v>
      </c>
      <c r="D15" t="n">
        <v>330000000</v>
      </c>
      <c r="E15" t="s">
        <v>232</v>
      </c>
    </row>
    <row r="16">
      <c r="A16" t="s">
        <v>233</v>
      </c>
      <c r="B16" t="n">
        <v>0</v>
      </c>
      <c r="C16" t="s">
        <v>223</v>
      </c>
      <c r="D16" t="n">
        <v>0</v>
      </c>
      <c r="E16"/>
    </row>
    <row r="17">
      <c r="A17" t="s">
        <v>234</v>
      </c>
      <c r="B17" t="n">
        <v>0</v>
      </c>
      <c r="C17" t="s">
        <v>223</v>
      </c>
      <c r="D17" t="n">
        <v>0</v>
      </c>
      <c r="E17"/>
    </row>
    <row r="18">
      <c r="A18" t="s">
        <v>235</v>
      </c>
      <c r="B18" t="n">
        <v>0</v>
      </c>
      <c r="C18" t="s">
        <v>223</v>
      </c>
      <c r="D18" t="n">
        <v>0</v>
      </c>
      <c r="E18"/>
    </row>
    <row r="19">
      <c r="A19" t="s">
        <v>236</v>
      </c>
      <c r="B19" t="n">
        <v>0</v>
      </c>
      <c r="C19" t="s">
        <v>223</v>
      </c>
      <c r="D19" t="n">
        <v>0</v>
      </c>
      <c r="E19"/>
    </row>
    <row r="20">
      <c r="A20" t="s">
        <v>237</v>
      </c>
      <c r="B20" t="n">
        <v>0</v>
      </c>
      <c r="C20" t="s">
        <v>223</v>
      </c>
      <c r="D20" t="n">
        <v>0</v>
      </c>
      <c r="E20"/>
    </row>
    <row r="21">
      <c r="A21" t="s">
        <v>238</v>
      </c>
      <c r="B21" t="n">
        <v>0</v>
      </c>
      <c r="C21" t="s">
        <v>223</v>
      </c>
      <c r="D21" t="n">
        <v>0</v>
      </c>
      <c r="E21"/>
    </row>
    <row r="22">
      <c r="A22" t="s">
        <v>239</v>
      </c>
      <c r="B22" t="n">
        <v>0</v>
      </c>
      <c r="C22" t="s">
        <v>223</v>
      </c>
      <c r="D22" t="n">
        <v>0</v>
      </c>
      <c r="E22"/>
    </row>
    <row r="23">
      <c r="A23" t="s">
        <v>240</v>
      </c>
      <c r="B23" t="n">
        <v>45919000</v>
      </c>
      <c r="C23" t="s">
        <v>223</v>
      </c>
      <c r="D23" t="n">
        <v>1950000000</v>
      </c>
      <c r="E23" t="s">
        <v>241</v>
      </c>
    </row>
    <row r="24">
      <c r="A24" t="s">
        <v>242</v>
      </c>
      <c r="B24" t="n">
        <v>28820000</v>
      </c>
      <c r="C24" t="s">
        <v>223</v>
      </c>
      <c r="D24" t="n">
        <v>1210000000</v>
      </c>
      <c r="E24" t="s">
        <v>241</v>
      </c>
    </row>
    <row r="25">
      <c r="A25" t="s">
        <v>243</v>
      </c>
      <c r="B25" t="n">
        <v>0</v>
      </c>
      <c r="C25" t="s">
        <v>223</v>
      </c>
      <c r="D25" t="n">
        <v>0</v>
      </c>
      <c r="E25"/>
    </row>
    <row r="26">
      <c r="A26" t="s">
        <v>244</v>
      </c>
      <c r="B26" t="n">
        <v>0</v>
      </c>
      <c r="C26" t="s">
        <v>223</v>
      </c>
      <c r="D26" t="n">
        <v>0</v>
      </c>
      <c r="E26"/>
    </row>
    <row r="27">
      <c r="A27" t="s">
        <v>245</v>
      </c>
      <c r="B27" t="n">
        <v>36140000</v>
      </c>
      <c r="C27" t="s">
        <v>223</v>
      </c>
      <c r="D27" t="n">
        <v>1730000000</v>
      </c>
      <c r="E27" t="s">
        <v>246</v>
      </c>
    </row>
    <row r="28">
      <c r="A28" t="s">
        <v>247</v>
      </c>
      <c r="B28" t="n">
        <v>2720000</v>
      </c>
      <c r="C28" t="s">
        <v>223</v>
      </c>
      <c r="D28" t="n">
        <v>60000000</v>
      </c>
      <c r="E28" t="s">
        <v>248</v>
      </c>
    </row>
    <row r="29">
      <c r="A29" t="s">
        <v>249</v>
      </c>
      <c r="B29" t="n">
        <v>0</v>
      </c>
      <c r="C29" t="s">
        <v>223</v>
      </c>
      <c r="D29" t="n">
        <v>0</v>
      </c>
      <c r="E29"/>
    </row>
    <row r="30">
      <c r="A30" t="s">
        <v>250</v>
      </c>
      <c r="B30" t="n">
        <v>1320000</v>
      </c>
      <c r="C30" t="s">
        <v>223</v>
      </c>
      <c r="D30" t="n">
        <v>70000000</v>
      </c>
      <c r="E30" t="s">
        <v>251</v>
      </c>
    </row>
    <row r="31">
      <c r="A31" t="s">
        <v>252</v>
      </c>
      <c r="B31" t="n">
        <v>0</v>
      </c>
      <c r="C31" t="s">
        <v>223</v>
      </c>
      <c r="D31" t="n">
        <v>0</v>
      </c>
      <c r="E31"/>
    </row>
    <row r="32">
      <c r="A32" t="s">
        <v>253</v>
      </c>
      <c r="B32" t="n">
        <v>0</v>
      </c>
      <c r="C32" t="s">
        <v>223</v>
      </c>
      <c r="D32" t="n">
        <v>0</v>
      </c>
      <c r="E32"/>
    </row>
    <row r="33">
      <c r="A33" t="s">
        <v>254</v>
      </c>
      <c r="B33" t="n">
        <v>0</v>
      </c>
      <c r="C33" t="s">
        <v>223</v>
      </c>
      <c r="D33" t="n">
        <v>0</v>
      </c>
      <c r="E33"/>
    </row>
    <row r="34">
      <c r="A34" t="s">
        <v>255</v>
      </c>
      <c r="B34" t="n">
        <v>2800000</v>
      </c>
      <c r="C34" t="s">
        <v>223</v>
      </c>
      <c r="D34" t="n">
        <v>65000000</v>
      </c>
      <c r="E34" t="s">
        <v>256</v>
      </c>
    </row>
    <row r="35">
      <c r="A35" t="s">
        <v>257</v>
      </c>
      <c r="B35" t="n">
        <v>264000</v>
      </c>
      <c r="C35" t="s">
        <v>223</v>
      </c>
      <c r="D35" t="n">
        <v>12000000</v>
      </c>
      <c r="E35"/>
    </row>
    <row r="36">
      <c r="A36" t="s">
        <v>258</v>
      </c>
      <c r="B36" t="n">
        <v>38660000</v>
      </c>
      <c r="C36" t="s">
        <v>223</v>
      </c>
      <c r="D36" t="n">
        <v>590000000</v>
      </c>
      <c r="E36" t="s">
        <v>259</v>
      </c>
    </row>
    <row r="37">
      <c r="A37" t="s">
        <v>260</v>
      </c>
      <c r="B37" t="n">
        <v>0</v>
      </c>
      <c r="C37" t="s">
        <v>223</v>
      </c>
      <c r="D37" t="n">
        <v>0</v>
      </c>
      <c r="E37"/>
    </row>
    <row r="38">
      <c r="A38" t="s">
        <v>261</v>
      </c>
      <c r="B38" t="n">
        <v>0</v>
      </c>
      <c r="C38" t="s">
        <v>223</v>
      </c>
      <c r="D38" t="n">
        <v>0</v>
      </c>
      <c r="E38"/>
    </row>
    <row r="39">
      <c r="A39" t="s">
        <v>262</v>
      </c>
      <c r="B39" t="n">
        <v>0</v>
      </c>
      <c r="C39" t="s">
        <v>223</v>
      </c>
      <c r="D39" t="n">
        <v>0</v>
      </c>
      <c r="E39"/>
    </row>
    <row r="40">
      <c r="A40" t="s">
        <v>263</v>
      </c>
      <c r="B40" t="n">
        <v>0</v>
      </c>
      <c r="C40" t="s">
        <v>223</v>
      </c>
      <c r="D40" t="n">
        <v>0</v>
      </c>
      <c r="E40"/>
    </row>
    <row r="41">
      <c r="A41" t="s">
        <v>264</v>
      </c>
      <c r="B41" t="n">
        <v>10720000</v>
      </c>
      <c r="C41" t="s">
        <v>223</v>
      </c>
      <c r="D41" t="n">
        <v>260000000</v>
      </c>
      <c r="E41" t="s">
        <v>265</v>
      </c>
    </row>
    <row r="42">
      <c r="A42" t="s">
        <v>266</v>
      </c>
      <c r="B42" t="n">
        <v>0</v>
      </c>
      <c r="C42" t="s">
        <v>223</v>
      </c>
      <c r="D42" t="n">
        <v>0</v>
      </c>
      <c r="E42"/>
    </row>
    <row r="43">
      <c r="A43" t="s">
        <v>267</v>
      </c>
      <c r="B43" t="n">
        <v>0</v>
      </c>
      <c r="C43" t="s">
        <v>223</v>
      </c>
      <c r="D43" t="n">
        <v>0</v>
      </c>
      <c r="E43"/>
    </row>
    <row r="44">
      <c r="A44" t="s">
        <v>268</v>
      </c>
      <c r="B44" t="n">
        <v>27870000</v>
      </c>
      <c r="C44" t="s">
        <v>223</v>
      </c>
      <c r="D44" t="n">
        <v>560000000</v>
      </c>
      <c r="E44" t="s">
        <v>269</v>
      </c>
    </row>
    <row r="45">
      <c r="A45" t="s">
        <v>270</v>
      </c>
      <c r="B45" t="n">
        <v>8220000</v>
      </c>
      <c r="C45" t="s">
        <v>223</v>
      </c>
      <c r="D45" t="n">
        <v>430000000</v>
      </c>
      <c r="E45" t="s">
        <v>271</v>
      </c>
    </row>
    <row r="46">
      <c r="A46" t="s">
        <v>272</v>
      </c>
      <c r="B46" t="n">
        <v>930000</v>
      </c>
      <c r="C46" t="s">
        <v>223</v>
      </c>
      <c r="D46" t="n">
        <v>40000000</v>
      </c>
      <c r="E46"/>
    </row>
    <row r="47">
      <c r="A47" t="s">
        <v>273</v>
      </c>
      <c r="B47" t="n">
        <v>0</v>
      </c>
      <c r="C47" t="s">
        <v>223</v>
      </c>
      <c r="D47" t="n">
        <v>0</v>
      </c>
      <c r="E47"/>
    </row>
    <row r="48">
      <c r="A48" t="s">
        <v>274</v>
      </c>
      <c r="B48" t="n">
        <v>50110000</v>
      </c>
      <c r="C48" t="s">
        <v>223</v>
      </c>
      <c r="D48" t="n">
        <v>3000000000</v>
      </c>
      <c r="E48" t="s">
        <v>275</v>
      </c>
    </row>
    <row r="49">
      <c r="A49" t="s">
        <v>276</v>
      </c>
      <c r="B49" t="n">
        <v>0</v>
      </c>
      <c r="C49" t="s">
        <v>223</v>
      </c>
      <c r="D49" t="n">
        <v>0</v>
      </c>
      <c r="E49"/>
    </row>
    <row r="50">
      <c r="A50" t="s">
        <v>277</v>
      </c>
      <c r="B50" t="n">
        <v>0</v>
      </c>
      <c r="C50" t="s">
        <v>223</v>
      </c>
      <c r="D50" t="n">
        <v>0</v>
      </c>
      <c r="E50"/>
    </row>
    <row r="51">
      <c r="A51" t="s">
        <v>278</v>
      </c>
      <c r="B51" t="n">
        <v>0</v>
      </c>
      <c r="C51" t="s">
        <v>223</v>
      </c>
      <c r="D51" t="n">
        <v>0</v>
      </c>
      <c r="E51"/>
    </row>
    <row r="52">
      <c r="A52" t="s">
        <v>279</v>
      </c>
      <c r="B52" t="n">
        <v>400000</v>
      </c>
      <c r="C52" t="s">
        <v>223</v>
      </c>
      <c r="D52" t="n">
        <v>22000000</v>
      </c>
      <c r="E52" t="s">
        <v>280</v>
      </c>
    </row>
    <row r="53">
      <c r="A53" t="s">
        <v>281</v>
      </c>
      <c r="B53" t="n">
        <v>22820000</v>
      </c>
      <c r="C53" t="s">
        <v>223</v>
      </c>
      <c r="D53" t="n">
        <v>500000000</v>
      </c>
      <c r="E53" t="s">
        <v>248</v>
      </c>
    </row>
    <row r="54">
      <c r="A54" t="s">
        <v>282</v>
      </c>
      <c r="B54" t="n">
        <v>12810000</v>
      </c>
      <c r="C54" t="s">
        <v>223</v>
      </c>
      <c r="D54" t="n">
        <v>380000000</v>
      </c>
      <c r="E54" t="s">
        <v>283</v>
      </c>
    </row>
    <row r="55">
      <c r="A55" t="s">
        <v>284</v>
      </c>
      <c r="B55" t="n">
        <v>0</v>
      </c>
      <c r="C55" t="s">
        <v>223</v>
      </c>
      <c r="D55" t="n">
        <v>0</v>
      </c>
      <c r="E55"/>
    </row>
    <row r="56">
      <c r="A56" t="s">
        <v>285</v>
      </c>
      <c r="B56" t="n">
        <v>11480000</v>
      </c>
      <c r="C56" t="s">
        <v>223</v>
      </c>
      <c r="D56" t="n">
        <v>620000000</v>
      </c>
      <c r="E56" t="s">
        <v>286</v>
      </c>
    </row>
    <row r="57">
      <c r="A57" t="s">
        <v>287</v>
      </c>
      <c r="B57" t="n">
        <v>3050000</v>
      </c>
      <c r="C57" t="s">
        <v>223</v>
      </c>
      <c r="D57" t="n">
        <v>90000000</v>
      </c>
      <c r="E57" t="s">
        <v>288</v>
      </c>
    </row>
    <row r="58">
      <c r="A58" t="s">
        <v>289</v>
      </c>
      <c r="B58" t="n">
        <v>93320000</v>
      </c>
      <c r="C58" t="s">
        <v>223</v>
      </c>
      <c r="D58" t="n">
        <v>5050000000</v>
      </c>
      <c r="E58" t="s">
        <v>290</v>
      </c>
    </row>
    <row r="59">
      <c r="A59" t="s">
        <v>291</v>
      </c>
      <c r="B59" t="n">
        <v>0</v>
      </c>
      <c r="C59" t="s">
        <v>223</v>
      </c>
      <c r="D59" t="n">
        <v>0</v>
      </c>
      <c r="E59"/>
    </row>
    <row r="60">
      <c r="A60" t="s">
        <v>292</v>
      </c>
      <c r="B60" t="n">
        <v>276040000</v>
      </c>
      <c r="C60" t="s">
        <v>223</v>
      </c>
      <c r="D60" t="n">
        <v>3690000000</v>
      </c>
      <c r="E60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294</v>
      </c>
    </row>
    <row r="2">
      <c r="A2" t="s">
        <v>295</v>
      </c>
    </row>
    <row r="3">
      <c r="A3" t="s">
        <v>296</v>
      </c>
    </row>
    <row r="4">
      <c r="A4" t="s">
        <v>1</v>
      </c>
    </row>
    <row r="5">
      <c r="A5" t="s">
        <v>297</v>
      </c>
    </row>
    <row r="6">
      <c r="A6" t="s">
        <v>298</v>
      </c>
    </row>
    <row r="7">
      <c r="A7" t="s">
        <v>299</v>
      </c>
    </row>
    <row r="8">
      <c r="A8" t="s">
        <v>300</v>
      </c>
    </row>
    <row r="9">
      <c r="A9" t="s">
        <v>301</v>
      </c>
    </row>
    <row r="10">
      <c r="A10" t="s">
        <v>302</v>
      </c>
    </row>
    <row r="11">
      <c r="A11" t="s">
        <v>303</v>
      </c>
    </row>
    <row r="12">
      <c r="A12" t="s">
        <v>304</v>
      </c>
    </row>
    <row r="13">
      <c r="A13" t="s">
        <v>1</v>
      </c>
    </row>
    <row r="14">
      <c r="A14" t="s">
        <v>305</v>
      </c>
    </row>
    <row r="15">
      <c r="A15" t="s">
        <v>1</v>
      </c>
    </row>
    <row r="17">
      <c r="A17" t="s">
        <v>306</v>
      </c>
    </row>
    <row r="18">
      <c r="A18" t="s">
        <v>307</v>
      </c>
    </row>
    <row r="20">
      <c r="A20" t="s">
        <v>308</v>
      </c>
    </row>
    <row r="21">
      <c r="A21" t="s">
        <v>309</v>
      </c>
    </row>
    <row r="23">
      <c r="A23" t="s">
        <v>310</v>
      </c>
    </row>
    <row r="25">
      <c r="A25" t="s">
        <v>217</v>
      </c>
      <c r="B25" t="s">
        <v>311</v>
      </c>
      <c r="C25" t="s">
        <v>312</v>
      </c>
      <c r="D25" t="s">
        <v>313</v>
      </c>
      <c r="E25" t="s">
        <v>314</v>
      </c>
    </row>
    <row r="26">
      <c r="A26" t="s">
        <v>225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222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229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227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230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231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233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235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234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236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237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238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243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239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240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242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244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245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247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252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250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249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253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254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257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255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258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267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268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260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262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263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264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261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266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270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272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273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274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276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277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278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279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281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282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285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284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287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291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289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292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315</v>
      </c>
    </row>
    <row r="2">
      <c r="A2" t="s">
        <v>1</v>
      </c>
    </row>
    <row r="3">
      <c r="A3" t="s">
        <v>316</v>
      </c>
    </row>
    <row r="4">
      <c r="A4" t="s">
        <v>317</v>
      </c>
    </row>
    <row r="5">
      <c r="A5" t="s">
        <v>318</v>
      </c>
    </row>
    <row r="6">
      <c r="A6" t="s">
        <v>1</v>
      </c>
    </row>
    <row r="8">
      <c r="A8" t="s">
        <v>319</v>
      </c>
      <c r="B8" t="s">
        <v>320</v>
      </c>
      <c r="C8" t="s">
        <v>321</v>
      </c>
      <c r="D8" t="s">
        <v>322</v>
      </c>
      <c r="E8" t="s">
        <v>323</v>
      </c>
      <c r="F8" t="s">
        <v>324</v>
      </c>
      <c r="G8" t="s">
        <v>325</v>
      </c>
    </row>
    <row r="9">
      <c r="A9" t="s">
        <v>129</v>
      </c>
      <c r="B9" t="s">
        <v>326</v>
      </c>
      <c r="C9" t="s">
        <v>327</v>
      </c>
      <c r="D9" t="s">
        <v>328</v>
      </c>
      <c r="E9" t="n">
        <v>1</v>
      </c>
      <c r="F9"/>
      <c r="G9"/>
    </row>
    <row r="10">
      <c r="A10" t="s">
        <v>130</v>
      </c>
      <c r="B10" t="s">
        <v>329</v>
      </c>
      <c r="C10" t="s">
        <v>327</v>
      </c>
      <c r="D10" t="s">
        <v>328</v>
      </c>
      <c r="E10" t="n">
        <v>1</v>
      </c>
      <c r="F10"/>
      <c r="G10"/>
    </row>
    <row r="11">
      <c r="A11" t="s">
        <v>131</v>
      </c>
      <c r="B11" t="s">
        <v>330</v>
      </c>
      <c r="C11" t="s">
        <v>331</v>
      </c>
      <c r="D11" t="s">
        <v>332</v>
      </c>
      <c r="E11" t="n">
        <v>1</v>
      </c>
      <c r="F11"/>
      <c r="G11"/>
    </row>
    <row r="12">
      <c r="A12" t="s">
        <v>133</v>
      </c>
      <c r="B12" t="s">
        <v>333</v>
      </c>
      <c r="C12" t="s">
        <v>334</v>
      </c>
      <c r="D12" t="s">
        <v>335</v>
      </c>
      <c r="E12" t="n">
        <v>1</v>
      </c>
      <c r="F12"/>
      <c r="G12"/>
    </row>
    <row r="13">
      <c r="A13" t="s">
        <v>134</v>
      </c>
      <c r="B13" t="s">
        <v>336</v>
      </c>
      <c r="C13" t="s">
        <v>337</v>
      </c>
      <c r="D13" t="s">
        <v>338</v>
      </c>
      <c r="E13" t="n">
        <v>0.72</v>
      </c>
      <c r="F13" t="s">
        <v>339</v>
      </c>
      <c r="G13"/>
    </row>
    <row r="14">
      <c r="A14" t="s">
        <v>134</v>
      </c>
      <c r="B14" t="s">
        <v>336</v>
      </c>
      <c r="C14" t="s">
        <v>340</v>
      </c>
      <c r="D14" t="s">
        <v>341</v>
      </c>
      <c r="E14" t="n">
        <v>0.2</v>
      </c>
      <c r="F14" t="s">
        <v>342</v>
      </c>
      <c r="G14"/>
    </row>
    <row r="15">
      <c r="A15" t="s">
        <v>134</v>
      </c>
      <c r="B15" t="s">
        <v>336</v>
      </c>
      <c r="C15" t="s">
        <v>343</v>
      </c>
      <c r="D15" t="s">
        <v>344</v>
      </c>
      <c r="E15" t="n">
        <v>0.08</v>
      </c>
      <c r="F15" t="s">
        <v>345</v>
      </c>
      <c r="G15"/>
    </row>
    <row r="16">
      <c r="A16" t="s">
        <v>135</v>
      </c>
      <c r="B16" t="s">
        <v>346</v>
      </c>
      <c r="C16" t="s">
        <v>347</v>
      </c>
      <c r="D16" t="s">
        <v>346</v>
      </c>
      <c r="E16" t="n">
        <v>1</v>
      </c>
      <c r="F16"/>
      <c r="G16"/>
    </row>
    <row r="17">
      <c r="A17" t="s">
        <v>147</v>
      </c>
      <c r="B17" t="s">
        <v>348</v>
      </c>
      <c r="C17" t="s">
        <v>349</v>
      </c>
      <c r="D17" t="s">
        <v>350</v>
      </c>
      <c r="E17" t="n">
        <v>1</v>
      </c>
      <c r="F17"/>
      <c r="G17"/>
    </row>
    <row r="18">
      <c r="A18" t="s">
        <v>148</v>
      </c>
      <c r="B18" t="s">
        <v>351</v>
      </c>
      <c r="C18" t="s">
        <v>352</v>
      </c>
      <c r="D18" t="s">
        <v>353</v>
      </c>
      <c r="E18" t="n">
        <v>1</v>
      </c>
      <c r="F18"/>
      <c r="G18"/>
    </row>
    <row r="19">
      <c r="A19" t="s">
        <v>149</v>
      </c>
      <c r="B19" t="s">
        <v>354</v>
      </c>
      <c r="C19" t="s">
        <v>352</v>
      </c>
      <c r="D19" t="s">
        <v>353</v>
      </c>
      <c r="E19" t="n">
        <v>1</v>
      </c>
      <c r="F19"/>
      <c r="G19"/>
    </row>
    <row r="20">
      <c r="A20" t="s">
        <v>136</v>
      </c>
      <c r="B20" t="s">
        <v>355</v>
      </c>
      <c r="C20" t="s">
        <v>356</v>
      </c>
      <c r="D20" t="s">
        <v>357</v>
      </c>
      <c r="E20" t="n">
        <v>1</v>
      </c>
      <c r="F20"/>
      <c r="G20"/>
    </row>
    <row r="21">
      <c r="A21" t="s">
        <v>150</v>
      </c>
      <c r="B21" t="s">
        <v>358</v>
      </c>
      <c r="C21" t="s">
        <v>359</v>
      </c>
      <c r="D21" t="s">
        <v>360</v>
      </c>
      <c r="E21" t="n">
        <v>1</v>
      </c>
      <c r="F21"/>
      <c r="G21"/>
    </row>
    <row r="22">
      <c r="A22" t="s">
        <v>151</v>
      </c>
      <c r="B22" t="s">
        <v>361</v>
      </c>
      <c r="C22" t="s">
        <v>359</v>
      </c>
      <c r="D22" t="s">
        <v>360</v>
      </c>
      <c r="E22" t="n">
        <v>1</v>
      </c>
      <c r="F22"/>
      <c r="G22"/>
    </row>
    <row r="23">
      <c r="A23" t="s">
        <v>152</v>
      </c>
      <c r="B23" t="s">
        <v>362</v>
      </c>
      <c r="C23" t="s">
        <v>363</v>
      </c>
      <c r="D23" t="s">
        <v>364</v>
      </c>
      <c r="E23" t="n">
        <v>0.961</v>
      </c>
      <c r="F23" t="s">
        <v>365</v>
      </c>
      <c r="G23"/>
    </row>
    <row r="24">
      <c r="A24" t="s">
        <v>152</v>
      </c>
      <c r="B24" t="s">
        <v>362</v>
      </c>
      <c r="C24" t="s">
        <v>366</v>
      </c>
      <c r="D24" t="s">
        <v>367</v>
      </c>
      <c r="E24" t="n">
        <v>0.039</v>
      </c>
      <c r="F24" t="s">
        <v>368</v>
      </c>
      <c r="G24"/>
    </row>
    <row r="25">
      <c r="A25" t="s">
        <v>154</v>
      </c>
      <c r="B25" t="s">
        <v>369</v>
      </c>
      <c r="C25" t="s">
        <v>134</v>
      </c>
      <c r="D25" t="s">
        <v>370</v>
      </c>
      <c r="E25" t="n">
        <v>1</v>
      </c>
      <c r="F25"/>
      <c r="G25"/>
    </row>
    <row r="26">
      <c r="A26" t="s">
        <v>139</v>
      </c>
      <c r="B26" t="s">
        <v>371</v>
      </c>
      <c r="C26" t="s">
        <v>372</v>
      </c>
      <c r="D26" t="s">
        <v>371</v>
      </c>
      <c r="E26" t="n">
        <v>1</v>
      </c>
      <c r="F26"/>
      <c r="G26"/>
    </row>
    <row r="27">
      <c r="A27" t="s">
        <v>140</v>
      </c>
      <c r="B27" t="s">
        <v>373</v>
      </c>
      <c r="C27" t="s">
        <v>374</v>
      </c>
      <c r="D27" t="s">
        <v>375</v>
      </c>
      <c r="E27" t="n">
        <v>1</v>
      </c>
      <c r="F27"/>
      <c r="G27"/>
    </row>
    <row r="28">
      <c r="A28" t="s">
        <v>141</v>
      </c>
      <c r="B28" t="s">
        <v>376</v>
      </c>
      <c r="C28" t="s">
        <v>377</v>
      </c>
      <c r="D28" t="s">
        <v>378</v>
      </c>
      <c r="E28" t="n">
        <v>1</v>
      </c>
      <c r="F28"/>
      <c r="G28"/>
    </row>
    <row r="29">
      <c r="A29" t="s">
        <v>142</v>
      </c>
      <c r="B29" t="s">
        <v>379</v>
      </c>
      <c r="C29" t="s">
        <v>380</v>
      </c>
      <c r="D29" t="s">
        <v>381</v>
      </c>
      <c r="E29" t="n">
        <v>1</v>
      </c>
      <c r="F29"/>
      <c r="G29"/>
    </row>
    <row r="30">
      <c r="A30" t="s">
        <v>143</v>
      </c>
      <c r="B30" t="s">
        <v>382</v>
      </c>
      <c r="C30" t="s">
        <v>383</v>
      </c>
      <c r="D30" t="s">
        <v>384</v>
      </c>
      <c r="E30" t="n">
        <v>1</v>
      </c>
      <c r="F30"/>
      <c r="G30"/>
    </row>
    <row r="31">
      <c r="A31" t="s">
        <v>144</v>
      </c>
      <c r="B31" t="s">
        <v>385</v>
      </c>
      <c r="C31" t="s">
        <v>386</v>
      </c>
      <c r="D31" t="s">
        <v>387</v>
      </c>
      <c r="E31" t="n">
        <v>1</v>
      </c>
      <c r="F31"/>
      <c r="G31"/>
    </row>
    <row r="32">
      <c r="A32" t="s">
        <v>145</v>
      </c>
      <c r="B32" t="s">
        <v>388</v>
      </c>
      <c r="C32" t="s">
        <v>389</v>
      </c>
      <c r="D32" t="s">
        <v>390</v>
      </c>
      <c r="E32" t="n">
        <v>1</v>
      </c>
      <c r="F32"/>
      <c r="G32"/>
    </row>
    <row r="33">
      <c r="A33" t="s">
        <v>146</v>
      </c>
      <c r="B33" t="s">
        <v>391</v>
      </c>
      <c r="C33" t="s">
        <v>389</v>
      </c>
      <c r="D33" t="s">
        <v>390</v>
      </c>
      <c r="E33" t="n">
        <v>1</v>
      </c>
      <c r="F33"/>
      <c r="G33"/>
    </row>
    <row r="34">
      <c r="A34" t="s">
        <v>155</v>
      </c>
      <c r="B34" t="s">
        <v>392</v>
      </c>
      <c r="C34" t="s">
        <v>393</v>
      </c>
      <c r="D34" t="s">
        <v>394</v>
      </c>
      <c r="E34" t="n">
        <v>1</v>
      </c>
      <c r="F34"/>
      <c r="G34"/>
    </row>
    <row r="35">
      <c r="A35" t="s">
        <v>156</v>
      </c>
      <c r="B35" t="s">
        <v>395</v>
      </c>
      <c r="C35" t="s">
        <v>393</v>
      </c>
      <c r="D35" t="s">
        <v>394</v>
      </c>
      <c r="E35" t="n">
        <v>1</v>
      </c>
      <c r="F35"/>
      <c r="G35"/>
    </row>
    <row r="36">
      <c r="A36" t="s">
        <v>157</v>
      </c>
      <c r="B36" t="s">
        <v>396</v>
      </c>
      <c r="C36" t="s">
        <v>393</v>
      </c>
      <c r="D36" t="s">
        <v>394</v>
      </c>
      <c r="E36" t="n">
        <v>1</v>
      </c>
      <c r="F36"/>
      <c r="G36"/>
    </row>
    <row r="37">
      <c r="A37" t="s">
        <v>158</v>
      </c>
      <c r="B37" t="s">
        <v>397</v>
      </c>
      <c r="C37" t="s">
        <v>393</v>
      </c>
      <c r="D37" t="s">
        <v>394</v>
      </c>
      <c r="E37" t="n">
        <v>1</v>
      </c>
      <c r="F37"/>
      <c r="G37"/>
    </row>
    <row r="38">
      <c r="A38" t="s">
        <v>159</v>
      </c>
      <c r="B38" t="s">
        <v>398</v>
      </c>
      <c r="C38" t="s">
        <v>393</v>
      </c>
      <c r="D38" t="s">
        <v>394</v>
      </c>
      <c r="E38" t="n">
        <v>1</v>
      </c>
      <c r="F38"/>
      <c r="G38"/>
    </row>
    <row r="39">
      <c r="A39" t="s">
        <v>160</v>
      </c>
      <c r="B39" t="s">
        <v>399</v>
      </c>
      <c r="C39" t="s">
        <v>400</v>
      </c>
      <c r="D39" t="s">
        <v>401</v>
      </c>
      <c r="E39" t="n">
        <v>1</v>
      </c>
      <c r="F39"/>
      <c r="G39"/>
    </row>
    <row r="40">
      <c r="A40" t="s">
        <v>161</v>
      </c>
      <c r="B40" t="s">
        <v>402</v>
      </c>
      <c r="C40" t="s">
        <v>400</v>
      </c>
      <c r="D40" t="s">
        <v>401</v>
      </c>
      <c r="E40" t="n">
        <v>1</v>
      </c>
      <c r="F40"/>
      <c r="G40"/>
    </row>
    <row r="41">
      <c r="A41" t="s">
        <v>162</v>
      </c>
      <c r="B41" t="s">
        <v>403</v>
      </c>
      <c r="C41" t="s">
        <v>400</v>
      </c>
      <c r="D41" t="s">
        <v>401</v>
      </c>
      <c r="E41" t="n">
        <v>1</v>
      </c>
      <c r="F41"/>
      <c r="G41"/>
    </row>
    <row r="42">
      <c r="A42" t="s">
        <v>163</v>
      </c>
      <c r="B42" t="s">
        <v>404</v>
      </c>
      <c r="C42" t="s">
        <v>400</v>
      </c>
      <c r="D42" t="s">
        <v>401</v>
      </c>
      <c r="E42" t="n">
        <v>1</v>
      </c>
      <c r="F42"/>
      <c r="G42"/>
    </row>
    <row r="43">
      <c r="A43" t="s">
        <v>164</v>
      </c>
      <c r="B43" t="s">
        <v>405</v>
      </c>
      <c r="C43" t="s">
        <v>400</v>
      </c>
      <c r="D43" t="s">
        <v>401</v>
      </c>
      <c r="E43" t="n">
        <v>1</v>
      </c>
      <c r="F43"/>
      <c r="G43"/>
    </row>
    <row r="44">
      <c r="A44" t="s">
        <v>165</v>
      </c>
      <c r="B44" t="s">
        <v>406</v>
      </c>
      <c r="C44" t="s">
        <v>340</v>
      </c>
      <c r="D44" t="s">
        <v>407</v>
      </c>
      <c r="E44" t="n">
        <v>1</v>
      </c>
      <c r="F44" t="s">
        <v>408</v>
      </c>
      <c r="G44"/>
    </row>
    <row r="45">
      <c r="A45" t="s">
        <v>166</v>
      </c>
      <c r="B45" t="s">
        <v>409</v>
      </c>
      <c r="C45" t="s">
        <v>400</v>
      </c>
      <c r="D45" t="s">
        <v>401</v>
      </c>
      <c r="E45" t="n">
        <v>1</v>
      </c>
      <c r="F45"/>
      <c r="G45"/>
    </row>
    <row r="46">
      <c r="A46" t="s">
        <v>167</v>
      </c>
      <c r="B46" t="s">
        <v>410</v>
      </c>
      <c r="C46" t="s">
        <v>400</v>
      </c>
      <c r="D46" t="s">
        <v>401</v>
      </c>
      <c r="E46" t="n">
        <v>1</v>
      </c>
      <c r="F46"/>
      <c r="G46"/>
    </row>
    <row r="47">
      <c r="A47" t="s">
        <v>168</v>
      </c>
      <c r="B47" t="s">
        <v>411</v>
      </c>
      <c r="C47" t="s">
        <v>412</v>
      </c>
      <c r="D47" t="s">
        <v>413</v>
      </c>
      <c r="E47" t="n">
        <v>1</v>
      </c>
      <c r="F47"/>
      <c r="G47"/>
    </row>
    <row r="48">
      <c r="A48" t="s">
        <v>169</v>
      </c>
      <c r="B48" t="s">
        <v>414</v>
      </c>
      <c r="C48" t="s">
        <v>412</v>
      </c>
      <c r="D48" t="s">
        <v>413</v>
      </c>
      <c r="E48" t="n">
        <v>1</v>
      </c>
      <c r="F48"/>
      <c r="G48"/>
    </row>
    <row r="49">
      <c r="A49" t="s">
        <v>170</v>
      </c>
      <c r="B49" t="s">
        <v>415</v>
      </c>
      <c r="C49" t="s">
        <v>412</v>
      </c>
      <c r="D49" t="s">
        <v>413</v>
      </c>
      <c r="E49" t="n">
        <v>0.25</v>
      </c>
      <c r="F49" t="s">
        <v>416</v>
      </c>
      <c r="G49"/>
    </row>
    <row r="50">
      <c r="A50" t="s">
        <v>170</v>
      </c>
      <c r="B50" t="s">
        <v>415</v>
      </c>
      <c r="C50" t="s">
        <v>185</v>
      </c>
      <c r="D50" t="s">
        <v>417</v>
      </c>
      <c r="E50" t="n">
        <v>0.75</v>
      </c>
      <c r="F50"/>
      <c r="G50"/>
    </row>
    <row r="51">
      <c r="A51" t="s">
        <v>171</v>
      </c>
      <c r="B51" t="s">
        <v>418</v>
      </c>
      <c r="C51" t="s">
        <v>419</v>
      </c>
      <c r="D51" t="s">
        <v>420</v>
      </c>
      <c r="E51" t="n">
        <v>1</v>
      </c>
      <c r="F51"/>
      <c r="G51"/>
    </row>
    <row r="52">
      <c r="A52" t="s">
        <v>172</v>
      </c>
      <c r="B52" t="s">
        <v>421</v>
      </c>
      <c r="C52" t="s">
        <v>422</v>
      </c>
      <c r="D52" t="s">
        <v>423</v>
      </c>
      <c r="E52" t="n">
        <v>1</v>
      </c>
      <c r="F52"/>
      <c r="G52"/>
    </row>
    <row r="53">
      <c r="A53" t="s">
        <v>173</v>
      </c>
      <c r="B53" t="s">
        <v>424</v>
      </c>
      <c r="C53" t="s">
        <v>422</v>
      </c>
      <c r="D53" t="s">
        <v>423</v>
      </c>
      <c r="E53" t="n">
        <v>1</v>
      </c>
      <c r="F53"/>
      <c r="G53"/>
    </row>
    <row r="54">
      <c r="A54" t="s">
        <v>174</v>
      </c>
      <c r="B54" t="s">
        <v>425</v>
      </c>
      <c r="C54" t="s">
        <v>422</v>
      </c>
      <c r="D54" t="s">
        <v>423</v>
      </c>
      <c r="E54" t="n">
        <v>1</v>
      </c>
      <c r="F54"/>
      <c r="G54"/>
    </row>
    <row r="55">
      <c r="A55" t="s">
        <v>175</v>
      </c>
      <c r="B55" t="s">
        <v>426</v>
      </c>
      <c r="C55" t="s">
        <v>422</v>
      </c>
      <c r="D55" t="s">
        <v>423</v>
      </c>
      <c r="E55" t="n">
        <v>1</v>
      </c>
      <c r="F55"/>
      <c r="G55"/>
    </row>
    <row r="56">
      <c r="A56" t="s">
        <v>176</v>
      </c>
      <c r="B56" t="s">
        <v>427</v>
      </c>
      <c r="C56" t="s">
        <v>428</v>
      </c>
      <c r="D56" t="s">
        <v>429</v>
      </c>
      <c r="E56" t="n">
        <v>1</v>
      </c>
      <c r="F56"/>
      <c r="G56"/>
    </row>
    <row r="57">
      <c r="A57" t="s">
        <v>177</v>
      </c>
      <c r="B57" t="s">
        <v>430</v>
      </c>
      <c r="C57" t="s">
        <v>428</v>
      </c>
      <c r="D57" t="s">
        <v>429</v>
      </c>
      <c r="E57" t="n">
        <v>1</v>
      </c>
      <c r="F57"/>
      <c r="G57"/>
    </row>
    <row r="58">
      <c r="A58" t="s">
        <v>178</v>
      </c>
      <c r="B58" t="s">
        <v>431</v>
      </c>
      <c r="C58" t="s">
        <v>432</v>
      </c>
      <c r="D58" t="s">
        <v>433</v>
      </c>
      <c r="E58" t="n">
        <v>1</v>
      </c>
      <c r="F58" t="s">
        <v>434</v>
      </c>
      <c r="G58"/>
    </row>
    <row r="59">
      <c r="A59" t="s">
        <v>179</v>
      </c>
      <c r="B59" t="s">
        <v>435</v>
      </c>
      <c r="C59" t="s">
        <v>432</v>
      </c>
      <c r="D59" t="s">
        <v>433</v>
      </c>
      <c r="E59" t="n">
        <v>1</v>
      </c>
      <c r="F59"/>
      <c r="G59"/>
    </row>
    <row r="60">
      <c r="A60" t="s">
        <v>181</v>
      </c>
      <c r="B60" t="s">
        <v>436</v>
      </c>
      <c r="C60" t="s">
        <v>432</v>
      </c>
      <c r="D60" t="s">
        <v>433</v>
      </c>
      <c r="E60" t="n">
        <v>1</v>
      </c>
      <c r="F60"/>
      <c r="G60"/>
    </row>
    <row r="61">
      <c r="A61" t="s">
        <v>180</v>
      </c>
      <c r="B61" t="s">
        <v>437</v>
      </c>
      <c r="C61" t="s">
        <v>419</v>
      </c>
      <c r="D61" t="s">
        <v>420</v>
      </c>
      <c r="E61" t="n">
        <v>1</v>
      </c>
      <c r="F61" t="s">
        <v>438</v>
      </c>
      <c r="G61"/>
    </row>
    <row r="62">
      <c r="A62" t="s">
        <v>182</v>
      </c>
      <c r="B62" t="s">
        <v>439</v>
      </c>
      <c r="C62" t="s">
        <v>432</v>
      </c>
      <c r="D62" t="s">
        <v>433</v>
      </c>
      <c r="E62" t="n">
        <v>1</v>
      </c>
      <c r="F62"/>
      <c r="G62"/>
    </row>
    <row r="63">
      <c r="A63" t="s">
        <v>183</v>
      </c>
      <c r="B63" t="s">
        <v>440</v>
      </c>
      <c r="C63" t="s">
        <v>432</v>
      </c>
      <c r="D63" t="s">
        <v>433</v>
      </c>
      <c r="E63" t="n">
        <v>1</v>
      </c>
      <c r="F63"/>
      <c r="G63"/>
    </row>
    <row r="64">
      <c r="A64" t="s">
        <v>184</v>
      </c>
      <c r="B64" t="s">
        <v>441</v>
      </c>
      <c r="C64" t="s">
        <v>343</v>
      </c>
      <c r="D64" t="s">
        <v>442</v>
      </c>
      <c r="E64" t="n">
        <v>1</v>
      </c>
      <c r="F64"/>
      <c r="G64"/>
    </row>
    <row r="65">
      <c r="A65" t="s">
        <v>185</v>
      </c>
      <c r="B65" t="s">
        <v>443</v>
      </c>
      <c r="C65" t="s">
        <v>444</v>
      </c>
      <c r="D65" t="s">
        <v>445</v>
      </c>
      <c r="E65" t="n">
        <v>1</v>
      </c>
      <c r="F65"/>
      <c r="G65"/>
    </row>
    <row r="66">
      <c r="A66" t="s">
        <v>186</v>
      </c>
      <c r="B66" t="s">
        <v>446</v>
      </c>
      <c r="C66" t="s">
        <v>447</v>
      </c>
      <c r="D66" t="s">
        <v>448</v>
      </c>
      <c r="E66" t="n">
        <v>1</v>
      </c>
      <c r="F66"/>
      <c r="G66"/>
    </row>
    <row r="67">
      <c r="A67" t="s">
        <v>187</v>
      </c>
      <c r="B67" t="s">
        <v>449</v>
      </c>
      <c r="C67" t="s">
        <v>447</v>
      </c>
      <c r="D67" t="s">
        <v>448</v>
      </c>
      <c r="E67" t="n">
        <v>1</v>
      </c>
      <c r="F67"/>
      <c r="G67"/>
    </row>
    <row r="68">
      <c r="A68" t="s">
        <v>188</v>
      </c>
      <c r="B68" t="s">
        <v>450</v>
      </c>
      <c r="C68" t="s">
        <v>447</v>
      </c>
      <c r="D68" t="s">
        <v>448</v>
      </c>
      <c r="E68" t="n">
        <v>1</v>
      </c>
      <c r="F68"/>
      <c r="G68"/>
    </row>
    <row r="69">
      <c r="A69" t="s">
        <v>189</v>
      </c>
      <c r="B69" t="s">
        <v>451</v>
      </c>
      <c r="C69" t="s">
        <v>447</v>
      </c>
      <c r="D69" t="s">
        <v>448</v>
      </c>
      <c r="E69" t="n">
        <v>1</v>
      </c>
      <c r="F69"/>
      <c r="G69"/>
    </row>
    <row r="70">
      <c r="A70" t="s">
        <v>190</v>
      </c>
      <c r="B70" t="s">
        <v>452</v>
      </c>
      <c r="C70" t="s">
        <v>453</v>
      </c>
      <c r="D70" t="s">
        <v>454</v>
      </c>
      <c r="E70" t="n">
        <v>1</v>
      </c>
      <c r="F70"/>
      <c r="G70"/>
    </row>
    <row r="71">
      <c r="A71" t="s">
        <v>191</v>
      </c>
      <c r="B71" t="s">
        <v>455</v>
      </c>
      <c r="C71" t="s">
        <v>453</v>
      </c>
      <c r="D71" t="s">
        <v>454</v>
      </c>
      <c r="E71" t="n">
        <v>1</v>
      </c>
      <c r="F71"/>
      <c r="G71"/>
    </row>
    <row r="72">
      <c r="A72" t="s">
        <v>192</v>
      </c>
      <c r="B72" t="s">
        <v>456</v>
      </c>
      <c r="C72" t="s">
        <v>457</v>
      </c>
      <c r="D72" t="s">
        <v>458</v>
      </c>
      <c r="E72" t="n">
        <v>1</v>
      </c>
      <c r="F72"/>
      <c r="G72"/>
    </row>
    <row r="73">
      <c r="A73" t="s">
        <v>193</v>
      </c>
      <c r="B73" t="s">
        <v>459</v>
      </c>
      <c r="C73" t="s">
        <v>457</v>
      </c>
      <c r="D73" t="s">
        <v>458</v>
      </c>
      <c r="E73" t="n">
        <v>1</v>
      </c>
      <c r="F73"/>
      <c r="G73"/>
    </row>
    <row r="74">
      <c r="A74" t="s">
        <v>194</v>
      </c>
      <c r="B74" t="s">
        <v>460</v>
      </c>
      <c r="C74" t="s">
        <v>453</v>
      </c>
      <c r="D74" t="s">
        <v>454</v>
      </c>
      <c r="E74" t="n">
        <v>1</v>
      </c>
      <c r="F74"/>
      <c r="G74"/>
    </row>
    <row r="75">
      <c r="A75" t="s">
        <v>195</v>
      </c>
      <c r="B75" t="s">
        <v>461</v>
      </c>
      <c r="C75" t="s">
        <v>462</v>
      </c>
      <c r="D75" t="s">
        <v>463</v>
      </c>
      <c r="E75" t="n">
        <v>1</v>
      </c>
      <c r="F75"/>
      <c r="G75"/>
    </row>
    <row r="76">
      <c r="A76" t="s">
        <v>196</v>
      </c>
      <c r="B76" t="s">
        <v>464</v>
      </c>
      <c r="C76" t="s">
        <v>462</v>
      </c>
      <c r="D76" t="s">
        <v>463</v>
      </c>
      <c r="E76" t="n">
        <v>1</v>
      </c>
      <c r="F76"/>
      <c r="G76"/>
    </row>
    <row r="77">
      <c r="A77" t="s">
        <v>197</v>
      </c>
      <c r="B77" t="s">
        <v>465</v>
      </c>
      <c r="C77" t="s">
        <v>462</v>
      </c>
      <c r="D77" t="s">
        <v>463</v>
      </c>
      <c r="E77" t="n">
        <v>1</v>
      </c>
      <c r="F77"/>
      <c r="G77"/>
    </row>
    <row r="78">
      <c r="A78" t="s">
        <v>198</v>
      </c>
      <c r="B78" t="s">
        <v>466</v>
      </c>
      <c r="C78" t="s">
        <v>462</v>
      </c>
      <c r="D78" t="s">
        <v>463</v>
      </c>
      <c r="E78" t="n">
        <v>1</v>
      </c>
      <c r="F78"/>
      <c r="G78"/>
    </row>
    <row r="79">
      <c r="A79" t="s">
        <v>199</v>
      </c>
      <c r="B79" t="s">
        <v>467</v>
      </c>
      <c r="C79" t="s">
        <v>462</v>
      </c>
      <c r="D79" t="s">
        <v>463</v>
      </c>
      <c r="E79" t="n">
        <v>1</v>
      </c>
      <c r="F79"/>
      <c r="G79"/>
    </row>
    <row r="80">
      <c r="A80" t="s">
        <v>132</v>
      </c>
      <c r="B80" t="s">
        <v>468</v>
      </c>
      <c r="C80" t="s">
        <v>469</v>
      </c>
      <c r="D80" t="s">
        <v>470</v>
      </c>
      <c r="E80" t="n">
        <v>0</v>
      </c>
      <c r="F80"/>
      <c r="G80" t="s">
        <v>471</v>
      </c>
    </row>
    <row r="81">
      <c r="A81" t="s">
        <v>132</v>
      </c>
      <c r="B81" t="s">
        <v>468</v>
      </c>
      <c r="C81" t="s">
        <v>472</v>
      </c>
      <c r="D81" t="s">
        <v>473</v>
      </c>
      <c r="E81" t="n">
        <v>1</v>
      </c>
      <c r="F81"/>
      <c r="G81" t="s">
        <v>471</v>
      </c>
    </row>
    <row r="82">
      <c r="A82" t="s">
        <v>137</v>
      </c>
      <c r="B82" t="s">
        <v>474</v>
      </c>
      <c r="C82" t="s">
        <v>475</v>
      </c>
      <c r="D82" t="s">
        <v>476</v>
      </c>
      <c r="E82" t="n">
        <v>0.25</v>
      </c>
      <c r="F82"/>
      <c r="G82" t="s">
        <v>477</v>
      </c>
    </row>
    <row r="83">
      <c r="A83" t="s">
        <v>137</v>
      </c>
      <c r="B83" t="s">
        <v>474</v>
      </c>
      <c r="C83" t="s">
        <v>478</v>
      </c>
      <c r="D83" t="s">
        <v>479</v>
      </c>
      <c r="E83" t="n">
        <v>0.75</v>
      </c>
      <c r="F83"/>
      <c r="G83" t="s">
        <v>477</v>
      </c>
    </row>
    <row r="84">
      <c r="A84" t="s">
        <v>138</v>
      </c>
      <c r="B84" t="s">
        <v>480</v>
      </c>
      <c r="C84" t="s">
        <v>366</v>
      </c>
      <c r="D84" t="s">
        <v>367</v>
      </c>
      <c r="E84" t="n">
        <v>0.4</v>
      </c>
      <c r="F84"/>
      <c r="G84" t="s">
        <v>481</v>
      </c>
    </row>
    <row r="85">
      <c r="A85" t="s">
        <v>138</v>
      </c>
      <c r="B85" t="s">
        <v>480</v>
      </c>
      <c r="C85" t="s">
        <v>482</v>
      </c>
      <c r="D85" t="s">
        <v>483</v>
      </c>
      <c r="E85" t="n">
        <v>0.6</v>
      </c>
      <c r="F85"/>
      <c r="G85" t="s">
        <v>481</v>
      </c>
    </row>
    <row r="86">
      <c r="A86" t="s">
        <v>153</v>
      </c>
      <c r="B86" t="s">
        <v>484</v>
      </c>
      <c r="C86" t="s">
        <v>485</v>
      </c>
      <c r="D86" t="s">
        <v>486</v>
      </c>
      <c r="E86" t="n">
        <v>0.75</v>
      </c>
      <c r="F86"/>
      <c r="G86" t="s">
        <v>487</v>
      </c>
    </row>
    <row r="87">
      <c r="A87" t="s">
        <v>153</v>
      </c>
      <c r="B87" t="s">
        <v>484</v>
      </c>
      <c r="C87" t="s">
        <v>488</v>
      </c>
      <c r="D87" t="s">
        <v>489</v>
      </c>
      <c r="E87" t="n">
        <v>0.25</v>
      </c>
      <c r="F87"/>
      <c r="G87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490</v>
      </c>
    </row>
    <row r="2">
      <c r="A2" t="s">
        <v>1</v>
      </c>
    </row>
    <row r="3">
      <c r="A3" t="s">
        <v>491</v>
      </c>
    </row>
    <row r="4">
      <c r="A4" t="s">
        <v>492</v>
      </c>
    </row>
    <row r="5">
      <c r="A5" t="s">
        <v>493</v>
      </c>
    </row>
    <row r="6">
      <c r="A6" t="s">
        <v>494</v>
      </c>
    </row>
    <row r="7">
      <c r="A7" t="s">
        <v>495</v>
      </c>
    </row>
    <row r="8">
      <c r="A8" t="s">
        <v>496</v>
      </c>
    </row>
    <row r="9">
      <c r="A9" t="s">
        <v>1</v>
      </c>
    </row>
    <row r="11">
      <c r="A11" t="s">
        <v>319</v>
      </c>
      <c r="B11" t="s">
        <v>321</v>
      </c>
      <c r="C11" t="s">
        <v>323</v>
      </c>
      <c r="D11" t="s">
        <v>325</v>
      </c>
    </row>
    <row r="12">
      <c r="A12" t="n">
        <v>212</v>
      </c>
      <c r="B12" t="s">
        <v>469</v>
      </c>
      <c r="C12" t="n">
        <v>0</v>
      </c>
      <c r="D12" t="s">
        <v>471</v>
      </c>
    </row>
    <row r="13">
      <c r="A13" t="n">
        <v>212</v>
      </c>
      <c r="B13" t="s">
        <v>472</v>
      </c>
      <c r="C13" t="n">
        <v>1</v>
      </c>
      <c r="D13" t="s">
        <v>471</v>
      </c>
    </row>
    <row r="14">
      <c r="A14" t="n">
        <v>327</v>
      </c>
      <c r="B14" t="s">
        <v>475</v>
      </c>
      <c r="C14" t="n">
        <v>0.25</v>
      </c>
      <c r="D14" t="s">
        <v>477</v>
      </c>
    </row>
    <row r="15">
      <c r="A15" t="n">
        <v>327</v>
      </c>
      <c r="B15" t="s">
        <v>478</v>
      </c>
      <c r="C15" t="n">
        <v>0.75</v>
      </c>
      <c r="D15" t="s">
        <v>477</v>
      </c>
    </row>
    <row r="16">
      <c r="A16" t="n">
        <v>331</v>
      </c>
      <c r="B16" t="s">
        <v>366</v>
      </c>
      <c r="C16" t="n">
        <v>0.4</v>
      </c>
      <c r="D16" t="s">
        <v>481</v>
      </c>
    </row>
    <row r="17">
      <c r="A17" t="n">
        <v>331</v>
      </c>
      <c r="B17" t="s">
        <v>482</v>
      </c>
      <c r="C17" t="n">
        <v>0.6</v>
      </c>
      <c r="D17" t="s">
        <v>481</v>
      </c>
    </row>
    <row r="18">
      <c r="A18" t="n">
        <v>325</v>
      </c>
      <c r="B18" t="s">
        <v>485</v>
      </c>
      <c r="C18" t="n">
        <v>0.75</v>
      </c>
      <c r="D18" t="s">
        <v>487</v>
      </c>
    </row>
    <row r="19">
      <c r="A19" t="n">
        <v>325</v>
      </c>
      <c r="B19" t="s">
        <v>488</v>
      </c>
      <c r="C19" t="n">
        <v>0.25</v>
      </c>
      <c r="D19" t="s">
        <v>487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497</v>
      </c>
    </row>
    <row r="2">
      <c r="A2" t="s">
        <v>498</v>
      </c>
    </row>
    <row r="3">
      <c r="A3" t="s">
        <v>499</v>
      </c>
    </row>
    <row r="4">
      <c r="A4" t="s">
        <v>500</v>
      </c>
    </row>
    <row r="5">
      <c r="A5" t="s">
        <v>1</v>
      </c>
    </row>
    <row r="7">
      <c r="A7" t="s">
        <v>501</v>
      </c>
      <c r="B7" t="s">
        <v>502</v>
      </c>
      <c r="C7" t="s">
        <v>503</v>
      </c>
    </row>
    <row r="8">
      <c r="A8" t="s">
        <v>327</v>
      </c>
      <c r="B8" t="s">
        <v>504</v>
      </c>
      <c r="C8" t="s">
        <v>505</v>
      </c>
    </row>
    <row r="9">
      <c r="A9" t="s">
        <v>469</v>
      </c>
      <c r="B9" t="s">
        <v>470</v>
      </c>
      <c r="C9" t="s">
        <v>506</v>
      </c>
    </row>
    <row r="10">
      <c r="A10" t="s">
        <v>331</v>
      </c>
      <c r="B10" t="s">
        <v>332</v>
      </c>
      <c r="C10" t="s">
        <v>507</v>
      </c>
    </row>
    <row r="11">
      <c r="A11" t="s">
        <v>472</v>
      </c>
      <c r="B11" t="s">
        <v>508</v>
      </c>
      <c r="C11" t="s">
        <v>509</v>
      </c>
    </row>
    <row r="12">
      <c r="A12" t="s">
        <v>334</v>
      </c>
      <c r="B12" t="s">
        <v>335</v>
      </c>
      <c r="C12" t="s">
        <v>510</v>
      </c>
    </row>
    <row r="13">
      <c r="A13" t="s">
        <v>349</v>
      </c>
      <c r="B13" t="s">
        <v>511</v>
      </c>
      <c r="C13" t="s">
        <v>512</v>
      </c>
    </row>
    <row r="14">
      <c r="A14" t="s">
        <v>352</v>
      </c>
      <c r="B14" t="s">
        <v>513</v>
      </c>
      <c r="C14" t="s">
        <v>514</v>
      </c>
    </row>
    <row r="15">
      <c r="A15" t="s">
        <v>356</v>
      </c>
      <c r="B15" t="s">
        <v>515</v>
      </c>
      <c r="C15" t="s">
        <v>516</v>
      </c>
    </row>
    <row r="16">
      <c r="A16" t="s">
        <v>359</v>
      </c>
      <c r="B16" t="s">
        <v>360</v>
      </c>
      <c r="C16" t="s">
        <v>517</v>
      </c>
    </row>
    <row r="17">
      <c r="A17" t="s">
        <v>363</v>
      </c>
      <c r="B17" t="s">
        <v>364</v>
      </c>
      <c r="C17" t="s">
        <v>518</v>
      </c>
    </row>
    <row r="18">
      <c r="A18" t="s">
        <v>485</v>
      </c>
      <c r="B18" t="s">
        <v>519</v>
      </c>
      <c r="C18" t="s">
        <v>520</v>
      </c>
    </row>
    <row r="19">
      <c r="A19" t="s">
        <v>488</v>
      </c>
      <c r="B19" t="s">
        <v>521</v>
      </c>
      <c r="C19" t="s">
        <v>522</v>
      </c>
    </row>
    <row r="20">
      <c r="A20" t="s">
        <v>134</v>
      </c>
      <c r="B20" t="s">
        <v>370</v>
      </c>
      <c r="C20" t="s">
        <v>523</v>
      </c>
    </row>
    <row r="21">
      <c r="A21" t="s">
        <v>475</v>
      </c>
      <c r="B21" t="s">
        <v>524</v>
      </c>
      <c r="C21" t="s">
        <v>525</v>
      </c>
    </row>
    <row r="22">
      <c r="A22" t="s">
        <v>478</v>
      </c>
      <c r="B22" t="s">
        <v>526</v>
      </c>
      <c r="C22" t="s">
        <v>527</v>
      </c>
    </row>
    <row r="23">
      <c r="A23" t="s">
        <v>366</v>
      </c>
      <c r="B23" t="s">
        <v>528</v>
      </c>
      <c r="C23" t="s">
        <v>529</v>
      </c>
    </row>
    <row r="24">
      <c r="A24" t="s">
        <v>482</v>
      </c>
      <c r="B24" t="s">
        <v>530</v>
      </c>
      <c r="C24" t="s">
        <v>531</v>
      </c>
    </row>
    <row r="25">
      <c r="A25" t="s">
        <v>372</v>
      </c>
      <c r="B25" t="s">
        <v>532</v>
      </c>
      <c r="C25" t="s">
        <v>533</v>
      </c>
    </row>
    <row r="26">
      <c r="A26" t="s">
        <v>377</v>
      </c>
      <c r="B26" t="s">
        <v>378</v>
      </c>
      <c r="C26" t="s">
        <v>534</v>
      </c>
    </row>
    <row r="27">
      <c r="A27" t="s">
        <v>380</v>
      </c>
      <c r="B27" t="s">
        <v>381</v>
      </c>
      <c r="C27" t="s">
        <v>535</v>
      </c>
    </row>
    <row r="28">
      <c r="A28" t="s">
        <v>374</v>
      </c>
      <c r="B28" t="s">
        <v>375</v>
      </c>
      <c r="C28" t="s">
        <v>536</v>
      </c>
    </row>
    <row r="29">
      <c r="A29" t="s">
        <v>383</v>
      </c>
      <c r="B29" t="s">
        <v>537</v>
      </c>
      <c r="C29" t="s">
        <v>538</v>
      </c>
    </row>
    <row r="30">
      <c r="A30" t="s">
        <v>386</v>
      </c>
      <c r="B30" t="s">
        <v>387</v>
      </c>
      <c r="C30" t="s">
        <v>539</v>
      </c>
    </row>
    <row r="31">
      <c r="A31" t="s">
        <v>389</v>
      </c>
      <c r="B31" t="s">
        <v>540</v>
      </c>
      <c r="C31" t="s">
        <v>541</v>
      </c>
    </row>
    <row r="32">
      <c r="A32" t="s">
        <v>337</v>
      </c>
      <c r="B32" t="s">
        <v>542</v>
      </c>
      <c r="C32" t="s">
        <v>543</v>
      </c>
    </row>
    <row r="33">
      <c r="A33" t="s">
        <v>340</v>
      </c>
      <c r="B33" t="s">
        <v>544</v>
      </c>
      <c r="C33" t="s">
        <v>545</v>
      </c>
    </row>
    <row r="34">
      <c r="A34" t="s">
        <v>343</v>
      </c>
      <c r="B34" t="s">
        <v>546</v>
      </c>
      <c r="C34" t="s">
        <v>547</v>
      </c>
    </row>
    <row r="35">
      <c r="A35" t="s">
        <v>347</v>
      </c>
      <c r="B35" t="s">
        <v>346</v>
      </c>
      <c r="C35" t="s">
        <v>548</v>
      </c>
    </row>
    <row r="36">
      <c r="A36" t="s">
        <v>393</v>
      </c>
      <c r="B36" t="s">
        <v>549</v>
      </c>
      <c r="C36" t="s">
        <v>550</v>
      </c>
    </row>
    <row r="37">
      <c r="A37" t="s">
        <v>400</v>
      </c>
      <c r="B37" t="s">
        <v>401</v>
      </c>
      <c r="C37" t="s">
        <v>551</v>
      </c>
    </row>
    <row r="38">
      <c r="A38" t="s">
        <v>457</v>
      </c>
      <c r="B38" t="s">
        <v>552</v>
      </c>
      <c r="C38" t="s">
        <v>553</v>
      </c>
    </row>
    <row r="39">
      <c r="A39" t="s">
        <v>412</v>
      </c>
      <c r="B39" t="s">
        <v>554</v>
      </c>
      <c r="C39" t="s">
        <v>555</v>
      </c>
    </row>
    <row r="40">
      <c r="A40" t="s">
        <v>185</v>
      </c>
      <c r="B40" t="s">
        <v>417</v>
      </c>
      <c r="C40" t="s">
        <v>556</v>
      </c>
    </row>
    <row r="41">
      <c r="A41" t="s">
        <v>419</v>
      </c>
      <c r="B41" t="s">
        <v>420</v>
      </c>
      <c r="C41" t="s">
        <v>557</v>
      </c>
    </row>
    <row r="42">
      <c r="A42" t="s">
        <v>422</v>
      </c>
      <c r="B42" t="s">
        <v>558</v>
      </c>
      <c r="C42" t="s">
        <v>559</v>
      </c>
    </row>
    <row r="43">
      <c r="A43" t="s">
        <v>428</v>
      </c>
      <c r="B43" t="s">
        <v>429</v>
      </c>
      <c r="C43" t="s">
        <v>560</v>
      </c>
    </row>
    <row r="44">
      <c r="A44" t="s">
        <v>432</v>
      </c>
      <c r="B44" t="s">
        <v>561</v>
      </c>
      <c r="C44" t="s">
        <v>562</v>
      </c>
    </row>
    <row r="45">
      <c r="A45" t="s">
        <v>462</v>
      </c>
      <c r="B45" t="s">
        <v>563</v>
      </c>
      <c r="C45" t="s">
        <v>564</v>
      </c>
    </row>
    <row r="46">
      <c r="A46" t="s">
        <v>444</v>
      </c>
      <c r="B46" t="s">
        <v>445</v>
      </c>
      <c r="C46" t="s">
        <v>565</v>
      </c>
    </row>
    <row r="47">
      <c r="A47" t="s">
        <v>447</v>
      </c>
      <c r="B47" t="s">
        <v>566</v>
      </c>
      <c r="C47" t="s">
        <v>567</v>
      </c>
    </row>
    <row r="48">
      <c r="A48" t="s">
        <v>453</v>
      </c>
      <c r="B48" t="s">
        <v>568</v>
      </c>
      <c r="C48" t="s">
        <v>569</v>
      </c>
    </row>
    <row r="49">
      <c r="A49" t="s">
        <v>570</v>
      </c>
      <c r="B49" t="s">
        <v>571</v>
      </c>
      <c r="C49" t="s">
        <v>572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573</v>
      </c>
    </row>
    <row r="2">
      <c r="A2" t="s">
        <v>319</v>
      </c>
      <c r="B2" t="s">
        <v>321</v>
      </c>
      <c r="C2" t="s">
        <v>323</v>
      </c>
      <c r="D2" t="s">
        <v>574</v>
      </c>
      <c r="E2" t="s">
        <v>575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IFERROR(INDEX('2_VA_total_by_BEA'!$B$2:$B$72, MATCH($A3, '2_VA_total_by_BEA'!$A$2:$A$72,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IFERROR(INDEX('2_VA_total_by_BEA'!$B$2:$B$72, MATCH($A4, '2_VA_total_by_BEA'!$A$2:$A$72,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IFERROR(INDEX('2_VA_total_by_BEA'!$B$2:$B$72, MATCH($A5, '2_VA_total_by_BEA'!$A$2:$A$72,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IFERROR(INDEX('2_VA_total_by_BEA'!$B$2:$B$72, MATCH($A6, '2_VA_total_by_BEA'!$A$2:$A$72,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IFERROR(INDEX('2_VA_total_by_BEA'!$B$2:$B$72, MATCH($A7, '2_VA_total_by_BEA'!$A$2:$A$72,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IFERROR(INDEX('2_VA_total_by_BEA'!$B$2:$B$72, MATCH($A8, '2_VA_total_by_BEA'!$A$2:$A$72,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IFERROR(INDEX('2_VA_total_by_BEA'!$B$2:$B$72, MATCH($A9, '2_VA_total_by_BEA'!$A$2:$A$72,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IFERROR(INDEX('2_VA_total_by_BEA'!$B$2:$B$72, MATCH($A10, '2_VA_total_by_BEA'!$A$2:$A$72,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IFERROR(INDEX('2_VA_total_by_BEA'!$B$2:$B$72, MATCH($A11, '2_VA_total_by_BEA'!$A$2:$A$72,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IFERROR(INDEX('2_VA_total_by_BEA'!$B$2:$B$72, MATCH($A12, '2_VA_total_by_BEA'!$A$2:$A$72,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IFERROR(INDEX('2_VA_total_by_BEA'!$B$2:$B$72, MATCH($A13, '2_VA_total_by_BEA'!$A$2:$A$72,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IFERROR(INDEX('2_VA_total_by_BEA'!$B$2:$B$72, MATCH($A14, '2_VA_total_by_BEA'!$A$2:$A$72,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IFERROR(INDEX('2_VA_total_by_BEA'!$B$2:$B$72, MATCH($A15, '2_VA_total_by_BEA'!$A$2:$A$72,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IFERROR(INDEX('2_VA_total_by_BEA'!$B$2:$B$72, MATCH($A16, '2_VA_total_by_BEA'!$A$2:$A$72,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IFERROR(INDEX('2_VA_total_by_BEA'!$B$2:$B$72, MATCH($A17, '2_VA_total_by_BEA'!$A$2:$A$72,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IFERROR(INDEX('2_VA_total_by_BEA'!$B$2:$B$72, MATCH($A18, '2_VA_total_by_BEA'!$A$2:$A$72,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IFERROR(INDEX('2_VA_total_by_BEA'!$B$2:$B$72, MATCH($A19, '2_VA_total_by_BEA'!$A$2:$A$72,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IFERROR(INDEX('2_VA_total_by_BEA'!$B$2:$B$72, MATCH($A20, '2_VA_total_by_BEA'!$A$2:$A$72,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IFERROR(INDEX('2_VA_total_by_BEA'!$B$2:$B$72, MATCH($A21, '2_VA_total_by_BEA'!$A$2:$A$72,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IFERROR(INDEX('2_VA_total_by_BEA'!$B$2:$B$72, MATCH($A22, '2_VA_total_by_BEA'!$A$2:$A$72,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IFERROR(INDEX('2_VA_total_by_BEA'!$B$2:$B$72, MATCH($A23, '2_VA_total_by_BEA'!$A$2:$A$72,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IFERROR(INDEX('2_VA_total_by_BEA'!$B$2:$B$72, MATCH($A24, '2_VA_total_by_BEA'!$A$2:$A$72,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IFERROR(INDEX('2_VA_total_by_BEA'!$B$2:$B$72, MATCH($A25, '2_VA_total_by_BEA'!$A$2:$A$72,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IFERROR(INDEX('2_VA_total_by_BEA'!$B$2:$B$72, MATCH($A26, '2_VA_total_by_BEA'!$A$2:$A$72,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IFERROR(INDEX('2_VA_total_by_BEA'!$B$2:$B$72, MATCH($A27, '2_VA_total_by_BEA'!$A$2:$A$72,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IFERROR(INDEX('2_VA_total_by_BEA'!$B$2:$B$72, MATCH($A28, '2_VA_total_by_BEA'!$A$2:$A$72,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IFERROR(INDEX('2_VA_total_by_BEA'!$B$2:$B$72, MATCH($A29, '2_VA_total_by_BEA'!$A$2:$A$72,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IFERROR(INDEX('2_VA_total_by_BEA'!$B$2:$B$72, MATCH($A30, '2_VA_total_by_BEA'!$A$2:$A$72,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IFERROR(INDEX('2_VA_total_by_BEA'!$B$2:$B$72, MATCH($A31, '2_VA_total_by_BEA'!$A$2:$A$72,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IFERROR(INDEX('2_VA_total_by_BEA'!$B$2:$B$72, MATCH($A32, '2_VA_total_by_BEA'!$A$2:$A$72,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IFERROR(INDEX('2_VA_total_by_BEA'!$B$2:$B$72, MATCH($A33, '2_VA_total_by_BEA'!$A$2:$A$72,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IFERROR(INDEX('2_VA_total_by_BEA'!$B$2:$B$72, MATCH($A34, '2_VA_total_by_BEA'!$A$2:$A$72,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IFERROR(INDEX('2_VA_total_by_BEA'!$B$2:$B$72, MATCH($A35, '2_VA_total_by_BEA'!$A$2:$A$72,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IFERROR(INDEX('2_VA_total_by_BEA'!$B$2:$B$72, MATCH($A36, '2_VA_total_by_BEA'!$A$2:$A$72,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IFERROR(INDEX('2_VA_total_by_BEA'!$B$2:$B$72, MATCH($A37, '2_VA_total_by_BEA'!$A$2:$A$72,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IFERROR(INDEX('2_VA_total_by_BEA'!$B$2:$B$72, MATCH($A38, '2_VA_total_by_BEA'!$A$2:$A$72,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IFERROR(INDEX('2_VA_total_by_BEA'!$B$2:$B$72, MATCH($A39, '2_VA_total_by_BEA'!$A$2:$A$72,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IFERROR(INDEX('2_VA_total_by_BEA'!$B$2:$B$72, MATCH($A40, '2_VA_total_by_BEA'!$A$2:$A$72,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IFERROR(INDEX('2_VA_total_by_BEA'!$B$2:$B$72, MATCH($A41, '2_VA_total_by_BEA'!$A$2:$A$72,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IFERROR(INDEX('2_VA_total_by_BEA'!$B$2:$B$72, MATCH($A42, '2_VA_total_by_BEA'!$A$2:$A$72,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IFERROR(INDEX('2_VA_total_by_BEA'!$B$2:$B$72, MATCH($A43, '2_VA_total_by_BEA'!$A$2:$A$72,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IFERROR(INDEX('2_VA_total_by_BEA'!$B$2:$B$72, MATCH($A44, '2_VA_total_by_BEA'!$A$2:$A$72,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IFERROR(INDEX('2_VA_total_by_BEA'!$B$2:$B$72, MATCH($A45, '2_VA_total_by_BEA'!$A$2:$A$72,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IFERROR(INDEX('2_VA_total_by_BEA'!$B$2:$B$72, MATCH($A46, '2_VA_total_by_BEA'!$A$2:$A$72,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IFERROR(INDEX('2_VA_total_by_BEA'!$B$2:$B$72, MATCH($A47, '2_VA_total_by_BEA'!$A$2:$A$72,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IFERROR(INDEX('2_VA_total_by_BEA'!$B$2:$B$72, MATCH($A48, '2_VA_total_by_BEA'!$A$2:$A$72,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IFERROR(INDEX('2_VA_total_by_BEA'!$B$2:$B$72, MATCH($A49, '2_VA_total_by_BEA'!$A$2:$A$72,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IFERROR(INDEX('2_VA_total_by_BEA'!$B$2:$B$72, MATCH($A50, '2_VA_total_by_BEA'!$A$2:$A$72,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IFERROR(INDEX('2_VA_total_by_BEA'!$B$2:$B$72, MATCH($A51, '2_VA_total_by_BEA'!$A$2:$A$72,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IFERROR(INDEX('2_VA_total_by_BEA'!$B$2:$B$72, MATCH($A52, '2_VA_total_by_BEA'!$A$2:$A$72,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IFERROR(INDEX('2_VA_total_by_BEA'!$B$2:$B$72, MATCH($A53, '2_VA_total_by_BEA'!$A$2:$A$72,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IFERROR(INDEX('2_VA_total_by_BEA'!$B$2:$B$72, MATCH($A54, '2_VA_total_by_BEA'!$A$2:$A$72,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IFERROR(INDEX('2_VA_total_by_BEA'!$B$2:$B$72, MATCH($A55, '2_VA_total_by_BEA'!$A$2:$A$72,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IFERROR(INDEX('2_VA_total_by_BEA'!$B$2:$B$72, MATCH($A56, '2_VA_total_by_BEA'!$A$2:$A$72,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IFERROR(INDEX('2_VA_total_by_BEA'!$B$2:$B$72, MATCH($A57, '2_VA_total_by_BEA'!$A$2:$A$72,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IFERROR(INDEX('2_VA_total_by_BEA'!$B$2:$B$72, MATCH($A58, '2_VA_total_by_BEA'!$A$2:$A$72,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IFERROR(INDEX('2_VA_total_by_BEA'!$B$2:$B$72, MATCH($A59, '2_VA_total_by_BEA'!$A$2:$A$72,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IFERROR(INDEX('2_VA_total_by_BEA'!$B$2:$B$72, MATCH($A60, '2_VA_total_by_BEA'!$A$2:$A$72,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IFERROR(INDEX('2_VA_total_by_BEA'!$B$2:$B$72, MATCH($A61, '2_VA_total_by_BEA'!$A$2:$A$72,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IFERROR(INDEX('2_VA_total_by_BEA'!$B$2:$B$72, MATCH($A62, '2_VA_total_by_BEA'!$A$2:$A$72,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IFERROR(INDEX('2_VA_total_by_BEA'!$B$2:$B$72, MATCH($A63, '2_VA_total_by_BEA'!$A$2:$A$72,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IFERROR(INDEX('2_VA_total_by_BEA'!$B$2:$B$72, MATCH($A64, '2_VA_total_by_BEA'!$A$2:$A$72,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IFERROR(INDEX('2_VA_total_by_BEA'!$B$2:$B$72, MATCH($A65, '2_VA_total_by_BEA'!$A$2:$A$72,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IFERROR(INDEX('2_VA_total_by_BEA'!$B$2:$B$72, MATCH($A66, '2_VA_total_by_BEA'!$A$2:$A$72,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IFERROR(INDEX('2_VA_total_by_BEA'!$B$2:$B$72, MATCH($A67, '2_VA_total_by_BEA'!$A$2:$A$72,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IFERROR(INDEX('2_VA_total_by_BEA'!$B$2:$B$72, MATCH($A68, '2_VA_total_by_BEA'!$A$2:$A$72,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IFERROR(INDEX('2_VA_total_by_BEA'!$B$2:$B$72, MATCH($A69, '2_VA_total_by_BEA'!$A$2:$A$72,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IFERROR(INDEX('2_VA_total_by_BEA'!$B$2:$B$72, MATCH($A70, '2_VA_total_by_BEA'!$A$2:$A$72,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IFERROR(INDEX('2_VA_total_by_BEA'!$B$2:$B$72, MATCH($A71, '2_VA_total_by_BEA'!$A$2:$A$72,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IFERROR(INDEX('2_VA_total_by_BEA'!$B$2:$B$72, MATCH($A72, '2_VA_total_by_BEA'!$A$2:$A$72,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IFERROR(INDEX('2_VA_total_by_BEA'!$B$2:$B$72, MATCH($A73, '2_VA_total_by_BEA'!$A$2:$A$72,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IFERROR(INDEX('2_VA_total_by_BEA'!$B$2:$B$72, MATCH($A74, '2_VA_total_by_BEA'!$A$2:$A$72,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IFERROR(INDEX('2_VA_total_by_BEA'!$B$2:$B$72, MATCH($A75, '2_VA_total_by_BEA'!$A$2:$A$72,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IFERROR(INDEX('2_VA_total_by_BEA'!$B$2:$B$72, MATCH($A76, '2_VA_total_by_BEA'!$A$2:$A$72,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IFERROR(INDEX('2_VA_total_by_BEA'!$B$2:$B$72, MATCH($A77, '2_VA_total_by_BEA'!$A$2:$A$72,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IFERROR(INDEX('2_VA_total_by_BEA'!$B$2:$B$72, MATCH($A78, '2_VA_total_by_BEA'!$A$2:$A$72,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IFERROR(INDEX('2_VA_total_by_BEA'!$B$2:$B$72, MATCH($A79, '2_VA_total_by_BEA'!$A$2:$A$72,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IFERROR(INDEX('2_VA_total_by_BEA'!$B$2:$B$72, MATCH($A80, '2_VA_total_by_BEA'!$A$2:$A$72,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IFERROR(INDEX('2_VA_total_by_BEA'!$B$2:$B$72, MATCH($A81, '2_VA_total_by_BEA'!$A$2:$A$72, 0)), 0)</f>
      </c>
      <c r="E81" t="str">
        <f>C81*D81</f>
      </c>
    </row>
    <row r="83">
      <c r="A83" t="s">
        <v>576</v>
      </c>
    </row>
    <row r="84">
      <c r="A84" t="s">
        <v>321</v>
      </c>
      <c r="B84" t="s">
        <v>577</v>
      </c>
      <c r="C84" t="s">
        <v>578</v>
      </c>
    </row>
    <row r="85">
      <c r="A85" t="s">
        <v>327</v>
      </c>
      <c r="B85" t="str">
        <f>SUMIFS('6_Calc_ISIC_aggregation'!$E$3:$E$81, '6_Calc_ISIC_aggregation'!$B$3:$B$81, $A85)</f>
      </c>
      <c r="C85" t="str">
        <f>B85/Keys!$C$2</f>
      </c>
    </row>
    <row r="86">
      <c r="A86" t="s">
        <v>469</v>
      </c>
      <c r="B86" t="str">
        <f>SUMIFS('6_Calc_ISIC_aggregation'!$E$3:$E$81, '6_Calc_ISIC_aggregation'!$B$3:$B$81, $A86)</f>
      </c>
      <c r="C86" t="str">
        <f>B86/Keys!$C$2</f>
      </c>
    </row>
    <row r="87">
      <c r="A87" t="s">
        <v>331</v>
      </c>
      <c r="B87" t="str">
        <f>SUMIFS('6_Calc_ISIC_aggregation'!$E$3:$E$81, '6_Calc_ISIC_aggregation'!$B$3:$B$81, $A87)</f>
      </c>
      <c r="C87" t="str">
        <f>B87/Keys!$C$2</f>
      </c>
    </row>
    <row r="88">
      <c r="A88" t="s">
        <v>472</v>
      </c>
      <c r="B88" t="str">
        <f>SUMIFS('6_Calc_ISIC_aggregation'!$E$3:$E$81, '6_Calc_ISIC_aggregation'!$B$3:$B$81, $A88)</f>
      </c>
      <c r="C88" t="str">
        <f>B88/Keys!$C$2</f>
      </c>
    </row>
    <row r="89">
      <c r="A89" t="s">
        <v>334</v>
      </c>
      <c r="B89" t="str">
        <f>SUMIFS('6_Calc_ISIC_aggregation'!$E$3:$E$81, '6_Calc_ISIC_aggregation'!$B$3:$B$81, $A89)</f>
      </c>
      <c r="C89" t="str">
        <f>B89/Keys!$C$2</f>
      </c>
    </row>
    <row r="90">
      <c r="A90" t="s">
        <v>349</v>
      </c>
      <c r="B90" t="str">
        <f>SUMIFS('6_Calc_ISIC_aggregation'!$E$3:$E$81, '6_Calc_ISIC_aggregation'!$B$3:$B$81, $A90)</f>
      </c>
      <c r="C90" t="str">
        <f>B90/Keys!$C$2</f>
      </c>
    </row>
    <row r="91">
      <c r="A91" t="s">
        <v>352</v>
      </c>
      <c r="B91" t="str">
        <f>SUMIFS('6_Calc_ISIC_aggregation'!$E$3:$E$81, '6_Calc_ISIC_aggregation'!$B$3:$B$81, $A91)</f>
      </c>
      <c r="C91" t="str">
        <f>B91/Keys!$C$2</f>
      </c>
    </row>
    <row r="92">
      <c r="A92" t="s">
        <v>356</v>
      </c>
      <c r="B92" t="str">
        <f>SUMIFS('6_Calc_ISIC_aggregation'!$E$3:$E$81, '6_Calc_ISIC_aggregation'!$B$3:$B$81, $A92)</f>
      </c>
      <c r="C92" t="str">
        <f>B92/Keys!$C$2</f>
      </c>
    </row>
    <row r="93">
      <c r="A93" t="s">
        <v>359</v>
      </c>
      <c r="B93" t="str">
        <f>SUMIFS('6_Calc_ISIC_aggregation'!$E$3:$E$81, '6_Calc_ISIC_aggregation'!$B$3:$B$81, $A93)</f>
      </c>
      <c r="C93" t="str">
        <f>B93/Keys!$C$2</f>
      </c>
    </row>
    <row r="94">
      <c r="A94" t="s">
        <v>363</v>
      </c>
      <c r="B94" t="str">
        <f>SUMIFS('6_Calc_ISIC_aggregation'!$E$3:$E$81, '6_Calc_ISIC_aggregation'!$B$3:$B$81, $A94)</f>
      </c>
      <c r="C94" t="str">
        <f>B94/Keys!$C$2</f>
      </c>
    </row>
    <row r="95">
      <c r="A95" t="s">
        <v>485</v>
      </c>
      <c r="B95" t="str">
        <f>SUMIFS('6_Calc_ISIC_aggregation'!$E$3:$E$81, '6_Calc_ISIC_aggregation'!$B$3:$B$81, $A95)</f>
      </c>
      <c r="C95" t="str">
        <f>B95/Keys!$C$2</f>
      </c>
    </row>
    <row r="96">
      <c r="A96" t="s">
        <v>488</v>
      </c>
      <c r="B96" t="str">
        <f>SUMIFS('6_Calc_ISIC_aggregation'!$E$3:$E$81, '6_Calc_ISIC_aggregation'!$B$3:$B$81, $A96)</f>
      </c>
      <c r="C96" t="str">
        <f>B96/Keys!$C$2</f>
      </c>
    </row>
    <row r="97">
      <c r="A97" t="s">
        <v>134</v>
      </c>
      <c r="B97" t="str">
        <f>SUMIFS('6_Calc_ISIC_aggregation'!$E$3:$E$81, '6_Calc_ISIC_aggregation'!$B$3:$B$81, $A97)</f>
      </c>
      <c r="C97" t="str">
        <f>B97/Keys!$C$2</f>
      </c>
    </row>
    <row r="98">
      <c r="A98" t="s">
        <v>475</v>
      </c>
      <c r="B98" t="str">
        <f>SUMIFS('6_Calc_ISIC_aggregation'!$E$3:$E$81, '6_Calc_ISIC_aggregation'!$B$3:$B$81, $A98)</f>
      </c>
      <c r="C98" t="str">
        <f>B98/Keys!$C$2</f>
      </c>
    </row>
    <row r="99">
      <c r="A99" t="s">
        <v>478</v>
      </c>
      <c r="B99" t="str">
        <f>SUMIFS('6_Calc_ISIC_aggregation'!$E$3:$E$81, '6_Calc_ISIC_aggregation'!$B$3:$B$81, $A99)</f>
      </c>
      <c r="C99" t="str">
        <f>B99/Keys!$C$2</f>
      </c>
    </row>
    <row r="100">
      <c r="A100" t="s">
        <v>366</v>
      </c>
      <c r="B100" t="str">
        <f>SUMIFS('6_Calc_ISIC_aggregation'!$E$3:$E$81, '6_Calc_ISIC_aggregation'!$B$3:$B$81, $A100)</f>
      </c>
      <c r="C100" t="str">
        <f>B100/Keys!$C$2</f>
      </c>
    </row>
    <row r="101">
      <c r="A101" t="s">
        <v>482</v>
      </c>
      <c r="B101" t="str">
        <f>SUMIFS('6_Calc_ISIC_aggregation'!$E$3:$E$81, '6_Calc_ISIC_aggregation'!$B$3:$B$81, $A101)</f>
      </c>
      <c r="C101" t="str">
        <f>B101/Keys!$C$2</f>
      </c>
    </row>
    <row r="102">
      <c r="A102" t="s">
        <v>372</v>
      </c>
      <c r="B102" t="str">
        <f>SUMIFS('6_Calc_ISIC_aggregation'!$E$3:$E$81, '6_Calc_ISIC_aggregation'!$B$3:$B$81, $A102)</f>
      </c>
      <c r="C102" t="str">
        <f>B102/Keys!$C$2</f>
      </c>
    </row>
    <row r="103">
      <c r="A103" t="s">
        <v>377</v>
      </c>
      <c r="B103" t="str">
        <f>SUMIFS('6_Calc_ISIC_aggregation'!$E$3:$E$81, '6_Calc_ISIC_aggregation'!$B$3:$B$81, $A103)</f>
      </c>
      <c r="C103" t="str">
        <f>B103/Keys!$C$2</f>
      </c>
    </row>
    <row r="104">
      <c r="A104" t="s">
        <v>380</v>
      </c>
      <c r="B104" t="str">
        <f>SUMIFS('6_Calc_ISIC_aggregation'!$E$3:$E$81, '6_Calc_ISIC_aggregation'!$B$3:$B$81, $A104)</f>
      </c>
      <c r="C104" t="str">
        <f>B104/Keys!$C$2</f>
      </c>
    </row>
    <row r="105">
      <c r="A105" t="s">
        <v>374</v>
      </c>
      <c r="B105" t="str">
        <f>SUMIFS('6_Calc_ISIC_aggregation'!$E$3:$E$81, '6_Calc_ISIC_aggregation'!$B$3:$B$81, $A105)</f>
      </c>
      <c r="C105" t="str">
        <f>B105/Keys!$C$2</f>
      </c>
    </row>
    <row r="106">
      <c r="A106" t="s">
        <v>383</v>
      </c>
      <c r="B106" t="str">
        <f>SUMIFS('6_Calc_ISIC_aggregation'!$E$3:$E$81, '6_Calc_ISIC_aggregation'!$B$3:$B$81, $A106)</f>
      </c>
      <c r="C106" t="str">
        <f>B106/Keys!$C$2</f>
      </c>
    </row>
    <row r="107">
      <c r="A107" t="s">
        <v>386</v>
      </c>
      <c r="B107" t="str">
        <f>SUMIFS('6_Calc_ISIC_aggregation'!$E$3:$E$81, '6_Calc_ISIC_aggregation'!$B$3:$B$81, $A107)</f>
      </c>
      <c r="C107" t="str">
        <f>B107/Keys!$C$2</f>
      </c>
    </row>
    <row r="108">
      <c r="A108" t="s">
        <v>389</v>
      </c>
      <c r="B108" t="str">
        <f>SUMIFS('6_Calc_ISIC_aggregation'!$E$3:$E$81, '6_Calc_ISIC_aggregation'!$B$3:$B$81, $A108)</f>
      </c>
      <c r="C108" t="str">
        <f>B108/Keys!$C$2</f>
      </c>
    </row>
    <row r="109">
      <c r="A109" t="s">
        <v>337</v>
      </c>
      <c r="B109" t="str">
        <f>SUMIFS('6_Calc_ISIC_aggregation'!$E$3:$E$81, '6_Calc_ISIC_aggregation'!$B$3:$B$81, $A109)</f>
      </c>
      <c r="C109" t="str">
        <f>B109/Keys!$C$2</f>
      </c>
    </row>
    <row r="110">
      <c r="A110" t="s">
        <v>340</v>
      </c>
      <c r="B110" t="str">
        <f>SUMIFS('6_Calc_ISIC_aggregation'!$E$3:$E$81, '6_Calc_ISIC_aggregation'!$B$3:$B$81, $A110)</f>
      </c>
      <c r="C110" t="str">
        <f>B110/Keys!$C$2</f>
      </c>
    </row>
    <row r="111">
      <c r="A111" t="s">
        <v>343</v>
      </c>
      <c r="B111" t="str">
        <f>SUMIFS('6_Calc_ISIC_aggregation'!$E$3:$E$81, '6_Calc_ISIC_aggregation'!$B$3:$B$81, $A111)</f>
      </c>
      <c r="C111" t="str">
        <f>B111/Keys!$C$2</f>
      </c>
    </row>
    <row r="112">
      <c r="A112" t="s">
        <v>347</v>
      </c>
      <c r="B112" t="str">
        <f>SUMIFS('6_Calc_ISIC_aggregation'!$E$3:$E$81, '6_Calc_ISIC_aggregation'!$B$3:$B$81, $A112)</f>
      </c>
      <c r="C112" t="str">
        <f>B112/Keys!$C$2</f>
      </c>
    </row>
    <row r="113">
      <c r="A113" t="s">
        <v>393</v>
      </c>
      <c r="B113" t="str">
        <f>SUMIFS('6_Calc_ISIC_aggregation'!$E$3:$E$81, '6_Calc_ISIC_aggregation'!$B$3:$B$81, $A113)</f>
      </c>
      <c r="C113" t="str">
        <f>B113/Keys!$C$2</f>
      </c>
    </row>
    <row r="114">
      <c r="A114" t="s">
        <v>400</v>
      </c>
      <c r="B114" t="str">
        <f>SUMIFS('6_Calc_ISIC_aggregation'!$E$3:$E$81, '6_Calc_ISIC_aggregation'!$B$3:$B$81, $A114)</f>
      </c>
      <c r="C114" t="str">
        <f>B114/Keys!$C$2</f>
      </c>
    </row>
    <row r="115">
      <c r="A115" t="s">
        <v>457</v>
      </c>
      <c r="B115" t="str">
        <f>SUMIFS('6_Calc_ISIC_aggregation'!$E$3:$E$81, '6_Calc_ISIC_aggregation'!$B$3:$B$81, $A115)</f>
      </c>
      <c r="C115" t="str">
        <f>B115/Keys!$C$2</f>
      </c>
    </row>
    <row r="116">
      <c r="A116" t="s">
        <v>412</v>
      </c>
      <c r="B116" t="str">
        <f>SUMIFS('6_Calc_ISIC_aggregation'!$E$3:$E$81, '6_Calc_ISIC_aggregation'!$B$3:$B$81, $A116)</f>
      </c>
      <c r="C116" t="str">
        <f>B116/Keys!$C$2</f>
      </c>
    </row>
    <row r="117">
      <c r="A117" t="s">
        <v>185</v>
      </c>
      <c r="B117" t="str">
        <f>SUMIFS('6_Calc_ISIC_aggregation'!$E$3:$E$81, '6_Calc_ISIC_aggregation'!$B$3:$B$81, $A117)</f>
      </c>
      <c r="C117" t="str">
        <f>B117/Keys!$C$2</f>
      </c>
    </row>
    <row r="118">
      <c r="A118" t="s">
        <v>419</v>
      </c>
      <c r="B118" t="str">
        <f>SUMIFS('6_Calc_ISIC_aggregation'!$E$3:$E$81, '6_Calc_ISIC_aggregation'!$B$3:$B$81, $A118)</f>
      </c>
      <c r="C118" t="str">
        <f>B118/Keys!$C$2</f>
      </c>
    </row>
    <row r="119">
      <c r="A119" t="s">
        <v>422</v>
      </c>
      <c r="B119" t="str">
        <f>SUMIFS('6_Calc_ISIC_aggregation'!$E$3:$E$81, '6_Calc_ISIC_aggregation'!$B$3:$B$81, $A119)</f>
      </c>
      <c r="C119" t="str">
        <f>B119/Keys!$C$2</f>
      </c>
    </row>
    <row r="120">
      <c r="A120" t="s">
        <v>428</v>
      </c>
      <c r="B120" t="str">
        <f>SUMIFS('6_Calc_ISIC_aggregation'!$E$3:$E$81, '6_Calc_ISIC_aggregation'!$B$3:$B$81, $A120)</f>
      </c>
      <c r="C120" t="str">
        <f>B120/Keys!$C$2</f>
      </c>
    </row>
    <row r="121">
      <c r="A121" t="s">
        <v>432</v>
      </c>
      <c r="B121" t="str">
        <f>SUMIFS('6_Calc_ISIC_aggregation'!$E$3:$E$81, '6_Calc_ISIC_aggregation'!$B$3:$B$81, $A121)</f>
      </c>
      <c r="C121" t="str">
        <f>B121/Keys!$C$2</f>
      </c>
    </row>
    <row r="122">
      <c r="A122" t="s">
        <v>462</v>
      </c>
      <c r="B122" t="str">
        <f>SUMIFS('6_Calc_ISIC_aggregation'!$E$3:$E$81, '6_Calc_ISIC_aggregation'!$B$3:$B$81, $A122)</f>
      </c>
      <c r="C122" t="str">
        <f>B122/Keys!$C$2</f>
      </c>
    </row>
    <row r="123">
      <c r="A123" t="s">
        <v>444</v>
      </c>
      <c r="B123" t="str">
        <f>SUMIFS('6_Calc_ISIC_aggregation'!$E$3:$E$81, '6_Calc_ISIC_aggregation'!$B$3:$B$81, $A123)</f>
      </c>
      <c r="C123" t="str">
        <f>B123/Keys!$C$2</f>
      </c>
    </row>
    <row r="124">
      <c r="A124" t="s">
        <v>447</v>
      </c>
      <c r="B124" t="str">
        <f>SUMIFS('6_Calc_ISIC_aggregation'!$E$3:$E$81, '6_Calc_ISIC_aggregation'!$B$3:$B$81, $A124)</f>
      </c>
      <c r="C124" t="str">
        <f>B124/Keys!$C$2</f>
      </c>
    </row>
    <row r="125">
      <c r="A125" t="s">
        <v>453</v>
      </c>
      <c r="B125" t="str">
        <f>SUMIFS('6_Calc_ISIC_aggregation'!$E$3:$E$81, '6_Calc_ISIC_aggregation'!$B$3:$B$81, $A125)</f>
      </c>
      <c r="C125" t="str">
        <f>B125/Keys!$C$2</f>
      </c>
    </row>
    <row r="126">
      <c r="A126" t="s">
        <v>570</v>
      </c>
      <c r="B126" t="str">
        <f>SUMIFS('6_Calc_ISIC_aggregation'!$E$3:$E$81, '6_Calc_ISIC_aggregation'!$B$3:$B$81,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579</v>
      </c>
      <c r="B1" t="s">
        <v>327</v>
      </c>
      <c r="C1" t="s">
        <v>469</v>
      </c>
      <c r="D1" t="s">
        <v>331</v>
      </c>
      <c r="E1" t="s">
        <v>472</v>
      </c>
      <c r="F1" t="s">
        <v>334</v>
      </c>
      <c r="G1" t="s">
        <v>349</v>
      </c>
      <c r="H1" t="s">
        <v>352</v>
      </c>
      <c r="I1" t="s">
        <v>356</v>
      </c>
      <c r="J1" t="s">
        <v>359</v>
      </c>
      <c r="K1" t="s">
        <v>363</v>
      </c>
      <c r="L1" t="s">
        <v>485</v>
      </c>
      <c r="M1" t="s">
        <v>488</v>
      </c>
      <c r="N1" t="s">
        <v>134</v>
      </c>
      <c r="O1" t="s">
        <v>475</v>
      </c>
      <c r="P1" t="s">
        <v>478</v>
      </c>
      <c r="Q1" t="s">
        <v>366</v>
      </c>
      <c r="R1" t="s">
        <v>482</v>
      </c>
      <c r="S1" t="s">
        <v>372</v>
      </c>
      <c r="T1" t="s">
        <v>377</v>
      </c>
      <c r="U1" t="s">
        <v>380</v>
      </c>
      <c r="V1" t="s">
        <v>374</v>
      </c>
      <c r="W1" t="s">
        <v>383</v>
      </c>
      <c r="X1" t="s">
        <v>386</v>
      </c>
      <c r="Y1" t="s">
        <v>389</v>
      </c>
      <c r="Z1" t="s">
        <v>337</v>
      </c>
      <c r="AA1" t="s">
        <v>340</v>
      </c>
      <c r="AB1" t="s">
        <v>343</v>
      </c>
      <c r="AC1" t="s">
        <v>347</v>
      </c>
      <c r="AD1" t="s">
        <v>393</v>
      </c>
      <c r="AE1" t="s">
        <v>400</v>
      </c>
      <c r="AF1" t="s">
        <v>457</v>
      </c>
      <c r="AG1" t="s">
        <v>412</v>
      </c>
      <c r="AH1" t="s">
        <v>185</v>
      </c>
      <c r="AI1" t="s">
        <v>419</v>
      </c>
      <c r="AJ1" t="s">
        <v>422</v>
      </c>
      <c r="AK1" t="s">
        <v>428</v>
      </c>
      <c r="AL1" t="s">
        <v>432</v>
      </c>
      <c r="AM1" t="s">
        <v>462</v>
      </c>
      <c r="AN1" t="s">
        <v>444</v>
      </c>
      <c r="AO1" t="s">
        <v>447</v>
      </c>
      <c r="AP1" t="s">
        <v>453</v>
      </c>
      <c r="AQ1" t="s">
        <v>570</v>
      </c>
    </row>
    <row r="2">
      <c r="A2" t="s">
        <v>580</v>
      </c>
      <c r="B2" t="str">
        <f>INDEX('6_Calc_ISIC_aggregation'!$C$85:$C$126, MATCH(B$1, '6_Calc_ISIC_aggregation'!$A$85:$A$126, 0))</f>
      </c>
      <c r="C2" t="str">
        <f>INDEX('6_Calc_ISIC_aggregation'!$C$85:$C$126, MATCH(C$1, '6_Calc_ISIC_aggregation'!$A$85:$A$126, 0))</f>
      </c>
      <c r="D2" t="str">
        <f>INDEX('6_Calc_ISIC_aggregation'!$C$85:$C$126, MATCH(D$1, '6_Calc_ISIC_aggregation'!$A$85:$A$126, 0))</f>
      </c>
      <c r="E2" t="str">
        <f>INDEX('6_Calc_ISIC_aggregation'!$C$85:$C$126, MATCH(E$1, '6_Calc_ISIC_aggregation'!$A$85:$A$126, 0))</f>
      </c>
      <c r="F2" t="str">
        <f>INDEX('6_Calc_ISIC_aggregation'!$C$85:$C$126, MATCH(F$1, '6_Calc_ISIC_aggregation'!$A$85:$A$126, 0))</f>
      </c>
      <c r="G2" t="str">
        <f>INDEX('6_Calc_ISIC_aggregation'!$C$85:$C$126, MATCH(G$1, '6_Calc_ISIC_aggregation'!$A$85:$A$126, 0))</f>
      </c>
      <c r="H2" t="str">
        <f>INDEX('6_Calc_ISIC_aggregation'!$C$85:$C$126, MATCH(H$1, '6_Calc_ISIC_aggregation'!$A$85:$A$126, 0))</f>
      </c>
      <c r="I2" t="str">
        <f>INDEX('6_Calc_ISIC_aggregation'!$C$85:$C$126, MATCH(I$1, '6_Calc_ISIC_aggregation'!$A$85:$A$126, 0))</f>
      </c>
      <c r="J2" t="str">
        <f>INDEX('6_Calc_ISIC_aggregation'!$C$85:$C$126, MATCH(J$1, '6_Calc_ISIC_aggregation'!$A$85:$A$126, 0))</f>
      </c>
      <c r="K2" t="str">
        <f>INDEX('6_Calc_ISIC_aggregation'!$C$85:$C$126, MATCH(K$1, '6_Calc_ISIC_aggregation'!$A$85:$A$126, 0))</f>
      </c>
      <c r="L2" t="str">
        <f>INDEX('6_Calc_ISIC_aggregation'!$C$85:$C$126, MATCH(L$1, '6_Calc_ISIC_aggregation'!$A$85:$A$126, 0))</f>
      </c>
      <c r="M2" t="str">
        <f>INDEX('6_Calc_ISIC_aggregation'!$C$85:$C$126, MATCH(M$1, '6_Calc_ISIC_aggregation'!$A$85:$A$126, 0))</f>
      </c>
      <c r="N2" t="str">
        <f>INDEX('6_Calc_ISIC_aggregation'!$C$85:$C$126, MATCH(N$1, '6_Calc_ISIC_aggregation'!$A$85:$A$126, 0))</f>
      </c>
      <c r="O2" t="str">
        <f>INDEX('6_Calc_ISIC_aggregation'!$C$85:$C$126, MATCH(O$1, '6_Calc_ISIC_aggregation'!$A$85:$A$126, 0))</f>
      </c>
      <c r="P2" t="str">
        <f>INDEX('6_Calc_ISIC_aggregation'!$C$85:$C$126, MATCH(P$1, '6_Calc_ISIC_aggregation'!$A$85:$A$126, 0))</f>
      </c>
      <c r="Q2" t="str">
        <f>INDEX('6_Calc_ISIC_aggregation'!$C$85:$C$126, MATCH(Q$1, '6_Calc_ISIC_aggregation'!$A$85:$A$126, 0))</f>
      </c>
      <c r="R2" t="str">
        <f>INDEX('6_Calc_ISIC_aggregation'!$C$85:$C$126, MATCH(R$1, '6_Calc_ISIC_aggregation'!$A$85:$A$126, 0))</f>
      </c>
      <c r="S2" t="str">
        <f>INDEX('6_Calc_ISIC_aggregation'!$C$85:$C$126, MATCH(S$1, '6_Calc_ISIC_aggregation'!$A$85:$A$126, 0))</f>
      </c>
      <c r="T2" t="str">
        <f>INDEX('6_Calc_ISIC_aggregation'!$C$85:$C$126, MATCH(T$1, '6_Calc_ISIC_aggregation'!$A$85:$A$126, 0))</f>
      </c>
      <c r="U2" t="str">
        <f>INDEX('6_Calc_ISIC_aggregation'!$C$85:$C$126, MATCH(U$1, '6_Calc_ISIC_aggregation'!$A$85:$A$126, 0))</f>
      </c>
      <c r="V2" t="str">
        <f>INDEX('6_Calc_ISIC_aggregation'!$C$85:$C$126, MATCH(V$1, '6_Calc_ISIC_aggregation'!$A$85:$A$126, 0))</f>
      </c>
      <c r="W2" t="str">
        <f>INDEX('6_Calc_ISIC_aggregation'!$C$85:$C$126, MATCH(W$1, '6_Calc_ISIC_aggregation'!$A$85:$A$126, 0))</f>
      </c>
      <c r="X2" t="str">
        <f>INDEX('6_Calc_ISIC_aggregation'!$C$85:$C$126, MATCH(X$1, '6_Calc_ISIC_aggregation'!$A$85:$A$126, 0))</f>
      </c>
      <c r="Y2" t="str">
        <f>INDEX('6_Calc_ISIC_aggregation'!$C$85:$C$126, MATCH(Y$1, '6_Calc_ISIC_aggregation'!$A$85:$A$126, 0))</f>
      </c>
      <c r="Z2" t="str">
        <f>INDEX('6_Calc_ISIC_aggregation'!$C$85:$C$126, MATCH(Z$1, '6_Calc_ISIC_aggregation'!$A$85:$A$126, 0))</f>
      </c>
      <c r="AA2" t="str">
        <f>INDEX('6_Calc_ISIC_aggregation'!$C$85:$C$126, MATCH(AA$1, '6_Calc_ISIC_aggregation'!$A$85:$A$126, 0))</f>
      </c>
      <c r="AB2" t="str">
        <f>INDEX('6_Calc_ISIC_aggregation'!$C$85:$C$126, MATCH(AB$1, '6_Calc_ISIC_aggregation'!$A$85:$A$126, 0))</f>
      </c>
      <c r="AC2" t="str">
        <f>INDEX('6_Calc_ISIC_aggregation'!$C$85:$C$126, MATCH(AC$1, '6_Calc_ISIC_aggregation'!$A$85:$A$126, 0))</f>
      </c>
      <c r="AD2" t="str">
        <f>INDEX('6_Calc_ISIC_aggregation'!$C$85:$C$126, MATCH(AD$1, '6_Calc_ISIC_aggregation'!$A$85:$A$126, 0))</f>
      </c>
      <c r="AE2" t="str">
        <f>INDEX('6_Calc_ISIC_aggregation'!$C$85:$C$126, MATCH(AE$1, '6_Calc_ISIC_aggregation'!$A$85:$A$126, 0))</f>
      </c>
      <c r="AF2" t="str">
        <f>INDEX('6_Calc_ISIC_aggregation'!$C$85:$C$126, MATCH(AF$1, '6_Calc_ISIC_aggregation'!$A$85:$A$126, 0))</f>
      </c>
      <c r="AG2" t="str">
        <f>INDEX('6_Calc_ISIC_aggregation'!$C$85:$C$126, MATCH(AG$1, '6_Calc_ISIC_aggregation'!$A$85:$A$126, 0))</f>
      </c>
      <c r="AH2" t="str">
        <f>INDEX('6_Calc_ISIC_aggregation'!$C$85:$C$126, MATCH(AH$1, '6_Calc_ISIC_aggregation'!$A$85:$A$126, 0))</f>
      </c>
      <c r="AI2" t="str">
        <f>INDEX('6_Calc_ISIC_aggregation'!$C$85:$C$126, MATCH(AI$1, '6_Calc_ISIC_aggregation'!$A$85:$A$126, 0))</f>
      </c>
      <c r="AJ2" t="str">
        <f>INDEX('6_Calc_ISIC_aggregation'!$C$85:$C$126, MATCH(AJ$1, '6_Calc_ISIC_aggregation'!$A$85:$A$126, 0))</f>
      </c>
      <c r="AK2" t="str">
        <f>INDEX('6_Calc_ISIC_aggregation'!$C$85:$C$126, MATCH(AK$1, '6_Calc_ISIC_aggregation'!$A$85:$A$126, 0))</f>
      </c>
      <c r="AL2" t="str">
        <f>INDEX('6_Calc_ISIC_aggregation'!$C$85:$C$126, MATCH(AL$1, '6_Calc_ISIC_aggregation'!$A$85:$A$126, 0))</f>
      </c>
      <c r="AM2" t="str">
        <f>INDEX('6_Calc_ISIC_aggregation'!$C$85:$C$126, MATCH(AM$1, '6_Calc_ISIC_aggregation'!$A$85:$A$126, 0))</f>
      </c>
      <c r="AN2" t="str">
        <f>INDEX('6_Calc_ISIC_aggregation'!$C$85:$C$126, MATCH(AN$1, '6_Calc_ISIC_aggregation'!$A$85:$A$126, 0))</f>
      </c>
      <c r="AO2" t="str">
        <f>INDEX('6_Calc_ISIC_aggregation'!$C$85:$C$126, MATCH(AO$1, '6_Calc_ISIC_aggregation'!$A$85:$A$126, 0))</f>
      </c>
      <c r="AP2" t="str">
        <f>INDEX('6_Calc_ISIC_aggregation'!$C$85:$C$126, MATCH(AP$1, '6_Calc_ISIC_aggregation'!$A$85:$A$126, 0))</f>
      </c>
      <c r="AQ2" t="str">
        <f>INDEX('6_Calc_ISIC_aggregation'!$C$85:$C$126, MATCH(AQ$1, '6_Calc_ISIC_aggregation'!$A$85:$A$126,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2026-07-17T19:21:47Z</dcterms:created>
</coreProperties>
</file>