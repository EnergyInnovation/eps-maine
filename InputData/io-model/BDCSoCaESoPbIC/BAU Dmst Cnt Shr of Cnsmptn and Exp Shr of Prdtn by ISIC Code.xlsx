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DCS_numerator_by_BEA" sheetId="3" state="visible" r:id="rId3"/>
    <sheet name="2_DCS_denominator_by_BEA" sheetId="4" state="visible" r:id="rId4"/>
    <sheet name="3_ESoP_RoUS_exports_by_BEA" sheetId="5" state="visible" r:id="rId5"/>
    <sheet name="4_ESoP_intl_exports_by_BEA" sheetId="6" state="visible" r:id="rId6"/>
    <sheet name="5_Exp_total_by_BEA" sheetId="7" state="visible" r:id="rId7"/>
    <sheet name="Src_Stateior_SoI_DomUse" sheetId="8" state="visible" r:id="rId8"/>
    <sheet name="Src_Stateior_SoI_TotUse" sheetId="9" state="visible" r:id="rId9"/>
    <sheet name="Src_Disagg_EIA_coal" sheetId="10" state="visible" r:id="rId10"/>
    <sheet name="Src_Disagg_heuristics" sheetId="11" state="visible" r:id="rId11"/>
    <sheet name="Crosswalk_BEA_to_ISIC" sheetId="12" state="visible" r:id="rId12"/>
    <sheet name="State_disagg_splits" sheetId="13" state="visible" r:id="rId13"/>
    <sheet name="NAICS_to_ISIC_Key" sheetId="14" state="visible" r:id="rId14"/>
    <sheet name="6_Calc_DCS_num_ISIC" sheetId="15" state="visible" r:id="rId15"/>
    <sheet name="7_Calc_DCS_den_ISIC" sheetId="16" state="visible" r:id="rId16"/>
    <sheet name="8_Calc_Exp_ISIC" sheetId="17" state="visible" r:id="rId17"/>
    <sheet name="9_Output_by_ISIC" sheetId="18" state="visible" r:id="rId18"/>
    <sheet name="9b_DCS_overrides" sheetId="19" state="visible" r:id="rId19"/>
    <sheet name="9c_ESoP_overrides" sheetId="20" state="visible" r:id="rId20"/>
    <sheet name="10_Calc_DCS_ratio" sheetId="21" state="visible" r:id="rId21"/>
    <sheet name="11_Calc_ESoP_ratio" sheetId="22" state="visible" r:id="rId22"/>
    <sheet name="BDCSoCbIC" sheetId="23" state="visible" r:id="rId23"/>
    <sheet name="BESoP" sheetId="24" state="visible" r:id="rId24"/>
  </sheets>
  <calcPr calcId="191029" fullCalcOnLoad="1"/>
</workbook>
</file>

<file path=xl/sharedStrings.xml><?xml version="1.0" encoding="utf-8"?>
<sst xmlns="http://schemas.openxmlformats.org/spreadsheetml/2006/main" count="613" uniqueCount="613">
  <si>
    <t xml:space="preserve">BDCSoCbIC - BAU Domestic Content Share by ISIC Code</t>
  </si>
  <si>
    <t xml:space="preserve"/>
  </si>
  <si>
    <t xml:space="preserve">State: Maine (ME)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</si>
  <si>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</si>
  <si>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</si>
  <si>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</si>
  <si>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For each 42-ISIC commodity i, domestic content share =</t>
  </si>
  <si>
    <t xml:space="preserve">    DCS(i) = SoI-produced-consumed-in-SoI(i)</t>
  </si>
  <si>
    <t xml:space="preserve">             / total-consumed-in-SoI(i)</t>
  </si>
  <si>
    <t xml:space="preserve">where:</t>
  </si>
  <si>
    <t xml:space="preserve">  numerator   = rowSums(DomesticUse[i/US-&lt;ST&gt;, j/US-&lt;ST&gt;])</t>
  </si>
  <si>
    <t xml:space="preserve">  denominator = rowSums(Use[i/US-&lt;ST&gt;, j/US-&lt;ST&gt;]) +</t>
  </si>
  <si>
    <t xml:space="preserve">                rowSums(Use[i/RoUS, j/US-&lt;ST&gt;])</t>
  </si>
  <si>
    <t xml:space="preserve">The denominator captures total consumption of commodity i in the</t>
  </si>
  <si>
    <t xml:space="preserve">state from all sources: in-state production, out-of-state US</t>
  </si>
  <si>
    <t xml:space="preserve">production, and international imports (implicit in Use).</t>
  </si>
  <si>
    <t xml:space="preserve">EIA-anchored override (coal, ISIC 05): stateior's pooled trade</t>
  </si>
  <si>
    <t xml:space="preserve">allocation creates fictitious interstate cross-hauling that badly</t>
  </si>
  <si>
    <t xml:space="preserve">mis-states coal domestic content (both directions, e.g. TN 0.565 vs</t>
  </si>
  <si>
    <t xml:space="preserve">~0.04 true; WY 0.627 vs ~1.0). DCS[05] is therefore replaced by the</t>
  </si>
  <si>
    <t xml:space="preserve">physical commodity balance min(production, consumption)/consumption</t>
  </si>
  <si>
    <t xml:space="preserve">(own-use-first) from EIA-7A production + SEDS CLTCP consumption, both</t>
  </si>
  <si>
    <t xml:space="preserve">in short tons of the same vintage. The override value + source appear</t>
  </si>
  <si>
    <t xml:space="preserve">on the 9b_DCS_EIA_override tab and are applied by formula in the final</t>
  </si>
  <si>
    <t xml:space="preserve">DCS column. See notes/energy_dcs_override.md (incl. limitations, e.g.</t>
  </si>
  <si>
    <t xml:space="preserve">met-vs-steam coal mix in AL-type states).</t>
  </si>
  <si>
    <t xml:space="preserve">Values are fractions in [0, 1]. Unchanged from output; no deflator.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</si>
  <si>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</si>
  <si>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</si>
  <si>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</si>
  <si>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</si>
  <si>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</si>
  <si>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</si>
  <si>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</si>
  <si>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</si>
  <si>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</si>
  <si>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</si>
  <si>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</si>
  <si>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</si>
  <si>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</si>
  <si>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</si>
  <si>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</si>
  <si>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</si>
  <si>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</si>
  <si>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</si>
  <si>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</si>
  <si>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</si>
  <si>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</si>
  <si>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</si>
  <si>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</si>
  <si>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</si>
  <si>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</si>
  <si>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</si>
  <si>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</si>
  <si>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</si>
  <si>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</si>
  <si>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</si>
  <si>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</si>
  <si>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</si>
  <si>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</si>
  <si>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</si>
  <si>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</si>
  <si>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</si>
  <si>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</si>
  <si>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</si>
  <si>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</si>
  <si>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</si>
  <si>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</si>
  <si>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</si>
  <si>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</si>
  <si>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</si>
  <si>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</si>
  <si>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</si>
  <si>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</si>
  <si>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</si>
  <si>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</si>
  <si>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</si>
  <si>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</si>
  <si>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Both outputs are FORMULA-DERIVED from the per-BEA intermediate tabs:</t>
  </si>
  <si>
    <t xml:space="preserve">aggregate to 42 ISIC via the Crosswalk tab, ratio with the Keys epsilon</t>
  </si>
  <si>
    <t xml:space="preserve">floor, clamp to [0,1]. Edit an intermediate cell and they recompute.</t>
  </si>
  <si>
    <t xml:space="preserve">Note: the four per-BEA intermediates (tabs 1-4) are pipeline VALUES -</t>
  </si>
  <si>
    <t xml:space="preserve">they row-sum the TWO-REGION Use/DomesticUse tables (SoI + RoUS blocks),</t>
  </si>
  <si>
    <t xml:space="preserve">but only the SoI blocks are embedded here, so they cannot be reproduced</t>
  </si>
  <si>
    <t xml:space="preserve">in-sheet. The Src_ Use tabs are context/provenance. 9_Output_by_ISIC is</t>
  </si>
  <si>
    <t xml:space="preserve">also a pipeline value (= BObIC output row: 2012 USD, incl. OCS</t>
  </si>
  <si>
    <t xml:space="preserve">attribution for LA/TX/AL/MS).</t>
  </si>
  <si>
    <t xml:space="preserve">Tabs:</t>
  </si>
  <si>
    <t xml:space="preserve">  - About / Keys</t>
  </si>
  <si>
    <t xml:space="preserve">  - 1_DCS_numerator_by_BEA / 2_DCS_denominator_by_BEA (pipeline values)</t>
  </si>
  <si>
    <t xml:space="preserve">  - 3_ESoP_RoUS_exports_by_BEA / 4_ESoP_intl_exports_by_BEA (pipeline values)</t>
  </si>
  <si>
    <t xml:space="preserve">  - 5_Exp_total_by_BEA = tab3 + tab4 (formulas)</t>
  </si>
  <si>
    <t xml:space="preserve">  - Src_Stateior_SoI_DomUse / _TotUse (context)</t>
  </si>
  <si>
    <t xml:space="preserve">  - Crosswalk / splits / NAICS key</t>
  </si>
  <si>
    <t xml:space="preserve">  - 6/7_Calc_* - crosswalk-aggregate DCS num + den (nominal; units cancel)</t>
  </si>
  <si>
    <t xml:space="preserve">  - 8_Calc_Exp_ISIC - aggregate exports AND deflate to 2012 USD, so the</t>
  </si>
  <si>
    <t xml:space="preserve">    ESoP ratio is unit-consistent with its denominator</t>
  </si>
  <si>
    <t xml:space="preserve">  - 9_Output_by_ISIC - ESoP denominator (pipeline value, 2012 USD; matches BObIC.csv)</t>
  </si>
  <si>
    <t xml:space="preserve">  - 9b_DCS_overrides / 9c_ESoP_overrides - EIA-anchored energy balances</t>
  </si>
  <si>
    <t xml:space="preserve">    (coal 05, oil&amp;gas 06) + the 36T39 physical-locality assumption</t>
  </si>
  <si>
    <t xml:space="preserve">    (DCS=1, ESoP=0); each row carries its source/rationale</t>
  </si>
  <si>
    <t xml:space="preserve">  - 10_Calc_DCS_ratio / 11_Calc_ESoP_ratio - ratio + epsilon floor + clamp;</t>
  </si>
  <si>
    <t xml:space="preserve">    final columns apply the overrides where present</t>
  </si>
  <si>
    <t xml:space="preserve">  - BDCSoCbIC / BESoP - final fraction rows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</si>
  <si>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</si>
  <si>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</si>
  <si>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</si>
  <si>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</si>
  <si>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</si>
  <si>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</si>
  <si>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</si>
  <si>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</si>
  <si>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</si>
  <si>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</si>
  <si>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</si>
  <si>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</si>
  <si>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</si>
  <si>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</si>
  <si>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</si>
  <si>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</si>
  <si>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SoI_supply_to_SoI_USD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</si>
  <si>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</si>
  <si>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</si>
  <si>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</si>
  <si>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</si>
  <si>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</si>
  <si>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</si>
  <si>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</si>
  <si>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</si>
  <si>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</si>
  <si>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</si>
  <si>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</si>
  <si>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</si>
  <si>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</si>
  <si>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</si>
  <si>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</si>
  <si>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</si>
  <si>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</si>
  <si>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</si>
  <si>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</si>
  <si>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</si>
  <si>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</si>
  <si>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</si>
  <si>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</si>
  <si>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</si>
  <si>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</si>
  <si>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</si>
  <si>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</si>
  <si>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</si>
  <si>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</si>
  <si>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</si>
  <si>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</si>
  <si>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</si>
  <si>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</si>
  <si>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</si>
  <si>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</si>
  <si>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</si>
  <si>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</si>
  <si>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</si>
  <si>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</si>
  <si>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</si>
  <si>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</si>
  <si>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</si>
  <si>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</si>
  <si>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</si>
  <si>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</si>
  <si>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</si>
  <si>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</si>
  <si>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</si>
  <si>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</si>
  <si>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</si>
  <si>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</si>
  <si>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</si>
  <si>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</si>
  <si>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</si>
  <si>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</si>
  <si>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</si>
  <si>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</si>
  <si>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</si>
  <si>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</si>
  <si>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</si>
  <si>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</si>
  <si>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</si>
  <si>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</si>
  <si>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</si>
  <si>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</si>
  <si>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</si>
  <si>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</si>
  <si>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</si>
  <si>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</si>
  <si>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</si>
  <si>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</si>
  <si>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</si>
  <si>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</si>
  <si>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total_supply_in_SoI_USD</t>
  </si>
  <si>
    <t xml:space="preserve">exports_to_RoUS_USD</t>
  </si>
  <si>
    <t xml:space="preserve">exports_intl_USD</t>
  </si>
  <si>
    <t xml:space="preserve">exports_total_USD (= RoUS + intl)</t>
  </si>
  <si>
    <t xml:space="preserve">State-of-Interest Domestic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</si>
  <si>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</si>
  <si>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</si>
  <si>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</si>
  <si>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</si>
  <si>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</si>
  <si>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</si>
  <si>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</si>
  <si>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</si>
  <si>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</si>
  <si>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</si>
  <si>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</si>
  <si>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</si>
  <si>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</si>
  <si>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</si>
  <si>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</si>
  <si>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</si>
  <si>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</si>
  <si>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</si>
  <si>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</si>
  <si>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</si>
  <si>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</si>
  <si>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</si>
  <si>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</si>
  <si>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</si>
  <si>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</si>
  <si>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</si>
  <si>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State-of-Interest Total Use matrix at BEA Summary resolution, from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</si>
  <si>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</si>
  <si>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</si>
  <si>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</si>
  <si>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ME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</si>
  <si>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</si>
  <si>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</si>
  <si>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</si>
  <si>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</si>
  <si>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</si>
  <si>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</si>
  <si>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</si>
  <si>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</si>
  <si>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</si>
  <si>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</si>
  <si>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</si>
  <si>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</si>
  <si>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</si>
  <si>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</si>
  <si>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</si>
  <si>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</si>
  <si>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</si>
  <si>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</si>
  <si>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</si>
  <si>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</si>
  <si>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</si>
  <si>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</si>
  <si>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</si>
  <si>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</si>
  <si>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</si>
  <si>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</si>
  <si>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</si>
  <si>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</si>
  <si>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</si>
  <si>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</si>
  <si>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</si>
  <si>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</si>
  <si>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</si>
  <si>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</si>
  <si>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</si>
  <si>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</si>
  <si>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</si>
  <si>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</si>
  <si>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</si>
  <si>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</si>
  <si>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</si>
  <si>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</si>
  <si>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</si>
  <si>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</si>
  <si>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</si>
  <si>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</si>
  <si>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</si>
  <si>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</si>
  <si>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</si>
  <si>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</si>
  <si>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</si>
  <si>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</si>
  <si>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</si>
  <si>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</si>
  <si>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</si>
  <si>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</si>
  <si>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</si>
  <si>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</si>
  <si>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</si>
  <si>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</si>
  <si>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</si>
  <si>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</si>
  <si>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</si>
  <si>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</si>
  <si>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</si>
  <si>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</si>
  <si>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</si>
  <si>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</si>
  <si>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</si>
  <si>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</si>
  <si>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</si>
  <si>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</si>
  <si>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</si>
  <si>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</si>
  <si>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</si>
  <si>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</si>
  <si>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</si>
  <si>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</si>
  <si>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</si>
  <si>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</si>
  <si>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</si>
  <si>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</si>
  <si>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</si>
  <si>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</si>
  <si>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</si>
  <si>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</si>
  <si>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</si>
  <si>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</si>
  <si>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</si>
  <si>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</si>
  <si>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</si>
  <si>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</si>
  <si>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</si>
  <si>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</si>
  <si>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</si>
  <si>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</si>
  <si>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</si>
  <si>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</si>
  <si>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ME.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</si>
  <si>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</si>
  <si>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</si>
  <si>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</si>
  <si>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</si>
  <si>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</si>
  <si>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</si>
  <si>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</si>
  <si>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</si>
  <si>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</si>
  <si>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</si>
  <si>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</si>
  <si>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</si>
  <si>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</si>
  <si>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</si>
  <si>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</si>
  <si>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</si>
  <si>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</si>
  <si>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</si>
  <si>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</si>
  <si>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</si>
  <si>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</si>
  <si>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</si>
  <si>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</si>
  <si>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</si>
  <si>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</si>
  <si>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</si>
  <si>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</si>
  <si>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</si>
  <si>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</si>
  <si>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</si>
  <si>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</si>
  <si>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</si>
  <si>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</si>
  <si>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</si>
  <si>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</si>
  <si>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</si>
  <si>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</si>
  <si>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</si>
  <si>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</si>
  <si>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</si>
  <si>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</si>
  <si>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</si>
  <si>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</si>
  <si>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</si>
  <si>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</si>
  <si>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</si>
  <si>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</si>
  <si>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</si>
  <si>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</si>
  <si>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</si>
  <si>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</si>
  <si>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</si>
  <si>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</si>
  <si>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</si>
  <si>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</si>
  <si>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</si>
  <si>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</si>
  <si>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</si>
  <si>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</si>
  <si>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</si>
  <si>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</si>
  <si>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</si>
  <si>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</si>
  <si>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</si>
  <si>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</si>
  <si>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</si>
  <si>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</si>
  <si>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</si>
  <si>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</si>
  <si>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</si>
  <si>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</si>
  <si>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</si>
  <si>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</si>
  <si>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</si>
  <si>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</si>
  <si>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</si>
  <si>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</si>
  <si>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</si>
  <si>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</si>
  <si>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</si>
  <si>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</si>
  <si>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</si>
  <si>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</si>
  <si>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</si>
  <si>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</si>
  <si>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</si>
  <si>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</si>
  <si>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</si>
  <si>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</si>
  <si>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</si>
  <si>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</si>
  <si>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</si>
  <si>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</si>
  <si>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</si>
  <si>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</si>
  <si>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</si>
  <si>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</si>
  <si>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</si>
  <si>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</si>
  <si>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</si>
  <si>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</si>
  <si>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</si>
  <si>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</si>
  <si>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</si>
  <si>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</si>
  <si>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</si>
  <si>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</si>
  <si>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</si>
  <si>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</si>
  <si>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</si>
  <si>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</si>
  <si>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</si>
  <si>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</si>
  <si>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</si>
  <si>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</si>
  <si>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</si>
  <si>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</si>
  <si>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</si>
  <si>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</si>
  <si>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</si>
  <si>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</si>
  <si>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</si>
  <si>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</si>
  <si>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</si>
  <si>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</si>
  <si>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</si>
  <si>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</si>
  <si>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</si>
  <si>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</si>
  <si>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</si>
  <si>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</si>
  <si>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</si>
  <si>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</si>
  <si>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</si>
  <si>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</si>
  <si>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</si>
  <si>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</si>
  <si>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</si>
  <si>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</si>
  <si>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</si>
  <si>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</si>
  <si>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</si>
  <si>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</si>
  <si>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</si>
  <si>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</si>
  <si>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</si>
  <si>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</si>
  <si>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</si>
  <si>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</si>
  <si>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</si>
  <si>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</si>
  <si>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</si>
  <si>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</si>
  <si>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</si>
  <si>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</si>
  <si>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2021 $98M [nonfuel partial total] -&gt; coal share 0.000 (applied to stateior 212 $76M)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</si>
  <si>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</si>
  <si>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</si>
  <si>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</si>
  <si>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</si>
  <si>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</si>
  <si>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</si>
  <si>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</si>
  <si>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</si>
  <si>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</si>
  <si>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</si>
  <si>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</si>
  <si>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</si>
  <si>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</si>
  <si>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</si>
  <si>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</si>
  <si>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</si>
  <si>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</si>
  <si>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</si>
  <si>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ME.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</si>
  <si>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</si>
  <si>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</si>
  <si>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</si>
  <si>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</si>
  <si>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</si>
  <si>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</si>
  <si>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</si>
  <si>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</si>
  <si>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</si>
  <si>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</si>
  <si>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</si>
  <si>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</si>
  <si>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</si>
  <si>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</si>
  <si>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</si>
  <si>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</si>
  <si>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</si>
  <si>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</si>
  <si>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</si>
  <si>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</si>
  <si>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</si>
  <si>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</si>
  <si>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</si>
  <si>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</si>
  <si>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</si>
  <si>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</si>
  <si>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</si>
  <si>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</si>
  <si>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</si>
  <si>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</si>
  <si>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</si>
  <si>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</si>
  <si>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</si>
  <si>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</si>
  <si>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</si>
  <si>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</si>
  <si>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</si>
  <si>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</si>
  <si>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</si>
  <si>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</si>
  <si>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</si>
  <si>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</si>
  <si>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</si>
  <si>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</si>
  <si>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</si>
  <si>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</si>
  <si>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</si>
  <si>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</si>
  <si>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</si>
  <si>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</si>
  <si>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</si>
  <si>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</si>
  <si>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</si>
  <si>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</si>
  <si>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</si>
  <si>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</si>
  <si>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</si>
  <si>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</si>
  <si>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</si>
  <si>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</si>
  <si>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</si>
  <si>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</si>
  <si>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</si>
  <si>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</si>
  <si>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</si>
  <si>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</si>
  <si>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</si>
  <si>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</si>
  <si>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</si>
  <si>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</si>
  <si>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</si>
  <si>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</si>
  <si>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</si>
  <si>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</si>
  <si>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</si>
  <si>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</si>
  <si>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</si>
  <si>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</si>
  <si>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</si>
  <si>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</si>
  <si>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</si>
  <si>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</si>
  <si>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</si>
  <si>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</si>
  <si>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</si>
  <si>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</si>
  <si>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</si>
  <si>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</si>
  <si>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STEP 2 - aggregate weighted values to 42 ISIC, then deflate to 2012 USD (Keys!$C$2)</t>
  </si>
  <si>
    <t xml:space="preserve">value_2012USD</t>
  </si>
  <si>
    <t xml:space="preserve">output_USD_2012 (pipeline value; matches BObIC.csv; ESoP denominator)</t>
  </si>
  <si>
    <t xml:space="preserve">dcs_override</t>
  </si>
  <si>
    <t xml:space="preserve">EIA own-use-first balance: min(prod 0.0Mt, cons 0.1Mt)/cons [eia7a_coal_production_2019.csv + seds_coal_consumption_2019.csv]</t>
  </si>
  <si>
    <t xml:space="preserve">EIA energy-weighted balance: crude min(prod 0, runs 0)MMbbl=0.00 (w 0%), gas min(prod 0.00, cons 0.04)Tcf=0.00 (w 100%) [eia_og_balance_2019.csv]</t>
  </si>
  <si>
    <t xml:space="preserve">EIA SEDS balance: 1 - max(net inflow 4080, 0)/consumption 11732 GWh (ELISP+ELNIP vs ESTCP) [seds_electricity_2019.csv]</t>
  </si>
  <si>
    <t xml:space="preserve">Physical-locality assumption (staff decision 2026-07-16): local-infrastructure service; no federal interstate service-trade data exists</t>
  </si>
  <si>
    <t xml:space="preserve">esop_override</t>
  </si>
  <si>
    <t xml:space="preserve">Physical-locality assumption (staff decision 2026-07-16): local-infrastructure service; no exports</t>
  </si>
  <si>
    <t xml:space="preserve">EIA SEDS balance: max(net outflow 0, 0)/(consumption 11732 + net outflow) GWh (ELISP+ELNIP vs ESTCP) [seds_electricity_2019.csv]</t>
  </si>
  <si>
    <t xml:space="preserve">DCS per ISIC = SoI-supplied / total consumption, den floored by Keys epsilon, clamped to [0,1]; final column applies overrides where present</t>
  </si>
  <si>
    <t xml:space="preserve">numerator</t>
  </si>
  <si>
    <t xml:space="preserve">denominator</t>
  </si>
  <si>
    <t xml:space="preserve">ratio (den floored by Keys epsilon)</t>
  </si>
  <si>
    <t xml:space="preserve">clamped_0_to_1</t>
  </si>
  <si>
    <t xml:space="preserve">final (override where present, else computed)</t>
  </si>
  <si>
    <t xml:space="preserve">ESoP per ISIC = (RoUS + intl exports) / output, den floored by Keys epsilon, clamped to [0,1]; final column applies overrides where present</t>
  </si>
  <si>
    <t xml:space="preserve">Unit: dimensionless (%)</t>
  </si>
  <si>
    <t xml:space="preserve">Percent of Consumption that is Domestic Content</t>
  </si>
  <si>
    <t xml:space="preserve">Export Share of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</si>
</sst>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1</v>
      </c>
    </row>
    <row r="35">
      <c r="A35" t="s">
        <v>4</v>
      </c>
    </row>
    <row r="36">
      <c r="A36" t="s">
        <v>27</v>
      </c>
    </row>
    <row r="37">
      <c r="A37" t="s">
        <v>4</v>
      </c>
    </row>
    <row r="38">
      <c r="A38" t="s">
        <v>28</v>
      </c>
    </row>
    <row r="39">
      <c r="A39" t="s">
        <v>29</v>
      </c>
    </row>
    <row r="40">
      <c r="A40" t="s">
        <v>1</v>
      </c>
    </row>
    <row r="41">
      <c r="A41" t="s">
        <v>30</v>
      </c>
    </row>
    <row r="42">
      <c r="A42" t="s">
        <v>31</v>
      </c>
    </row>
    <row r="43">
      <c r="A43" t="s">
        <v>32</v>
      </c>
    </row>
    <row r="44">
      <c r="A44" t="s">
        <v>33</v>
      </c>
    </row>
    <row r="45">
      <c r="A45" t="s">
        <v>34</v>
      </c>
    </row>
    <row r="46">
      <c r="A46" t="s">
        <v>35</v>
      </c>
    </row>
    <row r="47">
      <c r="A47" t="s">
        <v>36</v>
      </c>
    </row>
    <row r="48">
      <c r="A48" t="s">
        <v>37</v>
      </c>
    </row>
    <row r="49">
      <c r="A49" t="s">
        <v>38</v>
      </c>
    </row>
    <row r="50">
      <c r="A50" t="s">
        <v>39</v>
      </c>
    </row>
    <row r="51">
      <c r="A51" t="s">
        <v>40</v>
      </c>
    </row>
    <row r="52">
      <c r="A52" t="s">
        <v>1</v>
      </c>
    </row>
    <row r="53">
      <c r="A53" t="s">
        <v>41</v>
      </c>
    </row>
    <row r="54">
      <c r="A54" t="s">
        <v>42</v>
      </c>
    </row>
    <row r="55">
      <c r="A55" t="s">
        <v>1</v>
      </c>
    </row>
    <row r="56">
      <c r="A56" t="s">
        <v>4</v>
      </c>
    </row>
    <row r="57">
      <c r="A57" t="s">
        <v>43</v>
      </c>
    </row>
    <row r="58">
      <c r="A58" t="s">
        <v>4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71</v>
      </c>
    </row>
    <row r="96">
      <c r="A96" t="s">
        <v>72</v>
      </c>
    </row>
    <row r="97">
      <c r="A97" t="s">
        <v>73</v>
      </c>
    </row>
    <row r="98">
      <c r="A98" t="s">
        <v>1</v>
      </c>
    </row>
    <row r="99">
      <c r="A99" t="s">
        <v>74</v>
      </c>
    </row>
    <row r="100">
      <c r="A100" t="s">
        <v>75</v>
      </c>
    </row>
    <row r="101">
      <c r="A101" t="s">
        <v>76</v>
      </c>
    </row>
    <row r="102">
      <c r="A102" t="s">
        <v>1</v>
      </c>
    </row>
    <row r="103">
      <c r="A103" t="s">
        <v>4</v>
      </c>
    </row>
    <row r="104">
      <c r="A104" t="s">
        <v>77</v>
      </c>
    </row>
    <row r="105">
      <c r="A105" t="s">
        <v>4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1</v>
      </c>
    </row>
    <row r="110">
      <c r="A110" t="s">
        <v>81</v>
      </c>
    </row>
    <row r="111">
      <c r="A111" t="s">
        <v>82</v>
      </c>
    </row>
    <row r="112">
      <c r="A112" t="s">
        <v>83</v>
      </c>
    </row>
    <row r="113">
      <c r="A113" t="s">
        <v>84</v>
      </c>
    </row>
    <row r="114">
      <c r="A114" t="s">
        <v>85</v>
      </c>
    </row>
    <row r="115">
      <c r="A115" t="s">
        <v>86</v>
      </c>
    </row>
    <row r="116">
      <c r="A116" t="s">
        <v>1</v>
      </c>
    </row>
    <row r="117">
      <c r="A117" t="s">
        <v>87</v>
      </c>
    </row>
    <row r="118">
      <c r="A118" t="s">
        <v>88</v>
      </c>
    </row>
    <row r="119">
      <c r="A119" t="s">
        <v>89</v>
      </c>
    </row>
    <row r="120">
      <c r="A120" t="s">
        <v>90</v>
      </c>
    </row>
    <row r="121">
      <c r="A121" t="s">
        <v>91</v>
      </c>
    </row>
    <row r="122">
      <c r="A122" t="s">
        <v>92</v>
      </c>
    </row>
    <row r="123">
      <c r="A123" t="s">
        <v>93</v>
      </c>
    </row>
    <row r="124">
      <c r="A124" t="s">
        <v>94</v>
      </c>
    </row>
    <row r="125">
      <c r="A125" t="s">
        <v>95</v>
      </c>
    </row>
    <row r="126">
      <c r="A126" t="s">
        <v>96</v>
      </c>
    </row>
    <row r="127">
      <c r="A127" t="s">
        <v>97</v>
      </c>
    </row>
    <row r="128">
      <c r="A128" t="s">
        <v>98</v>
      </c>
    </row>
    <row r="129">
      <c r="A129" t="s">
        <v>99</v>
      </c>
    </row>
    <row r="130">
      <c r="A130" t="s">
        <v>100</v>
      </c>
    </row>
    <row r="131">
      <c r="A131" t="s">
        <v>101</v>
      </c>
    </row>
    <row r="132">
      <c r="A132" t="s">
        <v>102</v>
      </c>
    </row>
    <row r="133">
      <c r="A133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104</v>
      </c>
      <c r="B1" t="s">
        <v>105</v>
      </c>
      <c r="C1" t="s">
        <v>106</v>
      </c>
      <c r="D1" t="s">
        <v>107</v>
      </c>
    </row>
    <row r="2">
      <c r="A2" t="s">
        <v>108</v>
      </c>
      <c r="B2" t="s">
        <v>109</v>
      </c>
      <c r="C2" t="n">
        <v>1.12266</v>
      </c>
      <c r="D2" t="s">
        <v>110</v>
      </c>
    </row>
    <row r="3">
      <c r="A3" t="s">
        <v>111</v>
      </c>
      <c r="B3" t="s">
        <v>112</v>
      </c>
      <c r="C3" t="n">
        <v>2019</v>
      </c>
      <c r="D3" t="s">
        <v>113</v>
      </c>
    </row>
    <row r="4">
      <c r="A4" t="s">
        <v>114</v>
      </c>
      <c r="B4" t="s">
        <v>115</v>
      </c>
      <c r="C4" t="n">
        <v>0.000000001</v>
      </c>
      <c r="D4" t="s">
        <v>116</v>
      </c>
    </row>
    <row r="5">
      <c r="A5" t="s">
        <v>114</v>
      </c>
      <c r="B5" t="s">
        <v>117</v>
      </c>
      <c r="C5" t="n">
        <v>1</v>
      </c>
      <c r="D5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120</v>
      </c>
    </row>
    <row r="2">
      <c r="A2" t="s">
        <v>121</v>
      </c>
      <c r="B2" t="n">
        <v>406598253.643134</v>
      </c>
    </row>
    <row r="3">
      <c r="A3" t="s">
        <v>122</v>
      </c>
      <c r="B3" t="n">
        <v>273277920.74087</v>
      </c>
    </row>
    <row r="4">
      <c r="A4" t="s">
        <v>123</v>
      </c>
      <c r="B4" t="n">
        <v>809715.598558027</v>
      </c>
    </row>
    <row r="5">
      <c r="A5" t="s">
        <v>124</v>
      </c>
      <c r="B5" t="n">
        <v>58868076.9005418</v>
      </c>
    </row>
    <row r="6">
      <c r="A6" t="s">
        <v>125</v>
      </c>
      <c r="B6" t="n">
        <v>615999.622278206</v>
      </c>
    </row>
    <row r="7">
      <c r="A7" t="s">
        <v>126</v>
      </c>
      <c r="B7" t="n">
        <v>303065784.426803</v>
      </c>
    </row>
    <row r="8">
      <c r="A8" t="s">
        <v>127</v>
      </c>
      <c r="B8" t="n">
        <v>975514094.365697</v>
      </c>
    </row>
    <row r="9">
      <c r="A9" t="s">
        <v>128</v>
      </c>
      <c r="B9" t="n">
        <v>267898963.506437</v>
      </c>
    </row>
    <row r="10">
      <c r="A10" t="s">
        <v>129</v>
      </c>
      <c r="B10" t="n">
        <v>190518680.865513</v>
      </c>
    </row>
    <row r="11">
      <c r="A11" t="s">
        <v>130</v>
      </c>
      <c r="B11" t="n">
        <v>43342465.1363562</v>
      </c>
    </row>
    <row r="12">
      <c r="A12" t="s">
        <v>131</v>
      </c>
      <c r="B12" t="n">
        <v>281387733.347983</v>
      </c>
    </row>
    <row r="13">
      <c r="A13" t="s">
        <v>132</v>
      </c>
      <c r="B13" t="n">
        <v>67844030.4084049</v>
      </c>
    </row>
    <row r="14">
      <c r="A14" t="s">
        <v>133</v>
      </c>
      <c r="B14" t="n">
        <v>68957352.572136</v>
      </c>
    </row>
    <row r="15">
      <c r="A15" t="s">
        <v>134</v>
      </c>
      <c r="B15" t="n">
        <v>35792414.350115</v>
      </c>
    </row>
    <row r="16">
      <c r="A16" t="s">
        <v>135</v>
      </c>
      <c r="B16" t="n">
        <v>85815740.4863925</v>
      </c>
    </row>
    <row r="17">
      <c r="A17" t="s">
        <v>136</v>
      </c>
      <c r="B17" t="n">
        <v>89940579.4210035</v>
      </c>
    </row>
    <row r="18">
      <c r="A18" t="s">
        <v>137</v>
      </c>
      <c r="B18" t="n">
        <v>35741411.639778</v>
      </c>
    </row>
    <row r="19">
      <c r="A19" t="s">
        <v>138</v>
      </c>
      <c r="B19" t="n">
        <v>59511654.9060958</v>
      </c>
    </row>
    <row r="20">
      <c r="A20" t="s">
        <v>139</v>
      </c>
      <c r="B20" t="n">
        <v>593676185.233797</v>
      </c>
    </row>
    <row r="21">
      <c r="A21" t="s">
        <v>140</v>
      </c>
      <c r="B21" t="n">
        <v>25532535.473773</v>
      </c>
    </row>
    <row r="22">
      <c r="A22" t="s">
        <v>141</v>
      </c>
      <c r="B22" t="n">
        <v>2964625.93855177</v>
      </c>
    </row>
    <row r="23">
      <c r="A23" t="s">
        <v>142</v>
      </c>
      <c r="B23" t="n">
        <v>507442465.033143</v>
      </c>
    </row>
    <row r="24">
      <c r="A24" t="s">
        <v>143</v>
      </c>
      <c r="B24" t="n">
        <v>156927651.359354</v>
      </c>
    </row>
    <row r="25">
      <c r="A25" t="s">
        <v>144</v>
      </c>
      <c r="B25" t="n">
        <v>190344830.506074</v>
      </c>
    </row>
    <row r="26">
      <c r="A26" t="s">
        <v>145</v>
      </c>
      <c r="B26" t="n">
        <v>210043236.929302</v>
      </c>
    </row>
    <row r="27">
      <c r="A27" t="s">
        <v>146</v>
      </c>
      <c r="B27" t="n">
        <v>196852347.818736</v>
      </c>
    </row>
    <row r="28">
      <c r="A28" t="s">
        <v>147</v>
      </c>
      <c r="B28" t="n">
        <v>742014084.265949</v>
      </c>
    </row>
    <row r="29">
      <c r="A29" t="s">
        <v>148</v>
      </c>
      <c r="B29" t="n">
        <v>70831900.5707689</v>
      </c>
    </row>
    <row r="30">
      <c r="A30" t="s">
        <v>149</v>
      </c>
      <c r="B30" t="n">
        <v>9212666.19852288</v>
      </c>
    </row>
    <row r="31">
      <c r="A31" t="s">
        <v>150</v>
      </c>
      <c r="B31" t="n">
        <v>73622.7342262217</v>
      </c>
    </row>
    <row r="32">
      <c r="A32" t="s">
        <v>151</v>
      </c>
      <c r="B32" t="n">
        <v>348507753.8818</v>
      </c>
    </row>
    <row r="33">
      <c r="A33" t="s">
        <v>152</v>
      </c>
      <c r="B33" t="n">
        <v>49545040.3989653</v>
      </c>
    </row>
    <row r="34">
      <c r="A34" t="s">
        <v>153</v>
      </c>
      <c r="B34" t="n">
        <v>86137811.9817885</v>
      </c>
    </row>
    <row r="35">
      <c r="A35" t="s">
        <v>154</v>
      </c>
      <c r="B35" t="n">
        <v>33717320.085054</v>
      </c>
    </row>
    <row r="36">
      <c r="A36" t="s">
        <v>155</v>
      </c>
      <c r="B36" t="n">
        <v>327925737.000504</v>
      </c>
    </row>
    <row r="37">
      <c r="A37" t="s">
        <v>156</v>
      </c>
      <c r="B37" t="n">
        <v>209717393.112384</v>
      </c>
    </row>
    <row r="38">
      <c r="A38" t="s">
        <v>157</v>
      </c>
      <c r="B38" t="n">
        <v>11378689.5339797</v>
      </c>
    </row>
    <row r="39">
      <c r="A39" t="s">
        <v>158</v>
      </c>
      <c r="B39" t="n">
        <v>715157848.054733</v>
      </c>
    </row>
    <row r="40">
      <c r="A40" t="s">
        <v>159</v>
      </c>
      <c r="B40" t="n">
        <v>208741652.879335</v>
      </c>
    </row>
    <row r="41">
      <c r="A41" t="s">
        <v>160</v>
      </c>
      <c r="B41" t="n">
        <v>108026519.203417</v>
      </c>
    </row>
    <row r="42">
      <c r="A42" t="s">
        <v>161</v>
      </c>
      <c r="B42" t="n">
        <v>18908879.0612645</v>
      </c>
    </row>
    <row r="43">
      <c r="A43" t="s">
        <v>162</v>
      </c>
      <c r="B43" t="n">
        <v>444529007.312213</v>
      </c>
    </row>
    <row r="44">
      <c r="A44" t="s">
        <v>163</v>
      </c>
      <c r="B44" t="n">
        <v>247736493.884302</v>
      </c>
    </row>
    <row r="45">
      <c r="A45" t="s">
        <v>164</v>
      </c>
      <c r="B45" t="n">
        <v>401779206.491218</v>
      </c>
    </row>
    <row r="46">
      <c r="A46" t="s">
        <v>165</v>
      </c>
      <c r="B46" t="n">
        <v>306955410.705237</v>
      </c>
    </row>
    <row r="47">
      <c r="A47" t="s">
        <v>166</v>
      </c>
      <c r="B47" t="n">
        <v>385550418.493229</v>
      </c>
    </row>
    <row r="48">
      <c r="A48" t="s">
        <v>167</v>
      </c>
      <c r="B48" t="n">
        <v>31900408.9528992</v>
      </c>
    </row>
    <row r="49">
      <c r="A49" t="s">
        <v>168</v>
      </c>
      <c r="B49" t="n">
        <v>0</v>
      </c>
    </row>
    <row r="50">
      <c r="A50" t="s">
        <v>169</v>
      </c>
      <c r="B50" t="n">
        <v>4419768341.40891</v>
      </c>
    </row>
    <row r="51">
      <c r="A51" t="s">
        <v>170</v>
      </c>
      <c r="B51" t="n">
        <v>261793220.366114</v>
      </c>
    </row>
    <row r="52">
      <c r="A52" t="s">
        <v>171</v>
      </c>
      <c r="B52" t="n">
        <v>462332012.897222</v>
      </c>
    </row>
    <row r="53">
      <c r="A53" t="s">
        <v>172</v>
      </c>
      <c r="B53" t="n">
        <v>521388193.264393</v>
      </c>
    </row>
    <row r="54">
      <c r="A54" t="s">
        <v>173</v>
      </c>
      <c r="B54" t="n">
        <v>715952920.604344</v>
      </c>
    </row>
    <row r="55">
      <c r="A55" t="s">
        <v>174</v>
      </c>
      <c r="B55" t="n">
        <v>1484121601.84934</v>
      </c>
    </row>
    <row r="56">
      <c r="A56" t="s">
        <v>175</v>
      </c>
      <c r="B56" t="n">
        <v>1540476571.42004</v>
      </c>
    </row>
    <row r="57">
      <c r="A57" t="s">
        <v>176</v>
      </c>
      <c r="B57" t="n">
        <v>331181.284755252</v>
      </c>
    </row>
    <row r="58">
      <c r="A58" t="s">
        <v>177</v>
      </c>
      <c r="B58" t="n">
        <v>20560511.3705499</v>
      </c>
    </row>
    <row r="59">
      <c r="A59" t="s">
        <v>178</v>
      </c>
      <c r="B59" t="n">
        <v>180667564.353677</v>
      </c>
    </row>
    <row r="60">
      <c r="A60" t="s">
        <v>179</v>
      </c>
      <c r="B60" t="n">
        <v>5916424.11404799</v>
      </c>
    </row>
    <row r="61">
      <c r="A61" t="s">
        <v>180</v>
      </c>
      <c r="B61" t="n">
        <v>13193597.9316934</v>
      </c>
    </row>
    <row r="62">
      <c r="A62" t="s">
        <v>181</v>
      </c>
      <c r="B62" t="n">
        <v>0</v>
      </c>
    </row>
    <row r="63">
      <c r="A63" t="s">
        <v>182</v>
      </c>
      <c r="B63" t="n">
        <v>179674228.751713</v>
      </c>
    </row>
    <row r="64">
      <c r="A64" t="s">
        <v>183</v>
      </c>
      <c r="B64" t="n">
        <v>8045875.5306703</v>
      </c>
    </row>
    <row r="65">
      <c r="A65" t="s">
        <v>184</v>
      </c>
      <c r="B65" t="n">
        <v>173473425.920764</v>
      </c>
    </row>
    <row r="66">
      <c r="A66" t="s">
        <v>185</v>
      </c>
      <c r="B66" t="n">
        <v>791935584.442213</v>
      </c>
    </row>
    <row r="67">
      <c r="A67" t="s">
        <v>186</v>
      </c>
      <c r="B67" t="n">
        <v>877751478.566737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15450454.4832059</v>
      </c>
    </row>
    <row r="71">
      <c r="A71" t="s">
        <v>190</v>
      </c>
      <c r="B71" t="n">
        <v>0</v>
      </c>
    </row>
    <row r="72">
      <c r="A72" t="s">
        <v>191</v>
      </c>
      <c r="B72" t="n">
        <v>124077959.867742</v>
      </c>
    </row>
    <row r="73">
      <c r="A73" t="s">
        <v>192</v>
      </c>
      <c r="B73" t="n">
        <v>131408033.15814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194</v>
      </c>
    </row>
    <row r="2">
      <c r="A2" t="s">
        <v>121</v>
      </c>
      <c r="B2" t="n">
        <v>1071114202.9841</v>
      </c>
    </row>
    <row r="3">
      <c r="A3" t="s">
        <v>122</v>
      </c>
      <c r="B3" t="n">
        <v>345300927.117146</v>
      </c>
    </row>
    <row r="4">
      <c r="A4" t="s">
        <v>123</v>
      </c>
      <c r="B4" t="n">
        <v>281695737.326516</v>
      </c>
    </row>
    <row r="5">
      <c r="A5" t="s">
        <v>124</v>
      </c>
      <c r="B5" t="n">
        <v>169583581.664064</v>
      </c>
    </row>
    <row r="6">
      <c r="A6" t="s">
        <v>125</v>
      </c>
      <c r="B6" t="n">
        <v>949358.748554572</v>
      </c>
    </row>
    <row r="7">
      <c r="A7" t="s">
        <v>126</v>
      </c>
      <c r="B7" t="n">
        <v>1279960966.67687</v>
      </c>
    </row>
    <row r="8">
      <c r="A8" t="s">
        <v>127</v>
      </c>
      <c r="B8" t="n">
        <v>975514094.365697</v>
      </c>
    </row>
    <row r="9">
      <c r="A9" t="s">
        <v>128</v>
      </c>
      <c r="B9" t="n">
        <v>481650794.497837</v>
      </c>
    </row>
    <row r="10">
      <c r="A10" t="s">
        <v>129</v>
      </c>
      <c r="B10" t="n">
        <v>354486246.823968</v>
      </c>
    </row>
    <row r="11">
      <c r="A11" t="s">
        <v>130</v>
      </c>
      <c r="B11" t="n">
        <v>533466387.160037</v>
      </c>
    </row>
    <row r="12">
      <c r="A12" t="s">
        <v>131</v>
      </c>
      <c r="B12" t="n">
        <v>996839919.899673</v>
      </c>
    </row>
    <row r="13">
      <c r="A13" t="s">
        <v>132</v>
      </c>
      <c r="B13" t="n">
        <v>412119617.543502</v>
      </c>
    </row>
    <row r="14">
      <c r="A14" t="s">
        <v>133</v>
      </c>
      <c r="B14" t="n">
        <v>554837577.167479</v>
      </c>
    </row>
    <row r="15">
      <c r="A15" t="s">
        <v>134</v>
      </c>
      <c r="B15" t="n">
        <v>293949628.800815</v>
      </c>
    </row>
    <row r="16">
      <c r="A16" t="s">
        <v>135</v>
      </c>
      <c r="B16" t="n">
        <v>517727550.440114</v>
      </c>
    </row>
    <row r="17">
      <c r="A17" t="s">
        <v>136</v>
      </c>
      <c r="B17" t="n">
        <v>579967726.768941</v>
      </c>
    </row>
    <row r="18">
      <c r="A18" t="s">
        <v>137</v>
      </c>
      <c r="B18" t="n">
        <v>89208822.3814996</v>
      </c>
    </row>
    <row r="19">
      <c r="A19" t="s">
        <v>138</v>
      </c>
      <c r="B19" t="n">
        <v>315619249.69697</v>
      </c>
    </row>
    <row r="20">
      <c r="A20" t="s">
        <v>139</v>
      </c>
      <c r="B20" t="n">
        <v>1510313891.01272</v>
      </c>
    </row>
    <row r="21">
      <c r="A21" t="s">
        <v>140</v>
      </c>
      <c r="B21" t="n">
        <v>236708578.701264</v>
      </c>
    </row>
    <row r="22">
      <c r="A22" t="s">
        <v>141</v>
      </c>
      <c r="B22" t="n">
        <v>55176356.1110026</v>
      </c>
    </row>
    <row r="23">
      <c r="A23" t="s">
        <v>142</v>
      </c>
      <c r="B23" t="n">
        <v>974598980.679035</v>
      </c>
    </row>
    <row r="24">
      <c r="A24" t="s">
        <v>143</v>
      </c>
      <c r="B24" t="n">
        <v>205027538.600686</v>
      </c>
    </row>
    <row r="25">
      <c r="A25" t="s">
        <v>144</v>
      </c>
      <c r="B25" t="n">
        <v>943157352.703413</v>
      </c>
    </row>
    <row r="26">
      <c r="A26" t="s">
        <v>145</v>
      </c>
      <c r="B26" t="n">
        <v>1629783571.10911</v>
      </c>
    </row>
    <row r="27">
      <c r="A27" t="s">
        <v>146</v>
      </c>
      <c r="B27" t="n">
        <v>703522328.380847</v>
      </c>
    </row>
    <row r="28">
      <c r="A28" t="s">
        <v>147</v>
      </c>
      <c r="B28" t="n">
        <v>2908928516.00662</v>
      </c>
    </row>
    <row r="29">
      <c r="A29" t="s">
        <v>148</v>
      </c>
      <c r="B29" t="n">
        <v>70831900.5707689</v>
      </c>
    </row>
    <row r="30">
      <c r="A30" t="s">
        <v>149</v>
      </c>
      <c r="B30" t="n">
        <v>9212666.19852288</v>
      </c>
    </row>
    <row r="31">
      <c r="A31" t="s">
        <v>150</v>
      </c>
      <c r="B31" t="n">
        <v>16655257.0310536</v>
      </c>
    </row>
    <row r="32">
      <c r="A32" t="s">
        <v>151</v>
      </c>
      <c r="B32" t="n">
        <v>359630112.695326</v>
      </c>
    </row>
    <row r="33">
      <c r="A33" t="s">
        <v>152</v>
      </c>
      <c r="B33" t="n">
        <v>300701038.270302</v>
      </c>
    </row>
    <row r="34">
      <c r="A34" t="s">
        <v>153</v>
      </c>
      <c r="B34" t="n">
        <v>178723201.468447</v>
      </c>
    </row>
    <row r="35">
      <c r="A35" t="s">
        <v>154</v>
      </c>
      <c r="B35" t="n">
        <v>33717320.085054</v>
      </c>
    </row>
    <row r="36">
      <c r="A36" t="s">
        <v>155</v>
      </c>
      <c r="B36" t="n">
        <v>643854940.353784</v>
      </c>
    </row>
    <row r="37">
      <c r="A37" t="s">
        <v>156</v>
      </c>
      <c r="B37" t="n">
        <v>209717393.112384</v>
      </c>
    </row>
    <row r="38">
      <c r="A38" t="s">
        <v>157</v>
      </c>
      <c r="B38" t="n">
        <v>69941504.6918696</v>
      </c>
    </row>
    <row r="39">
      <c r="A39" t="s">
        <v>158</v>
      </c>
      <c r="B39" t="n">
        <v>715264875.971332</v>
      </c>
    </row>
    <row r="40">
      <c r="A40" t="s">
        <v>159</v>
      </c>
      <c r="B40" t="n">
        <v>514139206.725907</v>
      </c>
    </row>
    <row r="41">
      <c r="A41" t="s">
        <v>160</v>
      </c>
      <c r="B41" t="n">
        <v>172429431.980189</v>
      </c>
    </row>
    <row r="42">
      <c r="A42" t="s">
        <v>161</v>
      </c>
      <c r="B42" t="n">
        <v>138438306.614355</v>
      </c>
    </row>
    <row r="43">
      <c r="A43" t="s">
        <v>162</v>
      </c>
      <c r="B43" t="n">
        <v>928919308.958743</v>
      </c>
    </row>
    <row r="44">
      <c r="A44" t="s">
        <v>163</v>
      </c>
      <c r="B44" t="n">
        <v>764614691.833456</v>
      </c>
    </row>
    <row r="45">
      <c r="A45" t="s">
        <v>164</v>
      </c>
      <c r="B45" t="n">
        <v>2110397286.23618</v>
      </c>
    </row>
    <row r="46">
      <c r="A46" t="s">
        <v>165</v>
      </c>
      <c r="B46" t="n">
        <v>768080850.029458</v>
      </c>
    </row>
    <row r="47">
      <c r="A47" t="s">
        <v>166</v>
      </c>
      <c r="B47" t="n">
        <v>2506270297.68602</v>
      </c>
    </row>
    <row r="48">
      <c r="A48" t="s">
        <v>167</v>
      </c>
      <c r="B48" t="n">
        <v>40908079.8395439</v>
      </c>
    </row>
    <row r="49">
      <c r="A49" t="s">
        <v>168</v>
      </c>
      <c r="B49" t="n">
        <v>0</v>
      </c>
    </row>
    <row r="50">
      <c r="A50" t="s">
        <v>169</v>
      </c>
      <c r="B50" t="n">
        <v>4419768341.40891</v>
      </c>
    </row>
    <row r="51">
      <c r="A51" t="s">
        <v>170</v>
      </c>
      <c r="B51" t="n">
        <v>826624516.341092</v>
      </c>
    </row>
    <row r="52">
      <c r="A52" t="s">
        <v>171</v>
      </c>
      <c r="B52" t="n">
        <v>703630336.347279</v>
      </c>
    </row>
    <row r="53">
      <c r="A53" t="s">
        <v>172</v>
      </c>
      <c r="B53" t="n">
        <v>706294841.894772</v>
      </c>
    </row>
    <row r="54">
      <c r="A54" t="s">
        <v>173</v>
      </c>
      <c r="B54" t="n">
        <v>3963369744.43845</v>
      </c>
    </row>
    <row r="55">
      <c r="A55" t="s">
        <v>174</v>
      </c>
      <c r="B55" t="n">
        <v>1852261010.30532</v>
      </c>
    </row>
    <row r="56">
      <c r="A56" t="s">
        <v>175</v>
      </c>
      <c r="B56" t="n">
        <v>2786421169.89904</v>
      </c>
    </row>
    <row r="57">
      <c r="A57" t="s">
        <v>176</v>
      </c>
      <c r="B57" t="n">
        <v>354932298.717438</v>
      </c>
    </row>
    <row r="58">
      <c r="A58" t="s">
        <v>177</v>
      </c>
      <c r="B58" t="n">
        <v>76663695.7335669</v>
      </c>
    </row>
    <row r="59">
      <c r="A59" t="s">
        <v>178</v>
      </c>
      <c r="B59" t="n">
        <v>180693848.712528</v>
      </c>
    </row>
    <row r="60">
      <c r="A60" t="s">
        <v>179</v>
      </c>
      <c r="B60" t="n">
        <v>5916424.11404799</v>
      </c>
    </row>
    <row r="61">
      <c r="A61" t="s">
        <v>180</v>
      </c>
      <c r="B61" t="n">
        <v>13198214.4835902</v>
      </c>
    </row>
    <row r="62">
      <c r="A62" t="s">
        <v>181</v>
      </c>
      <c r="B62" t="n">
        <v>0</v>
      </c>
    </row>
    <row r="63">
      <c r="A63" t="s">
        <v>182</v>
      </c>
      <c r="B63" t="n">
        <v>243335689.428929</v>
      </c>
    </row>
    <row r="64">
      <c r="A64" t="s">
        <v>183</v>
      </c>
      <c r="B64" t="n">
        <v>24169104.2898319</v>
      </c>
    </row>
    <row r="65">
      <c r="A65" t="s">
        <v>184</v>
      </c>
      <c r="B65" t="n">
        <v>216248148.157331</v>
      </c>
    </row>
    <row r="66">
      <c r="A66" t="s">
        <v>185</v>
      </c>
      <c r="B66" t="n">
        <v>791935584.442213</v>
      </c>
    </row>
    <row r="67">
      <c r="A67" t="s">
        <v>186</v>
      </c>
      <c r="B67" t="n">
        <v>925936937.341745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202707329.854312</v>
      </c>
    </row>
    <row r="71">
      <c r="A71" t="s">
        <v>190</v>
      </c>
      <c r="B71" t="n">
        <v>0</v>
      </c>
    </row>
    <row r="72">
      <c r="A72" t="s">
        <v>191</v>
      </c>
      <c r="B72" t="n">
        <v>124077959.867742</v>
      </c>
    </row>
    <row r="73">
      <c r="A73" t="s">
        <v>192</v>
      </c>
      <c r="B73" t="n">
        <v>158824806.486422</v>
      </c>
    </row>
    <row r="74">
      <c r="A74" t="s">
        <v>193</v>
      </c>
      <c r="B74" t="n">
        <v>268332346.324038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195</v>
      </c>
    </row>
    <row r="2">
      <c r="A2" t="s">
        <v>121</v>
      </c>
      <c r="B2" t="n">
        <v>327626524.492763</v>
      </c>
    </row>
    <row r="3">
      <c r="A3" t="s">
        <v>122</v>
      </c>
      <c r="B3" t="n">
        <v>43471455.9072178</v>
      </c>
    </row>
    <row r="4">
      <c r="A4" t="s">
        <v>123</v>
      </c>
      <c r="B4" t="n">
        <v>0.0000368782784789801</v>
      </c>
    </row>
    <row r="5">
      <c r="A5" t="s">
        <v>124</v>
      </c>
      <c r="B5" t="n">
        <v>32317.9086803498</v>
      </c>
    </row>
    <row r="6">
      <c r="A6" t="s">
        <v>125</v>
      </c>
      <c r="B6" t="n">
        <v>3.00123761920258</v>
      </c>
    </row>
    <row r="7">
      <c r="A7" t="s">
        <v>126</v>
      </c>
      <c r="B7" t="n">
        <v>1365949490.75177</v>
      </c>
    </row>
    <row r="8">
      <c r="A8" t="s">
        <v>127</v>
      </c>
      <c r="B8" t="n">
        <v>0</v>
      </c>
    </row>
    <row r="9">
      <c r="A9" t="s">
        <v>128</v>
      </c>
      <c r="B9" t="n">
        <v>600124859.285041</v>
      </c>
    </row>
    <row r="10">
      <c r="A10" t="s">
        <v>129</v>
      </c>
      <c r="B10" t="n">
        <v>71249042.9590504</v>
      </c>
    </row>
    <row r="11">
      <c r="A11" t="s">
        <v>130</v>
      </c>
      <c r="B11" t="n">
        <v>52445254.7360128</v>
      </c>
    </row>
    <row r="12">
      <c r="A12" t="s">
        <v>131</v>
      </c>
      <c r="B12" t="n">
        <v>854932816.546982</v>
      </c>
    </row>
    <row r="13">
      <c r="A13" t="s">
        <v>132</v>
      </c>
      <c r="B13" t="n">
        <v>389002024.383093</v>
      </c>
    </row>
    <row r="14">
      <c r="A14" t="s">
        <v>133</v>
      </c>
      <c r="B14" t="n">
        <v>275237559.282656</v>
      </c>
    </row>
    <row r="15">
      <c r="A15" t="s">
        <v>134</v>
      </c>
      <c r="B15" t="n">
        <v>54552.456178372</v>
      </c>
    </row>
    <row r="16">
      <c r="A16" t="s">
        <v>135</v>
      </c>
      <c r="B16" t="n">
        <v>73057327.0999494</v>
      </c>
    </row>
    <row r="17">
      <c r="A17" t="s">
        <v>136</v>
      </c>
      <c r="B17" t="n">
        <v>1383633315.95273</v>
      </c>
    </row>
    <row r="18">
      <c r="A18" t="s">
        <v>137</v>
      </c>
      <c r="B18" t="n">
        <v>55151921.8148592</v>
      </c>
    </row>
    <row r="19">
      <c r="A19" t="s">
        <v>138</v>
      </c>
      <c r="B19" t="n">
        <v>185715619.634601</v>
      </c>
    </row>
    <row r="20">
      <c r="A20" t="s">
        <v>139</v>
      </c>
      <c r="B20" t="n">
        <v>1506365867.81311</v>
      </c>
    </row>
    <row r="21">
      <c r="A21" t="s">
        <v>140</v>
      </c>
      <c r="B21" t="n">
        <v>244673131.276343</v>
      </c>
    </row>
    <row r="22">
      <c r="A22" t="s">
        <v>141</v>
      </c>
      <c r="B22" t="n">
        <v>152678610.568314</v>
      </c>
    </row>
    <row r="23">
      <c r="A23" t="s">
        <v>142</v>
      </c>
      <c r="B23" t="n">
        <v>1589608783.76973</v>
      </c>
    </row>
    <row r="24">
      <c r="A24" t="s">
        <v>143</v>
      </c>
      <c r="B24" t="n">
        <v>1888363.01886422</v>
      </c>
    </row>
    <row r="25">
      <c r="A25" t="s">
        <v>144</v>
      </c>
      <c r="B25" t="n">
        <v>124046.580065596</v>
      </c>
    </row>
    <row r="26">
      <c r="A26" t="s">
        <v>145</v>
      </c>
      <c r="B26" t="n">
        <v>1043773411.72271</v>
      </c>
    </row>
    <row r="27">
      <c r="A27" t="s">
        <v>146</v>
      </c>
      <c r="B27" t="n">
        <v>507828932.45559</v>
      </c>
    </row>
    <row r="28">
      <c r="A28" t="s">
        <v>147</v>
      </c>
      <c r="B28" t="n">
        <v>3726581692.58065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1046904922.55593</v>
      </c>
    </row>
    <row r="32">
      <c r="A32" t="s">
        <v>151</v>
      </c>
      <c r="B32" t="n">
        <v>783061529.207974</v>
      </c>
    </row>
    <row r="33">
      <c r="A33" t="s">
        <v>152</v>
      </c>
      <c r="B33" t="n">
        <v>129849.806803327</v>
      </c>
    </row>
    <row r="34">
      <c r="A34" t="s">
        <v>153</v>
      </c>
      <c r="B34" t="n">
        <v>66050.7117671818</v>
      </c>
    </row>
    <row r="35">
      <c r="A35" t="s">
        <v>154</v>
      </c>
      <c r="B35" t="n">
        <v>0</v>
      </c>
    </row>
    <row r="36">
      <c r="A36" t="s">
        <v>155</v>
      </c>
      <c r="B36" t="n">
        <v>536616849.080574</v>
      </c>
    </row>
    <row r="37">
      <c r="A37" t="s">
        <v>156</v>
      </c>
      <c r="B37" t="n">
        <v>0</v>
      </c>
    </row>
    <row r="38">
      <c r="A38" t="s">
        <v>157</v>
      </c>
      <c r="B38" t="n">
        <v>22503830.0494202</v>
      </c>
    </row>
    <row r="39">
      <c r="A39" t="s">
        <v>158</v>
      </c>
      <c r="B39" t="n">
        <v>0</v>
      </c>
    </row>
    <row r="40">
      <c r="A40" t="s">
        <v>159</v>
      </c>
      <c r="B40" t="n">
        <v>222740461.533788</v>
      </c>
    </row>
    <row r="41">
      <c r="A41" t="s">
        <v>160</v>
      </c>
      <c r="B41" t="n">
        <v>100781864.077345</v>
      </c>
    </row>
    <row r="42">
      <c r="A42" t="s">
        <v>161</v>
      </c>
      <c r="B42" t="n">
        <v>66280543.911218</v>
      </c>
    </row>
    <row r="43">
      <c r="A43" t="s">
        <v>162</v>
      </c>
      <c r="B43" t="n">
        <v>766209.426598311</v>
      </c>
    </row>
    <row r="44">
      <c r="A44" t="s">
        <v>163</v>
      </c>
      <c r="B44" t="n">
        <v>63103.4659327144</v>
      </c>
    </row>
    <row r="45">
      <c r="A45" t="s">
        <v>164</v>
      </c>
      <c r="B45" t="n">
        <v>1997508080.3933</v>
      </c>
    </row>
    <row r="46">
      <c r="A46" t="s">
        <v>165</v>
      </c>
      <c r="B46" t="n">
        <v>146862.475490288</v>
      </c>
    </row>
    <row r="47">
      <c r="A47" t="s">
        <v>166</v>
      </c>
      <c r="B47" t="n">
        <v>3587010861.07668</v>
      </c>
    </row>
    <row r="48">
      <c r="A48" t="s">
        <v>167</v>
      </c>
      <c r="B48" t="n">
        <v>245045.154789016</v>
      </c>
    </row>
    <row r="49">
      <c r="A49" t="s">
        <v>168</v>
      </c>
      <c r="B49" t="n">
        <v>0</v>
      </c>
    </row>
    <row r="50">
      <c r="A50" t="s">
        <v>169</v>
      </c>
      <c r="B50" t="n">
        <v>0</v>
      </c>
    </row>
    <row r="51">
      <c r="A51" t="s">
        <v>170</v>
      </c>
      <c r="B51" t="n">
        <v>458167159.025893</v>
      </c>
    </row>
    <row r="52">
      <c r="A52" t="s">
        <v>171</v>
      </c>
      <c r="B52" t="n">
        <v>78993887.809505</v>
      </c>
    </row>
    <row r="53">
      <c r="A53" t="s">
        <v>172</v>
      </c>
      <c r="B53" t="n">
        <v>100733057.003703</v>
      </c>
    </row>
    <row r="54">
      <c r="A54" t="s">
        <v>173</v>
      </c>
      <c r="B54" t="n">
        <v>3794752458.9983</v>
      </c>
    </row>
    <row r="55">
      <c r="A55" t="s">
        <v>174</v>
      </c>
      <c r="B55" t="n">
        <v>707575230.357131</v>
      </c>
    </row>
    <row r="56">
      <c r="A56" t="s">
        <v>175</v>
      </c>
      <c r="B56" t="n">
        <v>1331986829.75322</v>
      </c>
    </row>
    <row r="57">
      <c r="A57" t="s">
        <v>176</v>
      </c>
      <c r="B57" t="n">
        <v>546861525.697223</v>
      </c>
    </row>
    <row r="58">
      <c r="A58" t="s">
        <v>177</v>
      </c>
      <c r="B58" t="n">
        <v>1272351989.22606</v>
      </c>
    </row>
    <row r="59">
      <c r="A59" t="s">
        <v>178</v>
      </c>
      <c r="B59" t="n">
        <v>0</v>
      </c>
    </row>
    <row r="60">
      <c r="A60" t="s">
        <v>179</v>
      </c>
      <c r="B60" t="n">
        <v>0</v>
      </c>
    </row>
    <row r="61">
      <c r="A61" t="s">
        <v>180</v>
      </c>
      <c r="B61" t="n">
        <v>0</v>
      </c>
    </row>
    <row r="62">
      <c r="A62" t="s">
        <v>181</v>
      </c>
      <c r="B62" t="n">
        <v>0</v>
      </c>
    </row>
    <row r="63">
      <c r="A63" t="s">
        <v>182</v>
      </c>
      <c r="B63" t="n">
        <v>231177.073331755</v>
      </c>
    </row>
    <row r="64">
      <c r="A64" t="s">
        <v>183</v>
      </c>
      <c r="B64" t="n">
        <v>600151639.085643</v>
      </c>
    </row>
    <row r="65">
      <c r="A65" t="s">
        <v>184</v>
      </c>
      <c r="B65" t="n">
        <v>680185821.894169</v>
      </c>
    </row>
    <row r="66">
      <c r="A66" t="s">
        <v>185</v>
      </c>
      <c r="B66" t="n">
        <v>0</v>
      </c>
    </row>
    <row r="67">
      <c r="A67" t="s">
        <v>186</v>
      </c>
      <c r="B67" t="n">
        <v>5295354.31964445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283637378.051058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0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196</v>
      </c>
    </row>
    <row r="2">
      <c r="A2" t="s">
        <v>121</v>
      </c>
      <c r="B2" t="n">
        <v>97122376.6573053</v>
      </c>
    </row>
    <row r="3">
      <c r="A3" t="s">
        <v>122</v>
      </c>
      <c r="B3" t="n">
        <v>625522988.998494</v>
      </c>
    </row>
    <row r="4">
      <c r="A4" t="s">
        <v>123</v>
      </c>
      <c r="B4" t="n">
        <v>329477.675910635</v>
      </c>
    </row>
    <row r="5">
      <c r="A5" t="s">
        <v>124</v>
      </c>
      <c r="B5" t="n">
        <v>14166548.3188476</v>
      </c>
    </row>
    <row r="6">
      <c r="A6" t="s">
        <v>125</v>
      </c>
      <c r="B6" t="n">
        <v>56673.2991064803</v>
      </c>
    </row>
    <row r="7">
      <c r="A7" t="s">
        <v>126</v>
      </c>
      <c r="B7" t="n">
        <v>12635455.9282289</v>
      </c>
    </row>
    <row r="8">
      <c r="A8" t="s">
        <v>127</v>
      </c>
      <c r="B8" t="n">
        <v>272315.818798025</v>
      </c>
    </row>
    <row r="9">
      <c r="A9" t="s">
        <v>128</v>
      </c>
      <c r="B9" t="n">
        <v>45307964.1725975</v>
      </c>
    </row>
    <row r="10">
      <c r="A10" t="s">
        <v>129</v>
      </c>
      <c r="B10" t="n">
        <v>1698594.26564566</v>
      </c>
    </row>
    <row r="11">
      <c r="A11" t="s">
        <v>130</v>
      </c>
      <c r="B11" t="n">
        <v>7593458.33378728</v>
      </c>
    </row>
    <row r="12">
      <c r="A12" t="s">
        <v>131</v>
      </c>
      <c r="B12" t="n">
        <v>25552621.5087873</v>
      </c>
    </row>
    <row r="13">
      <c r="A13" t="s">
        <v>132</v>
      </c>
      <c r="B13" t="n">
        <v>114432367.324849</v>
      </c>
    </row>
    <row r="14">
      <c r="A14" t="s">
        <v>133</v>
      </c>
      <c r="B14" t="n">
        <v>154429601.949367</v>
      </c>
    </row>
    <row r="15">
      <c r="A15" t="s">
        <v>134</v>
      </c>
      <c r="B15" t="n">
        <v>27217218.4876085</v>
      </c>
    </row>
    <row r="16">
      <c r="A16" t="s">
        <v>135</v>
      </c>
      <c r="B16" t="n">
        <v>29400685.2446013</v>
      </c>
    </row>
    <row r="17">
      <c r="A17" t="s">
        <v>136</v>
      </c>
      <c r="B17" t="n">
        <v>305008435.340861</v>
      </c>
    </row>
    <row r="18">
      <c r="A18" t="s">
        <v>137</v>
      </c>
      <c r="B18" t="n">
        <v>5563644.79412355</v>
      </c>
    </row>
    <row r="19">
      <c r="A19" t="s">
        <v>138</v>
      </c>
      <c r="B19" t="n">
        <v>14652947.9234377</v>
      </c>
    </row>
    <row r="20">
      <c r="A20" t="s">
        <v>139</v>
      </c>
      <c r="B20" t="n">
        <v>118052678.150556</v>
      </c>
    </row>
    <row r="21">
      <c r="A21" t="s">
        <v>140</v>
      </c>
      <c r="B21" t="n">
        <v>33356038.2736933</v>
      </c>
    </row>
    <row r="22">
      <c r="A22" t="s">
        <v>141</v>
      </c>
      <c r="B22" t="n">
        <v>5997619.19250849</v>
      </c>
    </row>
    <row r="23">
      <c r="A23" t="s">
        <v>142</v>
      </c>
      <c r="B23" t="n">
        <v>277977426.937187</v>
      </c>
    </row>
    <row r="24">
      <c r="A24" t="s">
        <v>143</v>
      </c>
      <c r="B24" t="n">
        <v>1459528.0360833</v>
      </c>
    </row>
    <row r="25">
      <c r="A25" t="s">
        <v>144</v>
      </c>
      <c r="B25" t="n">
        <v>5566054.00578318</v>
      </c>
    </row>
    <row r="26">
      <c r="A26" t="s">
        <v>145</v>
      </c>
      <c r="B26" t="n">
        <v>96345039.6296082</v>
      </c>
    </row>
    <row r="27">
      <c r="A27" t="s">
        <v>146</v>
      </c>
      <c r="B27" t="n">
        <v>27508306.1443762</v>
      </c>
    </row>
    <row r="28">
      <c r="A28" t="s">
        <v>147</v>
      </c>
      <c r="B28" t="n">
        <v>595210128.49934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0</v>
      </c>
    </row>
    <row r="32">
      <c r="A32" t="s">
        <v>151</v>
      </c>
      <c r="B32" t="n">
        <v>0</v>
      </c>
    </row>
    <row r="33">
      <c r="A33" t="s">
        <v>152</v>
      </c>
      <c r="B33" t="n">
        <v>32039604.9465025</v>
      </c>
    </row>
    <row r="34">
      <c r="A34" t="s">
        <v>153</v>
      </c>
      <c r="B34" t="n">
        <v>19191740.8815126</v>
      </c>
    </row>
    <row r="35">
      <c r="A35" t="s">
        <v>154</v>
      </c>
      <c r="B35" t="n">
        <v>4224044.72943171</v>
      </c>
    </row>
    <row r="36">
      <c r="A36" t="s">
        <v>155</v>
      </c>
      <c r="B36" t="n">
        <v>106861408.523473</v>
      </c>
    </row>
    <row r="37">
      <c r="A37" t="s">
        <v>156</v>
      </c>
      <c r="B37" t="n">
        <v>0</v>
      </c>
    </row>
    <row r="38">
      <c r="A38" t="s">
        <v>157</v>
      </c>
      <c r="B38" t="n">
        <v>6154459.53516877</v>
      </c>
    </row>
    <row r="39">
      <c r="A39" t="s">
        <v>158</v>
      </c>
      <c r="B39" t="n">
        <v>25291980.7716219</v>
      </c>
    </row>
    <row r="40">
      <c r="A40" t="s">
        <v>159</v>
      </c>
      <c r="B40" t="n">
        <v>523114.435552892</v>
      </c>
    </row>
    <row r="41">
      <c r="A41" t="s">
        <v>160</v>
      </c>
      <c r="B41" t="n">
        <v>70890936.7187885</v>
      </c>
    </row>
    <row r="42">
      <c r="A42" t="s">
        <v>161</v>
      </c>
      <c r="B42" t="n">
        <v>14196563.9736857</v>
      </c>
    </row>
    <row r="43">
      <c r="A43" t="s">
        <v>162</v>
      </c>
      <c r="B43" t="n">
        <v>15456499.5401087</v>
      </c>
    </row>
    <row r="44">
      <c r="A44" t="s">
        <v>163</v>
      </c>
      <c r="B44" t="n">
        <v>6477974.94465444</v>
      </c>
    </row>
    <row r="45">
      <c r="A45" t="s">
        <v>164</v>
      </c>
      <c r="B45" t="n">
        <v>186205361.399472</v>
      </c>
    </row>
    <row r="46">
      <c r="A46" t="s">
        <v>165</v>
      </c>
      <c r="B46" t="n">
        <v>85362013.0476599</v>
      </c>
    </row>
    <row r="47">
      <c r="A47" t="s">
        <v>166</v>
      </c>
      <c r="B47" t="n">
        <v>72505668.0246383</v>
      </c>
    </row>
    <row r="48">
      <c r="A48" t="s">
        <v>167</v>
      </c>
      <c r="B48" t="n">
        <v>0</v>
      </c>
    </row>
    <row r="49">
      <c r="A49" t="s">
        <v>168</v>
      </c>
      <c r="B49" t="n">
        <v>0</v>
      </c>
    </row>
    <row r="50">
      <c r="A50" t="s">
        <v>169</v>
      </c>
      <c r="B50" t="n">
        <v>7597276.95376015</v>
      </c>
    </row>
    <row r="51">
      <c r="A51" t="s">
        <v>170</v>
      </c>
      <c r="B51" t="n">
        <v>173281738.686308</v>
      </c>
    </row>
    <row r="52">
      <c r="A52" t="s">
        <v>171</v>
      </c>
      <c r="B52" t="n">
        <v>38273925.0136955</v>
      </c>
    </row>
    <row r="53">
      <c r="A53" t="s">
        <v>172</v>
      </c>
      <c r="B53" t="n">
        <v>80728515.5982049</v>
      </c>
    </row>
    <row r="54">
      <c r="A54" t="s">
        <v>173</v>
      </c>
      <c r="B54" t="n">
        <v>387916019.20545</v>
      </c>
    </row>
    <row r="55">
      <c r="A55" t="s">
        <v>174</v>
      </c>
      <c r="B55" t="n">
        <v>15994999.7780967</v>
      </c>
    </row>
    <row r="56">
      <c r="A56" t="s">
        <v>175</v>
      </c>
      <c r="B56" t="n">
        <v>9174214.39910491</v>
      </c>
    </row>
    <row r="57">
      <c r="A57" t="s">
        <v>176</v>
      </c>
      <c r="B57" t="n">
        <v>905821.238796797</v>
      </c>
    </row>
    <row r="58">
      <c r="A58" t="s">
        <v>177</v>
      </c>
      <c r="B58" t="n">
        <v>9987114.03736893</v>
      </c>
    </row>
    <row r="59">
      <c r="A59" t="s">
        <v>178</v>
      </c>
      <c r="B59" t="n">
        <v>3839513.23973389</v>
      </c>
    </row>
    <row r="60">
      <c r="A60" t="s">
        <v>179</v>
      </c>
      <c r="B60" t="n">
        <v>25719337.6572654</v>
      </c>
    </row>
    <row r="61">
      <c r="A61" t="s">
        <v>180</v>
      </c>
      <c r="B61" t="n">
        <v>1770669.63526954</v>
      </c>
    </row>
    <row r="62">
      <c r="A62" t="s">
        <v>181</v>
      </c>
      <c r="B62" t="n">
        <v>0</v>
      </c>
    </row>
    <row r="63">
      <c r="A63" t="s">
        <v>182</v>
      </c>
      <c r="B63" t="n">
        <v>3628737.86746426</v>
      </c>
    </row>
    <row r="64">
      <c r="A64" t="s">
        <v>183</v>
      </c>
      <c r="B64" t="n">
        <v>79154.4103212847</v>
      </c>
    </row>
    <row r="65">
      <c r="A65" t="s">
        <v>184</v>
      </c>
      <c r="B65" t="n">
        <v>0</v>
      </c>
    </row>
    <row r="66">
      <c r="A66" t="s">
        <v>185</v>
      </c>
      <c r="B66" t="n">
        <v>12126700.295096</v>
      </c>
    </row>
    <row r="67">
      <c r="A67" t="s">
        <v>186</v>
      </c>
      <c r="B67" t="n">
        <v>266316.992900065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3587624.10264972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119354927.254143</v>
      </c>
    </row>
    <row r="74">
      <c r="A74" t="s">
        <v>193</v>
      </c>
      <c r="B74" t="n">
        <v>954625563.434173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119</v>
      </c>
      <c r="B1" t="s">
        <v>197</v>
      </c>
    </row>
    <row r="2">
      <c r="A2" t="str">
        <f>'3_ESoP_RoUS_exports_by_BEA'!A2</f>
      </c>
      <c r="B2" t="str">
        <f>'3_ESoP_RoUS_exports_by_BEA'!B2+'4_ESoP_intl_exports_by_BEA'!B2</f>
      </c>
    </row>
    <row r="3">
      <c r="A3" t="str">
        <f>'3_ESoP_RoUS_exports_by_BEA'!A3</f>
      </c>
      <c r="B3" t="str">
        <f>'3_ESoP_RoUS_exports_by_BEA'!B3+'4_ESoP_intl_exports_by_BEA'!B3</f>
      </c>
    </row>
    <row r="4">
      <c r="A4" t="str">
        <f>'3_ESoP_RoUS_exports_by_BEA'!A4</f>
      </c>
      <c r="B4" t="str">
        <f>'3_ESoP_RoUS_exports_by_BEA'!B4+'4_ESoP_intl_exports_by_BEA'!B4</f>
      </c>
    </row>
    <row r="5">
      <c r="A5" t="str">
        <f>'3_ESoP_RoUS_exports_by_BEA'!A5</f>
      </c>
      <c r="B5" t="str">
        <f>'3_ESoP_RoUS_exports_by_BEA'!B5+'4_ESoP_intl_exports_by_BEA'!B5</f>
      </c>
    </row>
    <row r="6">
      <c r="A6" t="str">
        <f>'3_ESoP_RoUS_exports_by_BEA'!A6</f>
      </c>
      <c r="B6" t="str">
        <f>'3_ESoP_RoUS_exports_by_BEA'!B6+'4_ESoP_intl_exports_by_BEA'!B6</f>
      </c>
    </row>
    <row r="7">
      <c r="A7" t="str">
        <f>'3_ESoP_RoUS_exports_by_BEA'!A7</f>
      </c>
      <c r="B7" t="str">
        <f>'3_ESoP_RoUS_exports_by_BEA'!B7+'4_ESoP_intl_exports_by_BEA'!B7</f>
      </c>
    </row>
    <row r="8">
      <c r="A8" t="str">
        <f>'3_ESoP_RoUS_exports_by_BEA'!A8</f>
      </c>
      <c r="B8" t="str">
        <f>'3_ESoP_RoUS_exports_by_BEA'!B8+'4_ESoP_intl_exports_by_BEA'!B8</f>
      </c>
    </row>
    <row r="9">
      <c r="A9" t="str">
        <f>'3_ESoP_RoUS_exports_by_BEA'!A9</f>
      </c>
      <c r="B9" t="str">
        <f>'3_ESoP_RoUS_exports_by_BEA'!B9+'4_ESoP_intl_exports_by_BEA'!B9</f>
      </c>
    </row>
    <row r="10">
      <c r="A10" t="str">
        <f>'3_ESoP_RoUS_exports_by_BEA'!A10</f>
      </c>
      <c r="B10" t="str">
        <f>'3_ESoP_RoUS_exports_by_BEA'!B10+'4_ESoP_intl_exports_by_BEA'!B10</f>
      </c>
    </row>
    <row r="11">
      <c r="A11" t="str">
        <f>'3_ESoP_RoUS_exports_by_BEA'!A11</f>
      </c>
      <c r="B11" t="str">
        <f>'3_ESoP_RoUS_exports_by_BEA'!B11+'4_ESoP_intl_exports_by_BEA'!B11</f>
      </c>
    </row>
    <row r="12">
      <c r="A12" t="str">
        <f>'3_ESoP_RoUS_exports_by_BEA'!A12</f>
      </c>
      <c r="B12" t="str">
        <f>'3_ESoP_RoUS_exports_by_BEA'!B12+'4_ESoP_intl_exports_by_BEA'!B12</f>
      </c>
    </row>
    <row r="13">
      <c r="A13" t="str">
        <f>'3_ESoP_RoUS_exports_by_BEA'!A13</f>
      </c>
      <c r="B13" t="str">
        <f>'3_ESoP_RoUS_exports_by_BEA'!B13+'4_ESoP_intl_exports_by_BEA'!B13</f>
      </c>
    </row>
    <row r="14">
      <c r="A14" t="str">
        <f>'3_ESoP_RoUS_exports_by_BEA'!A14</f>
      </c>
      <c r="B14" t="str">
        <f>'3_ESoP_RoUS_exports_by_BEA'!B14+'4_ESoP_intl_exports_by_BEA'!B14</f>
      </c>
    </row>
    <row r="15">
      <c r="A15" t="str">
        <f>'3_ESoP_RoUS_exports_by_BEA'!A15</f>
      </c>
      <c r="B15" t="str">
        <f>'3_ESoP_RoUS_exports_by_BEA'!B15+'4_ESoP_intl_exports_by_BEA'!B15</f>
      </c>
    </row>
    <row r="16">
      <c r="A16" t="str">
        <f>'3_ESoP_RoUS_exports_by_BEA'!A16</f>
      </c>
      <c r="B16" t="str">
        <f>'3_ESoP_RoUS_exports_by_BEA'!B16+'4_ESoP_intl_exports_by_BEA'!B16</f>
      </c>
    </row>
    <row r="17">
      <c r="A17" t="str">
        <f>'3_ESoP_RoUS_exports_by_BEA'!A17</f>
      </c>
      <c r="B17" t="str">
        <f>'3_ESoP_RoUS_exports_by_BEA'!B17+'4_ESoP_intl_exports_by_BEA'!B17</f>
      </c>
    </row>
    <row r="18">
      <c r="A18" t="str">
        <f>'3_ESoP_RoUS_exports_by_BEA'!A18</f>
      </c>
      <c r="B18" t="str">
        <f>'3_ESoP_RoUS_exports_by_BEA'!B18+'4_ESoP_intl_exports_by_BEA'!B18</f>
      </c>
    </row>
    <row r="19">
      <c r="A19" t="str">
        <f>'3_ESoP_RoUS_exports_by_BEA'!A19</f>
      </c>
      <c r="B19" t="str">
        <f>'3_ESoP_RoUS_exports_by_BEA'!B19+'4_ESoP_intl_exports_by_BEA'!B19</f>
      </c>
    </row>
    <row r="20">
      <c r="A20" t="str">
        <f>'3_ESoP_RoUS_exports_by_BEA'!A20</f>
      </c>
      <c r="B20" t="str">
        <f>'3_ESoP_RoUS_exports_by_BEA'!B20+'4_ESoP_intl_exports_by_BEA'!B20</f>
      </c>
    </row>
    <row r="21">
      <c r="A21" t="str">
        <f>'3_ESoP_RoUS_exports_by_BEA'!A21</f>
      </c>
      <c r="B21" t="str">
        <f>'3_ESoP_RoUS_exports_by_BEA'!B21+'4_ESoP_intl_exports_by_BEA'!B21</f>
      </c>
    </row>
    <row r="22">
      <c r="A22" t="str">
        <f>'3_ESoP_RoUS_exports_by_BEA'!A22</f>
      </c>
      <c r="B22" t="str">
        <f>'3_ESoP_RoUS_exports_by_BEA'!B22+'4_ESoP_intl_exports_by_BEA'!B22</f>
      </c>
    </row>
    <row r="23">
      <c r="A23" t="str">
        <f>'3_ESoP_RoUS_exports_by_BEA'!A23</f>
      </c>
      <c r="B23" t="str">
        <f>'3_ESoP_RoUS_exports_by_BEA'!B23+'4_ESoP_intl_exports_by_BEA'!B23</f>
      </c>
    </row>
    <row r="24">
      <c r="A24" t="str">
        <f>'3_ESoP_RoUS_exports_by_BEA'!A24</f>
      </c>
      <c r="B24" t="str">
        <f>'3_ESoP_RoUS_exports_by_BEA'!B24+'4_ESoP_intl_exports_by_BEA'!B24</f>
      </c>
    </row>
    <row r="25">
      <c r="A25" t="str">
        <f>'3_ESoP_RoUS_exports_by_BEA'!A25</f>
      </c>
      <c r="B25" t="str">
        <f>'3_ESoP_RoUS_exports_by_BEA'!B25+'4_ESoP_intl_exports_by_BEA'!B25</f>
      </c>
    </row>
    <row r="26">
      <c r="A26" t="str">
        <f>'3_ESoP_RoUS_exports_by_BEA'!A26</f>
      </c>
      <c r="B26" t="str">
        <f>'3_ESoP_RoUS_exports_by_BEA'!B26+'4_ESoP_intl_exports_by_BEA'!B26</f>
      </c>
    </row>
    <row r="27">
      <c r="A27" t="str">
        <f>'3_ESoP_RoUS_exports_by_BEA'!A27</f>
      </c>
      <c r="B27" t="str">
        <f>'3_ESoP_RoUS_exports_by_BEA'!B27+'4_ESoP_intl_exports_by_BEA'!B27</f>
      </c>
    </row>
    <row r="28">
      <c r="A28" t="str">
        <f>'3_ESoP_RoUS_exports_by_BEA'!A28</f>
      </c>
      <c r="B28" t="str">
        <f>'3_ESoP_RoUS_exports_by_BEA'!B28+'4_ESoP_intl_exports_by_BEA'!B28</f>
      </c>
    </row>
    <row r="29">
      <c r="A29" t="str">
        <f>'3_ESoP_RoUS_exports_by_BEA'!A29</f>
      </c>
      <c r="B29" t="str">
        <f>'3_ESoP_RoUS_exports_by_BEA'!B29+'4_ESoP_intl_exports_by_BEA'!B29</f>
      </c>
    </row>
    <row r="30">
      <c r="A30" t="str">
        <f>'3_ESoP_RoUS_exports_by_BEA'!A30</f>
      </c>
      <c r="B30" t="str">
        <f>'3_ESoP_RoUS_exports_by_BEA'!B30+'4_ESoP_intl_exports_by_BEA'!B30</f>
      </c>
    </row>
    <row r="31">
      <c r="A31" t="str">
        <f>'3_ESoP_RoUS_exports_by_BEA'!A31</f>
      </c>
      <c r="B31" t="str">
        <f>'3_ESoP_RoUS_exports_by_BEA'!B31+'4_ESoP_intl_exports_by_BEA'!B31</f>
      </c>
    </row>
    <row r="32">
      <c r="A32" t="str">
        <f>'3_ESoP_RoUS_exports_by_BEA'!A32</f>
      </c>
      <c r="B32" t="str">
        <f>'3_ESoP_RoUS_exports_by_BEA'!B32+'4_ESoP_intl_exports_by_BEA'!B32</f>
      </c>
    </row>
    <row r="33">
      <c r="A33" t="str">
        <f>'3_ESoP_RoUS_exports_by_BEA'!A33</f>
      </c>
      <c r="B33" t="str">
        <f>'3_ESoP_RoUS_exports_by_BEA'!B33+'4_ESoP_intl_exports_by_BEA'!B33</f>
      </c>
    </row>
    <row r="34">
      <c r="A34" t="str">
        <f>'3_ESoP_RoUS_exports_by_BEA'!A34</f>
      </c>
      <c r="B34" t="str">
        <f>'3_ESoP_RoUS_exports_by_BEA'!B34+'4_ESoP_intl_exports_by_BEA'!B34</f>
      </c>
    </row>
    <row r="35">
      <c r="A35" t="str">
        <f>'3_ESoP_RoUS_exports_by_BEA'!A35</f>
      </c>
      <c r="B35" t="str">
        <f>'3_ESoP_RoUS_exports_by_BEA'!B35+'4_ESoP_intl_exports_by_BEA'!B35</f>
      </c>
    </row>
    <row r="36">
      <c r="A36" t="str">
        <f>'3_ESoP_RoUS_exports_by_BEA'!A36</f>
      </c>
      <c r="B36" t="str">
        <f>'3_ESoP_RoUS_exports_by_BEA'!B36+'4_ESoP_intl_exports_by_BEA'!B36</f>
      </c>
    </row>
    <row r="37">
      <c r="A37" t="str">
        <f>'3_ESoP_RoUS_exports_by_BEA'!A37</f>
      </c>
      <c r="B37" t="str">
        <f>'3_ESoP_RoUS_exports_by_BEA'!B37+'4_ESoP_intl_exports_by_BEA'!B37</f>
      </c>
    </row>
    <row r="38">
      <c r="A38" t="str">
        <f>'3_ESoP_RoUS_exports_by_BEA'!A38</f>
      </c>
      <c r="B38" t="str">
        <f>'3_ESoP_RoUS_exports_by_BEA'!B38+'4_ESoP_intl_exports_by_BEA'!B38</f>
      </c>
    </row>
    <row r="39">
      <c r="A39" t="str">
        <f>'3_ESoP_RoUS_exports_by_BEA'!A39</f>
      </c>
      <c r="B39" t="str">
        <f>'3_ESoP_RoUS_exports_by_BEA'!B39+'4_ESoP_intl_exports_by_BEA'!B39</f>
      </c>
    </row>
    <row r="40">
      <c r="A40" t="str">
        <f>'3_ESoP_RoUS_exports_by_BEA'!A40</f>
      </c>
      <c r="B40" t="str">
        <f>'3_ESoP_RoUS_exports_by_BEA'!B40+'4_ESoP_intl_exports_by_BEA'!B40</f>
      </c>
    </row>
    <row r="41">
      <c r="A41" t="str">
        <f>'3_ESoP_RoUS_exports_by_BEA'!A41</f>
      </c>
      <c r="B41" t="str">
        <f>'3_ESoP_RoUS_exports_by_BEA'!B41+'4_ESoP_intl_exports_by_BEA'!B41</f>
      </c>
    </row>
    <row r="42">
      <c r="A42" t="str">
        <f>'3_ESoP_RoUS_exports_by_BEA'!A42</f>
      </c>
      <c r="B42" t="str">
        <f>'3_ESoP_RoUS_exports_by_BEA'!B42+'4_ESoP_intl_exports_by_BEA'!B42</f>
      </c>
    </row>
    <row r="43">
      <c r="A43" t="str">
        <f>'3_ESoP_RoUS_exports_by_BEA'!A43</f>
      </c>
      <c r="B43" t="str">
        <f>'3_ESoP_RoUS_exports_by_BEA'!B43+'4_ESoP_intl_exports_by_BEA'!B43</f>
      </c>
    </row>
    <row r="44">
      <c r="A44" t="str">
        <f>'3_ESoP_RoUS_exports_by_BEA'!A44</f>
      </c>
      <c r="B44" t="str">
        <f>'3_ESoP_RoUS_exports_by_BEA'!B44+'4_ESoP_intl_exports_by_BEA'!B44</f>
      </c>
    </row>
    <row r="45">
      <c r="A45" t="str">
        <f>'3_ESoP_RoUS_exports_by_BEA'!A45</f>
      </c>
      <c r="B45" t="str">
        <f>'3_ESoP_RoUS_exports_by_BEA'!B45+'4_ESoP_intl_exports_by_BEA'!B45</f>
      </c>
    </row>
    <row r="46">
      <c r="A46" t="str">
        <f>'3_ESoP_RoUS_exports_by_BEA'!A46</f>
      </c>
      <c r="B46" t="str">
        <f>'3_ESoP_RoUS_exports_by_BEA'!B46+'4_ESoP_intl_exports_by_BEA'!B46</f>
      </c>
    </row>
    <row r="47">
      <c r="A47" t="str">
        <f>'3_ESoP_RoUS_exports_by_BEA'!A47</f>
      </c>
      <c r="B47" t="str">
        <f>'3_ESoP_RoUS_exports_by_BEA'!B47+'4_ESoP_intl_exports_by_BEA'!B47</f>
      </c>
    </row>
    <row r="48">
      <c r="A48" t="str">
        <f>'3_ESoP_RoUS_exports_by_BEA'!A48</f>
      </c>
      <c r="B48" t="str">
        <f>'3_ESoP_RoUS_exports_by_BEA'!B48+'4_ESoP_intl_exports_by_BEA'!B48</f>
      </c>
    </row>
    <row r="49">
      <c r="A49" t="str">
        <f>'3_ESoP_RoUS_exports_by_BEA'!A49</f>
      </c>
      <c r="B49" t="str">
        <f>'3_ESoP_RoUS_exports_by_BEA'!B49+'4_ESoP_intl_exports_by_BEA'!B49</f>
      </c>
    </row>
    <row r="50">
      <c r="A50" t="str">
        <f>'3_ESoP_RoUS_exports_by_BEA'!A50</f>
      </c>
      <c r="B50" t="str">
        <f>'3_ESoP_RoUS_exports_by_BEA'!B50+'4_ESoP_intl_exports_by_BEA'!B50</f>
      </c>
    </row>
    <row r="51">
      <c r="A51" t="str">
        <f>'3_ESoP_RoUS_exports_by_BEA'!A51</f>
      </c>
      <c r="B51" t="str">
        <f>'3_ESoP_RoUS_exports_by_BEA'!B51+'4_ESoP_intl_exports_by_BEA'!B51</f>
      </c>
    </row>
    <row r="52">
      <c r="A52" t="str">
        <f>'3_ESoP_RoUS_exports_by_BEA'!A52</f>
      </c>
      <c r="B52" t="str">
        <f>'3_ESoP_RoUS_exports_by_BEA'!B52+'4_ESoP_intl_exports_by_BEA'!B52</f>
      </c>
    </row>
    <row r="53">
      <c r="A53" t="str">
        <f>'3_ESoP_RoUS_exports_by_BEA'!A53</f>
      </c>
      <c r="B53" t="str">
        <f>'3_ESoP_RoUS_exports_by_BEA'!B53+'4_ESoP_intl_exports_by_BEA'!B53</f>
      </c>
    </row>
    <row r="54">
      <c r="A54" t="str">
        <f>'3_ESoP_RoUS_exports_by_BEA'!A54</f>
      </c>
      <c r="B54" t="str">
        <f>'3_ESoP_RoUS_exports_by_BEA'!B54+'4_ESoP_intl_exports_by_BEA'!B54</f>
      </c>
    </row>
    <row r="55">
      <c r="A55" t="str">
        <f>'3_ESoP_RoUS_exports_by_BEA'!A55</f>
      </c>
      <c r="B55" t="str">
        <f>'3_ESoP_RoUS_exports_by_BEA'!B55+'4_ESoP_intl_exports_by_BEA'!B55</f>
      </c>
    </row>
    <row r="56">
      <c r="A56" t="str">
        <f>'3_ESoP_RoUS_exports_by_BEA'!A56</f>
      </c>
      <c r="B56" t="str">
        <f>'3_ESoP_RoUS_exports_by_BEA'!B56+'4_ESoP_intl_exports_by_BEA'!B56</f>
      </c>
    </row>
    <row r="57">
      <c r="A57" t="str">
        <f>'3_ESoP_RoUS_exports_by_BEA'!A57</f>
      </c>
      <c r="B57" t="str">
        <f>'3_ESoP_RoUS_exports_by_BEA'!B57+'4_ESoP_intl_exports_by_BEA'!B57</f>
      </c>
    </row>
    <row r="58">
      <c r="A58" t="str">
        <f>'3_ESoP_RoUS_exports_by_BEA'!A58</f>
      </c>
      <c r="B58" t="str">
        <f>'3_ESoP_RoUS_exports_by_BEA'!B58+'4_ESoP_intl_exports_by_BEA'!B58</f>
      </c>
    </row>
    <row r="59">
      <c r="A59" t="str">
        <f>'3_ESoP_RoUS_exports_by_BEA'!A59</f>
      </c>
      <c r="B59" t="str">
        <f>'3_ESoP_RoUS_exports_by_BEA'!B59+'4_ESoP_intl_exports_by_BEA'!B59</f>
      </c>
    </row>
    <row r="60">
      <c r="A60" t="str">
        <f>'3_ESoP_RoUS_exports_by_BEA'!A60</f>
      </c>
      <c r="B60" t="str">
        <f>'3_ESoP_RoUS_exports_by_BEA'!B60+'4_ESoP_intl_exports_by_BEA'!B60</f>
      </c>
    </row>
    <row r="61">
      <c r="A61" t="str">
        <f>'3_ESoP_RoUS_exports_by_BEA'!A61</f>
      </c>
      <c r="B61" t="str">
        <f>'3_ESoP_RoUS_exports_by_BEA'!B61+'4_ESoP_intl_exports_by_BEA'!B61</f>
      </c>
    </row>
    <row r="62">
      <c r="A62" t="str">
        <f>'3_ESoP_RoUS_exports_by_BEA'!A62</f>
      </c>
      <c r="B62" t="str">
        <f>'3_ESoP_RoUS_exports_by_BEA'!B62+'4_ESoP_intl_exports_by_BEA'!B62</f>
      </c>
    </row>
    <row r="63">
      <c r="A63" t="str">
        <f>'3_ESoP_RoUS_exports_by_BEA'!A63</f>
      </c>
      <c r="B63" t="str">
        <f>'3_ESoP_RoUS_exports_by_BEA'!B63+'4_ESoP_intl_exports_by_BEA'!B63</f>
      </c>
    </row>
    <row r="64">
      <c r="A64" t="str">
        <f>'3_ESoP_RoUS_exports_by_BEA'!A64</f>
      </c>
      <c r="B64" t="str">
        <f>'3_ESoP_RoUS_exports_by_BEA'!B64+'4_ESoP_intl_exports_by_BEA'!B64</f>
      </c>
    </row>
    <row r="65">
      <c r="A65" t="str">
        <f>'3_ESoP_RoUS_exports_by_BEA'!A65</f>
      </c>
      <c r="B65" t="str">
        <f>'3_ESoP_RoUS_exports_by_BEA'!B65+'4_ESoP_intl_exports_by_BEA'!B65</f>
      </c>
    </row>
    <row r="66">
      <c r="A66" t="str">
        <f>'3_ESoP_RoUS_exports_by_BEA'!A66</f>
      </c>
      <c r="B66" t="str">
        <f>'3_ESoP_RoUS_exports_by_BEA'!B66+'4_ESoP_intl_exports_by_BEA'!B66</f>
      </c>
    </row>
    <row r="67">
      <c r="A67" t="str">
        <f>'3_ESoP_RoUS_exports_by_BEA'!A67</f>
      </c>
      <c r="B67" t="str">
        <f>'3_ESoP_RoUS_exports_by_BEA'!B67+'4_ESoP_intl_exports_by_BEA'!B67</f>
      </c>
    </row>
    <row r="68">
      <c r="A68" t="str">
        <f>'3_ESoP_RoUS_exports_by_BEA'!A68</f>
      </c>
      <c r="B68" t="str">
        <f>'3_ESoP_RoUS_exports_by_BEA'!B68+'4_ESoP_intl_exports_by_BEA'!B68</f>
      </c>
    </row>
    <row r="69">
      <c r="A69" t="str">
        <f>'3_ESoP_RoUS_exports_by_BEA'!A69</f>
      </c>
      <c r="B69" t="str">
        <f>'3_ESoP_RoUS_exports_by_BEA'!B69+'4_ESoP_intl_exports_by_BEA'!B69</f>
      </c>
    </row>
    <row r="70">
      <c r="A70" t="str">
        <f>'3_ESoP_RoUS_exports_by_BEA'!A70</f>
      </c>
      <c r="B70" t="str">
        <f>'3_ESoP_RoUS_exports_by_BEA'!B70+'4_ESoP_intl_exports_by_BEA'!B70</f>
      </c>
    </row>
    <row r="71">
      <c r="A71" t="str">
        <f>'3_ESoP_RoUS_exports_by_BEA'!A71</f>
      </c>
      <c r="B71" t="str">
        <f>'3_ESoP_RoUS_exports_by_BEA'!B71+'4_ESoP_intl_exports_by_BEA'!B71</f>
      </c>
    </row>
    <row r="72">
      <c r="A72" t="str">
        <f>'3_ESoP_RoUS_exports_by_BEA'!A72</f>
      </c>
      <c r="B72" t="str">
        <f>'3_ESoP_RoUS_exports_by_BEA'!B72+'4_ESoP_intl_exports_by_BEA'!B72</f>
      </c>
    </row>
    <row r="73">
      <c r="A73" t="str">
        <f>'3_ESoP_RoUS_exports_by_BEA'!A73</f>
      </c>
      <c r="B73" t="str">
        <f>'3_ESoP_RoUS_exports_by_BEA'!B73+'4_ESoP_intl_exports_by_BEA'!B73</f>
      </c>
    </row>
    <row r="74">
      <c r="A74" t="str">
        <f>'3_ESoP_RoUS_exports_by_BEA'!A74</f>
      </c>
      <c r="B74" t="str">
        <f>'3_ESoP_RoUS_exports_by_BEA'!B74+'4_ESoP_intl_exports_by_BEA'!B74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198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92421650.1921171</v>
      </c>
      <c r="C10" t="n">
        <v>920762.93249879</v>
      </c>
      <c r="D10" t="n">
        <v>0</v>
      </c>
      <c r="E10" t="n">
        <v>6150.75391040161</v>
      </c>
      <c r="F10" t="n">
        <v>71.6656609897996</v>
      </c>
      <c r="G10" t="n">
        <v>0</v>
      </c>
      <c r="H10" t="n">
        <v>1444764.31676515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204225.459028102</v>
      </c>
      <c r="T10" t="n">
        <v>282070709.439648</v>
      </c>
      <c r="U10" t="n">
        <v>4119187.07644232</v>
      </c>
      <c r="V10" t="n">
        <v>0</v>
      </c>
      <c r="W10" t="n">
        <v>0</v>
      </c>
      <c r="X10" t="n">
        <v>0</v>
      </c>
      <c r="Y10" t="n">
        <v>0</v>
      </c>
      <c r="Z10" t="n">
        <v>11064018.4653017</v>
      </c>
      <c r="AA10" t="n">
        <v>0</v>
      </c>
      <c r="AB10" t="n">
        <v>833330.251855906</v>
      </c>
      <c r="AC10" t="n">
        <v>1084904.62753528</v>
      </c>
      <c r="AD10" t="n">
        <v>2220595.89950141</v>
      </c>
      <c r="AE10" t="n">
        <v>240913.015646582</v>
      </c>
      <c r="AF10" t="n">
        <v>523395.5369037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21312.9792369697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1096.57815701311</v>
      </c>
      <c r="AT10" t="n">
        <v>0</v>
      </c>
      <c r="AU10" t="n">
        <v>0</v>
      </c>
      <c r="AV10" t="n">
        <v>0</v>
      </c>
      <c r="AW10" t="n">
        <v>0</v>
      </c>
      <c r="AX10" t="n">
        <v>4773.30491321588</v>
      </c>
      <c r="AY10" t="n">
        <v>0</v>
      </c>
      <c r="AZ10" t="n">
        <v>971.235531753763</v>
      </c>
      <c r="BA10" t="n">
        <v>0</v>
      </c>
      <c r="BB10" t="n">
        <v>864352.047239366</v>
      </c>
      <c r="BC10" t="n">
        <v>30789.1124403425</v>
      </c>
      <c r="BD10" t="n">
        <v>1872780.55525465</v>
      </c>
      <c r="BE10" t="n">
        <v>0</v>
      </c>
      <c r="BF10" t="n">
        <v>159540.369295451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553430.664523732</v>
      </c>
      <c r="BM10" t="n">
        <v>77455.9254529686</v>
      </c>
      <c r="BN10" t="n">
        <v>2492651.96844581</v>
      </c>
      <c r="BO10" t="n">
        <v>14789.877833859</v>
      </c>
      <c r="BP10" t="n">
        <v>5657.57826155413</v>
      </c>
      <c r="BQ10" t="n">
        <v>-898094.889869618</v>
      </c>
      <c r="BR10" t="n">
        <v>0</v>
      </c>
      <c r="BS10" t="n">
        <v>4242066.7036014</v>
      </c>
      <c r="BT10" t="n">
        <v>0</v>
      </c>
      <c r="BU10" t="n">
        <v>114268740.311504</v>
      </c>
      <c r="BV10" t="n">
        <v>0</v>
      </c>
      <c r="BW10" t="n">
        <v>0</v>
      </c>
      <c r="BX10" t="n">
        <v>0</v>
      </c>
      <c r="BY10" t="n">
        <v>0</v>
      </c>
      <c r="BZ10" t="n">
        <v>-32760633.7748855</v>
      </c>
      <c r="CA10" t="n">
        <v>97122376.6573053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66085126.8039453</v>
      </c>
      <c r="C11" t="n">
        <v>61684197.8426236</v>
      </c>
      <c r="D11" t="n">
        <v>0</v>
      </c>
      <c r="E11" t="n">
        <v>58345.0133452147</v>
      </c>
      <c r="F11" t="n">
        <v>0</v>
      </c>
      <c r="G11" t="n">
        <v>0</v>
      </c>
      <c r="H11" t="n">
        <v>0</v>
      </c>
      <c r="I11" t="n">
        <v>89809824.5066067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43112.6247012741</v>
      </c>
      <c r="S11" t="n">
        <v>99951.5742161546</v>
      </c>
      <c r="T11" t="n">
        <v>3013499.45489372</v>
      </c>
      <c r="U11" t="n">
        <v>0</v>
      </c>
      <c r="V11" t="n">
        <v>490707.10436295</v>
      </c>
      <c r="W11" t="n">
        <v>33310849.5743285</v>
      </c>
      <c r="X11" t="n">
        <v>11798.2924773941</v>
      </c>
      <c r="Y11" t="n">
        <v>0</v>
      </c>
      <c r="Z11" t="n">
        <v>142151.031809212</v>
      </c>
      <c r="AA11" t="n">
        <v>1126758.09648404</v>
      </c>
      <c r="AB11" t="n">
        <v>0</v>
      </c>
      <c r="AC11" t="n">
        <v>0</v>
      </c>
      <c r="AD11" t="n">
        <v>396812.315672266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692255.16579643</v>
      </c>
      <c r="BC11" t="n">
        <v>75592.0837032513</v>
      </c>
      <c r="BD11" t="n">
        <v>0</v>
      </c>
      <c r="BE11" t="n">
        <v>0</v>
      </c>
      <c r="BF11" t="n">
        <v>28760.9350826242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82787.0441700236</v>
      </c>
      <c r="BM11" t="n">
        <v>203525.201149774</v>
      </c>
      <c r="BN11" t="n">
        <v>2008829.16117786</v>
      </c>
      <c r="BO11" t="n">
        <v>22056.9623911505</v>
      </c>
      <c r="BP11" t="n">
        <v>0</v>
      </c>
      <c r="BQ11" t="n">
        <v>198144.765387325</v>
      </c>
      <c r="BR11" t="n">
        <v>4033.50260189109</v>
      </c>
      <c r="BS11" t="n">
        <v>13688801.6839438</v>
      </c>
      <c r="BT11" t="n">
        <v>0</v>
      </c>
      <c r="BU11" t="n">
        <v>18065432.4772729</v>
      </c>
      <c r="BV11" t="n">
        <v>0</v>
      </c>
      <c r="BW11" t="n">
        <v>0</v>
      </c>
      <c r="BX11" t="n">
        <v>0</v>
      </c>
      <c r="BY11" t="n">
        <v>0</v>
      </c>
      <c r="BZ11" t="n">
        <v>16561510.1918878</v>
      </c>
      <c r="CA11" t="n">
        <v>625522988.998494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0</v>
      </c>
      <c r="E12" t="n">
        <v>0</v>
      </c>
      <c r="F12" t="n">
        <v>0.238714005706324</v>
      </c>
      <c r="G12" t="n">
        <v>175963.213516742</v>
      </c>
      <c r="H12" t="n">
        <v>0</v>
      </c>
      <c r="I12" t="n">
        <v>115.154039915764</v>
      </c>
      <c r="J12" t="n">
        <v>9.56350047253227</v>
      </c>
      <c r="K12" t="n">
        <v>5.22620334105341</v>
      </c>
      <c r="L12" t="n">
        <v>0</v>
      </c>
      <c r="M12" t="n">
        <v>0</v>
      </c>
      <c r="N12" t="n">
        <v>0</v>
      </c>
      <c r="O12" t="n">
        <v>0</v>
      </c>
      <c r="P12" t="n">
        <v>2.6231916413704</v>
      </c>
      <c r="Q12" t="n">
        <v>0</v>
      </c>
      <c r="R12" t="n">
        <v>0</v>
      </c>
      <c r="S12" t="n">
        <v>0</v>
      </c>
      <c r="T12" t="n">
        <v>15.8811226303442</v>
      </c>
      <c r="U12" t="n">
        <v>0</v>
      </c>
      <c r="V12" t="n">
        <v>0</v>
      </c>
      <c r="W12" t="n">
        <v>0</v>
      </c>
      <c r="X12" t="n">
        <v>11.1794111190391</v>
      </c>
      <c r="Y12" t="n">
        <v>470900.144437976</v>
      </c>
      <c r="Z12" t="n">
        <v>32629.2488420173</v>
      </c>
      <c r="AA12" t="n">
        <v>0</v>
      </c>
      <c r="AB12" t="n">
        <v>25.9539311820236</v>
      </c>
      <c r="AC12" t="n">
        <v>44.6142228622075</v>
      </c>
      <c r="AD12" t="n">
        <v>0</v>
      </c>
      <c r="AE12" t="n">
        <v>20.1119489470348</v>
      </c>
      <c r="AF12" t="n">
        <v>53.6430476475944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30.6602717123883</v>
      </c>
      <c r="AM12" t="n">
        <v>0</v>
      </c>
      <c r="AN12" t="n">
        <v>629.686617191095</v>
      </c>
      <c r="AO12" t="n">
        <v>206.754028089534</v>
      </c>
      <c r="AP12" t="n">
        <v>0</v>
      </c>
      <c r="AQ12" t="n">
        <v>6.48219741319349</v>
      </c>
      <c r="AR12" t="n">
        <v>27.7575975145187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201.394826015941</v>
      </c>
      <c r="AY12" t="n">
        <v>0</v>
      </c>
      <c r="AZ12" t="n">
        <v>0</v>
      </c>
      <c r="BA12" t="n">
        <v>9.8420317670309</v>
      </c>
      <c r="BB12" t="n">
        <v>33.0172554383307</v>
      </c>
      <c r="BC12" t="n">
        <v>32.5576766407917</v>
      </c>
      <c r="BD12" t="n">
        <v>0</v>
      </c>
      <c r="BE12" t="n">
        <v>18.3000364873431</v>
      </c>
      <c r="BF12" t="n">
        <v>2491.63662049925</v>
      </c>
      <c r="BG12" t="n">
        <v>17.0156345125959</v>
      </c>
      <c r="BH12" t="n">
        <v>0</v>
      </c>
      <c r="BI12" t="n">
        <v>30.2310594440578</v>
      </c>
      <c r="BJ12" t="n">
        <v>0</v>
      </c>
      <c r="BK12" t="n">
        <v>0</v>
      </c>
      <c r="BL12" t="n">
        <v>317.513194346931</v>
      </c>
      <c r="BM12" t="n">
        <v>26.0607099312679</v>
      </c>
      <c r="BN12" t="n">
        <v>19.0345569952183</v>
      </c>
      <c r="BO12" t="n">
        <v>44.7856303444478</v>
      </c>
      <c r="BP12" t="n">
        <v>0</v>
      </c>
      <c r="BQ12" t="n">
        <v>0</v>
      </c>
      <c r="BR12" t="n">
        <v>16529.8237406362</v>
      </c>
      <c r="BS12" t="n">
        <v>0</v>
      </c>
      <c r="BT12" t="n">
        <v>109246.248742547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17895.203490063</v>
      </c>
      <c r="CA12" t="n">
        <v>329477.675910635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1213487.09821389</v>
      </c>
      <c r="C13" t="n">
        <v>0</v>
      </c>
      <c r="D13" t="n">
        <v>0</v>
      </c>
      <c r="E13" t="n">
        <v>1628961.79344247</v>
      </c>
      <c r="F13" t="n">
        <v>474.418771233878</v>
      </c>
      <c r="G13" t="n">
        <v>5764952.40063676</v>
      </c>
      <c r="H13" t="n">
        <v>14128462.4905572</v>
      </c>
      <c r="I13" t="n">
        <v>25428.49361045</v>
      </c>
      <c r="J13" t="n">
        <v>6725113.08166968</v>
      </c>
      <c r="K13" t="n">
        <v>915601.022513254</v>
      </c>
      <c r="L13" t="n">
        <v>565916.29739433</v>
      </c>
      <c r="M13" t="n">
        <v>51587.7235014795</v>
      </c>
      <c r="N13" t="n">
        <v>1976.67363622514</v>
      </c>
      <c r="O13" t="n">
        <v>8426.67737950838</v>
      </c>
      <c r="P13" t="n">
        <v>8254.41573869436</v>
      </c>
      <c r="Q13" t="n">
        <v>164604.848071853</v>
      </c>
      <c r="R13" t="n">
        <v>12215.6844782098</v>
      </c>
      <c r="S13" t="n">
        <v>46000.0841198132</v>
      </c>
      <c r="T13" t="n">
        <v>1288783.58864567</v>
      </c>
      <c r="U13" t="n">
        <v>86020.7069761142</v>
      </c>
      <c r="V13" t="n">
        <v>0</v>
      </c>
      <c r="W13" t="n">
        <v>6220327.31917963</v>
      </c>
      <c r="X13" t="n">
        <v>0</v>
      </c>
      <c r="Y13" t="n">
        <v>790909.770195164</v>
      </c>
      <c r="Z13" t="n">
        <v>2962220.61883217</v>
      </c>
      <c r="AA13" t="n">
        <v>137844.1160443</v>
      </c>
      <c r="AB13" t="n">
        <v>12895.1714664078</v>
      </c>
      <c r="AC13" t="n">
        <v>0</v>
      </c>
      <c r="AD13" t="n">
        <v>0</v>
      </c>
      <c r="AE13" t="n">
        <v>0</v>
      </c>
      <c r="AF13" t="n">
        <v>1480.69261763387</v>
      </c>
      <c r="AG13" t="n">
        <v>0</v>
      </c>
      <c r="AH13" t="n">
        <v>65945.8659736015</v>
      </c>
      <c r="AI13" t="n">
        <v>0</v>
      </c>
      <c r="AJ13" t="n">
        <v>7249.18235586264</v>
      </c>
      <c r="AK13" t="n">
        <v>825.019127606239</v>
      </c>
      <c r="AL13" t="n">
        <v>0</v>
      </c>
      <c r="AM13" t="n">
        <v>851.990167800376</v>
      </c>
      <c r="AN13" t="n">
        <v>2317.47291621186</v>
      </c>
      <c r="AO13" t="n">
        <v>7462.95831744327</v>
      </c>
      <c r="AP13" t="n">
        <v>4117.82699845632</v>
      </c>
      <c r="AQ13" t="n">
        <v>140099.144299792</v>
      </c>
      <c r="AR13" t="n">
        <v>177244.006064856</v>
      </c>
      <c r="AS13" t="n">
        <v>0</v>
      </c>
      <c r="AT13" t="n">
        <v>0</v>
      </c>
      <c r="AU13" t="n">
        <v>0</v>
      </c>
      <c r="AV13" t="n">
        <v>0</v>
      </c>
      <c r="AW13" t="n">
        <v>7561.46717906836</v>
      </c>
      <c r="AX13" t="n">
        <v>0</v>
      </c>
      <c r="AY13" t="n">
        <v>0</v>
      </c>
      <c r="AZ13" t="n">
        <v>0</v>
      </c>
      <c r="BA13" t="n">
        <v>0</v>
      </c>
      <c r="BB13" t="n">
        <v>942351.607819684</v>
      </c>
      <c r="BC13" t="n">
        <v>40440.5810324458</v>
      </c>
      <c r="BD13" t="n">
        <v>880052.329934983</v>
      </c>
      <c r="BE13" t="n">
        <v>69707.9818581621</v>
      </c>
      <c r="BF13" t="n">
        <v>612535.204818393</v>
      </c>
      <c r="BG13" t="n">
        <v>0</v>
      </c>
      <c r="BH13" t="n">
        <v>42711.5196424433</v>
      </c>
      <c r="BI13" t="n">
        <v>70094.5288238542</v>
      </c>
      <c r="BJ13" t="n">
        <v>265690.196470401</v>
      </c>
      <c r="BK13" t="n">
        <v>209608.042606439</v>
      </c>
      <c r="BL13" t="n">
        <v>941895.82236031</v>
      </c>
      <c r="BM13" t="n">
        <v>284860.935183529</v>
      </c>
      <c r="BN13" t="n">
        <v>1033997.13441267</v>
      </c>
      <c r="BO13" t="n">
        <v>1354879.62798783</v>
      </c>
      <c r="BP13" t="n">
        <v>0</v>
      </c>
      <c r="BQ13" t="n">
        <v>3598337.17563927</v>
      </c>
      <c r="BR13" t="n">
        <v>0</v>
      </c>
      <c r="BS13" t="n">
        <v>1709803.34716327</v>
      </c>
      <c r="BT13" t="n">
        <v>3635490.74369525</v>
      </c>
      <c r="BU13" t="n">
        <v>357263.571976773</v>
      </c>
      <c r="BV13" t="n">
        <v>0</v>
      </c>
      <c r="BW13" t="n">
        <v>1287.25897454374</v>
      </c>
      <c r="BX13" t="n">
        <v>0</v>
      </c>
      <c r="BY13" t="n">
        <v>0</v>
      </c>
      <c r="BZ13" t="n">
        <v>482474.022102348</v>
      </c>
      <c r="CA13" t="n">
        <v>14166548.3188476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0</v>
      </c>
      <c r="E14" t="n">
        <v>540876.357304281</v>
      </c>
      <c r="F14" t="n">
        <v>21621.3759914418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46401.8285284917</v>
      </c>
      <c r="BC14" t="n">
        <v>7100.06045399214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2654195.72236197</v>
      </c>
      <c r="BW14" t="n">
        <v>44678.5699987038</v>
      </c>
      <c r="BX14" t="n">
        <v>0</v>
      </c>
      <c r="BY14" t="n">
        <v>0</v>
      </c>
      <c r="BZ14" t="n">
        <v>-136.288494845243</v>
      </c>
      <c r="CA14" t="n">
        <v>56673.2991064803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6532678.60066217</v>
      </c>
      <c r="C15" t="n">
        <v>139950.841014902</v>
      </c>
      <c r="D15" t="n">
        <v>0</v>
      </c>
      <c r="E15" t="n">
        <v>752185.10993843</v>
      </c>
      <c r="F15" t="n">
        <v>1681.89499140299</v>
      </c>
      <c r="G15" t="n">
        <v>22793671.7188205</v>
      </c>
      <c r="H15" t="n">
        <v>5770026.41285392</v>
      </c>
      <c r="I15" t="n">
        <v>3604587.3734112</v>
      </c>
      <c r="J15" t="n">
        <v>2059145.1827381</v>
      </c>
      <c r="K15" t="n">
        <v>477037.150901719</v>
      </c>
      <c r="L15" t="n">
        <v>4138111.41595455</v>
      </c>
      <c r="M15" t="n">
        <v>1073575.32239856</v>
      </c>
      <c r="N15" t="n">
        <v>682356.1851461</v>
      </c>
      <c r="O15" t="n">
        <v>117008.456499396</v>
      </c>
      <c r="P15" t="n">
        <v>454604.155522967</v>
      </c>
      <c r="Q15" t="n">
        <v>4866365.26123258</v>
      </c>
      <c r="R15" t="n">
        <v>380661.179878561</v>
      </c>
      <c r="S15" t="n">
        <v>476425.861409144</v>
      </c>
      <c r="T15" t="n">
        <v>7926853.98801372</v>
      </c>
      <c r="U15" t="n">
        <v>1436792.13521144</v>
      </c>
      <c r="V15" t="n">
        <v>73852.4756969297</v>
      </c>
      <c r="W15" t="n">
        <v>18580093.2364432</v>
      </c>
      <c r="X15" t="n">
        <v>748278.917975363</v>
      </c>
      <c r="Y15" t="n">
        <v>1164937.71656678</v>
      </c>
      <c r="Z15" t="n">
        <v>7535319.5933718</v>
      </c>
      <c r="AA15" t="n">
        <v>3913721.76758112</v>
      </c>
      <c r="AB15" t="n">
        <v>10849601.0511145</v>
      </c>
      <c r="AC15" t="n">
        <v>5432854.3968362</v>
      </c>
      <c r="AD15" t="n">
        <v>16167439.0401431</v>
      </c>
      <c r="AE15" t="n">
        <v>8789736.8031595</v>
      </c>
      <c r="AF15" t="n">
        <v>16553648.5936191</v>
      </c>
      <c r="AG15" t="n">
        <v>245282.125900515</v>
      </c>
      <c r="AH15" t="n">
        <v>27180.5287091653</v>
      </c>
      <c r="AI15" t="n">
        <v>38372.9306465803</v>
      </c>
      <c r="AJ15" t="n">
        <v>3596406.99443052</v>
      </c>
      <c r="AK15" t="n">
        <v>254067.557462574</v>
      </c>
      <c r="AL15" t="n">
        <v>252831.132943731</v>
      </c>
      <c r="AM15" t="n">
        <v>838512.878794353</v>
      </c>
      <c r="AN15" t="n">
        <v>1957085.34366906</v>
      </c>
      <c r="AO15" t="n">
        <v>249197.149175002</v>
      </c>
      <c r="AP15" t="n">
        <v>77131.8182054202</v>
      </c>
      <c r="AQ15" t="n">
        <v>2186086.72614158</v>
      </c>
      <c r="AR15" t="n">
        <v>649630.621795133</v>
      </c>
      <c r="AS15" t="n">
        <v>2235504.45256226</v>
      </c>
      <c r="AT15" t="n">
        <v>351038.732738409</v>
      </c>
      <c r="AU15" t="n">
        <v>597593.6028898</v>
      </c>
      <c r="AV15" t="n">
        <v>1246381.62983057</v>
      </c>
      <c r="AW15" t="n">
        <v>201650.274758114</v>
      </c>
      <c r="AX15" t="n">
        <v>20972253.8020776</v>
      </c>
      <c r="AY15" t="n">
        <v>659938.320819494</v>
      </c>
      <c r="AZ15" t="n">
        <v>395201.927180851</v>
      </c>
      <c r="BA15" t="n">
        <v>465739.905101318</v>
      </c>
      <c r="BB15" t="n">
        <v>3609784.40038648</v>
      </c>
      <c r="BC15" t="n">
        <v>4833451.62095777</v>
      </c>
      <c r="BD15" t="n">
        <v>2409193.70905548</v>
      </c>
      <c r="BE15" t="n">
        <v>1481797.49042102</v>
      </c>
      <c r="BF15" t="n">
        <v>6023340.03727493</v>
      </c>
      <c r="BG15" t="n">
        <v>3984873.50415727</v>
      </c>
      <c r="BH15" t="n">
        <v>13127550.2317409</v>
      </c>
      <c r="BI15" t="n">
        <v>6281834.3731323</v>
      </c>
      <c r="BJ15" t="n">
        <v>1805633.41729586</v>
      </c>
      <c r="BK15" t="n">
        <v>633692.378767579</v>
      </c>
      <c r="BL15" t="n">
        <v>3533378.75382036</v>
      </c>
      <c r="BM15" t="n">
        <v>8865570.780557</v>
      </c>
      <c r="BN15" t="n">
        <v>20899266.4766645</v>
      </c>
      <c r="BO15" t="n">
        <v>6197060.68795988</v>
      </c>
      <c r="BP15" t="n">
        <v>1275210.43966154</v>
      </c>
      <c r="BQ15" t="n">
        <v>1645308.34734501</v>
      </c>
      <c r="BR15" t="n">
        <v>3014321.3413996</v>
      </c>
      <c r="BS15" t="n">
        <v>20484513.4297272</v>
      </c>
      <c r="BT15" t="n">
        <v>1969712.71153952</v>
      </c>
      <c r="BU15" t="n">
        <v>268614636.2024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12635455.9282289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4379270.99281072</v>
      </c>
      <c r="C16" t="n">
        <v>214192.617865793</v>
      </c>
      <c r="D16" t="n">
        <v>0</v>
      </c>
      <c r="E16" t="n">
        <v>2518119.82671589</v>
      </c>
      <c r="F16" t="n">
        <v>24335.6273946688</v>
      </c>
      <c r="G16" t="n">
        <v>17795763.2179358</v>
      </c>
      <c r="H16" t="n">
        <v>730183.565085172</v>
      </c>
      <c r="I16" t="n">
        <v>2675754.94260081</v>
      </c>
      <c r="J16" t="n">
        <v>1881466.55670158</v>
      </c>
      <c r="K16" t="n">
        <v>406334.3315978</v>
      </c>
      <c r="L16" t="n">
        <v>4878604.85322107</v>
      </c>
      <c r="M16" t="n">
        <v>1592331.49055928</v>
      </c>
      <c r="N16" t="n">
        <v>966698.836628013</v>
      </c>
      <c r="O16" t="n">
        <v>102523.638306529</v>
      </c>
      <c r="P16" t="n">
        <v>482982.288030706</v>
      </c>
      <c r="Q16" t="n">
        <v>2939289.8331907</v>
      </c>
      <c r="R16" t="n">
        <v>339010.663596571</v>
      </c>
      <c r="S16" t="n">
        <v>681162.337923425</v>
      </c>
      <c r="T16" t="n">
        <v>7239795.15163642</v>
      </c>
      <c r="U16" t="n">
        <v>747121.965327586</v>
      </c>
      <c r="V16" t="n">
        <v>64310.219351564</v>
      </c>
      <c r="W16" t="n">
        <v>14407771.5412593</v>
      </c>
      <c r="X16" t="n">
        <v>794148.679940813</v>
      </c>
      <c r="Y16" t="n">
        <v>6547371.21148206</v>
      </c>
      <c r="Z16" t="n">
        <v>4650424.39003903</v>
      </c>
      <c r="AA16" t="n">
        <v>2613576.49082227</v>
      </c>
      <c r="AB16" t="n">
        <v>11122399.9685377</v>
      </c>
      <c r="AC16" t="n">
        <v>6777846.55311922</v>
      </c>
      <c r="AD16" t="n">
        <v>6970337.96192089</v>
      </c>
      <c r="AE16" t="n">
        <v>8937081.63216904</v>
      </c>
      <c r="AF16" t="n">
        <v>14953640.6285051</v>
      </c>
      <c r="AG16" t="n">
        <v>227159.261078981</v>
      </c>
      <c r="AH16" t="n">
        <v>3775143.98302516</v>
      </c>
      <c r="AI16" t="n">
        <v>42889.3614279271</v>
      </c>
      <c r="AJ16" t="n">
        <v>1720957.3983126</v>
      </c>
      <c r="AK16" t="n">
        <v>1256735.86572438</v>
      </c>
      <c r="AL16" t="n">
        <v>649669.742219024</v>
      </c>
      <c r="AM16" t="n">
        <v>2873419.76071605</v>
      </c>
      <c r="AN16" t="n">
        <v>2802453.31879515</v>
      </c>
      <c r="AO16" t="n">
        <v>165419.36278606</v>
      </c>
      <c r="AP16" t="n">
        <v>50208.3686261227</v>
      </c>
      <c r="AQ16" t="n">
        <v>3419844.52787154</v>
      </c>
      <c r="AR16" t="n">
        <v>675697.664486397</v>
      </c>
      <c r="AS16" t="n">
        <v>16365820.056777</v>
      </c>
      <c r="AT16" t="n">
        <v>1928214.88728811</v>
      </c>
      <c r="AU16" t="n">
        <v>3058479.05517448</v>
      </c>
      <c r="AV16" t="n">
        <v>234529.914529915</v>
      </c>
      <c r="AW16" t="n">
        <v>354610187.142053</v>
      </c>
      <c r="AX16" t="n">
        <v>101186483.887403</v>
      </c>
      <c r="AY16" t="n">
        <v>1783177.57009346</v>
      </c>
      <c r="AZ16" t="n">
        <v>465353.05248138</v>
      </c>
      <c r="BA16" t="n">
        <v>176419.927716832</v>
      </c>
      <c r="BB16" t="n">
        <v>5862375.91876749</v>
      </c>
      <c r="BC16" t="n">
        <v>3072913.24565686</v>
      </c>
      <c r="BD16" t="n">
        <v>2833334.31492842</v>
      </c>
      <c r="BE16" t="n">
        <v>595315.443237971</v>
      </c>
      <c r="BF16" t="n">
        <v>8675850.51002853</v>
      </c>
      <c r="BG16" t="n">
        <v>2850505.52109965</v>
      </c>
      <c r="BH16" t="n">
        <v>8129534.52755576</v>
      </c>
      <c r="BI16" t="n">
        <v>4482352.71865227</v>
      </c>
      <c r="BJ16" t="n">
        <v>3378220.47051135</v>
      </c>
      <c r="BK16" t="n">
        <v>573992.413297369</v>
      </c>
      <c r="BL16" t="n">
        <v>2533676.64869005</v>
      </c>
      <c r="BM16" t="n">
        <v>17272727.7392603</v>
      </c>
      <c r="BN16" t="n">
        <v>10164311.2150181</v>
      </c>
      <c r="BO16" t="n">
        <v>12821502.9799273</v>
      </c>
      <c r="BP16" t="n">
        <v>12641294.4487081</v>
      </c>
      <c r="BQ16" t="n">
        <v>2488321.47236259</v>
      </c>
      <c r="BR16" t="n">
        <v>3002536.68538713</v>
      </c>
      <c r="BS16" t="n">
        <v>124623919.87056</v>
      </c>
      <c r="BT16" t="n">
        <v>123609292.099186</v>
      </c>
      <c r="BU16" t="n">
        <v>0</v>
      </c>
      <c r="BV16" t="n">
        <v>1379604306.45749</v>
      </c>
      <c r="BW16" t="n">
        <v>0</v>
      </c>
      <c r="BX16" t="n">
        <v>0</v>
      </c>
      <c r="BY16" t="n">
        <v>2519323307.03456</v>
      </c>
      <c r="BZ16" t="n">
        <v>0</v>
      </c>
      <c r="CA16" t="n">
        <v>272315.818798025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191748008.442762</v>
      </c>
      <c r="CI16" t="n">
        <v>0</v>
      </c>
      <c r="CJ16" t="n">
        <v>0</v>
      </c>
      <c r="CK16" t="n">
        <v>0</v>
      </c>
      <c r="CL16" t="n">
        <v>808411033.744981</v>
      </c>
      <c r="CM16" t="n">
        <v>0</v>
      </c>
      <c r="CN16" t="n">
        <v>0</v>
      </c>
    </row>
    <row r="17">
      <c r="A17" t="s">
        <v>128</v>
      </c>
      <c r="B17" t="n">
        <v>1085844.62399314</v>
      </c>
      <c r="C17" t="n">
        <v>427669.416085248</v>
      </c>
      <c r="D17" t="n">
        <v>0</v>
      </c>
      <c r="E17" t="n">
        <v>75678.4061888905</v>
      </c>
      <c r="F17" t="n">
        <v>1605.60056195451</v>
      </c>
      <c r="G17" t="n">
        <v>10233.2970448284</v>
      </c>
      <c r="H17" t="n">
        <v>58644506.3061924</v>
      </c>
      <c r="I17" t="n">
        <v>110362183.44107</v>
      </c>
      <c r="J17" t="n">
        <v>259176.132706379</v>
      </c>
      <c r="K17" t="n">
        <v>114435.35094376</v>
      </c>
      <c r="L17" t="n">
        <v>343250.962205986</v>
      </c>
      <c r="M17" t="n">
        <v>630821.726011956</v>
      </c>
      <c r="N17" t="n">
        <v>341031.331451197</v>
      </c>
      <c r="O17" t="n">
        <v>262684.577711987</v>
      </c>
      <c r="P17" t="n">
        <v>961259.609587904</v>
      </c>
      <c r="Q17" t="n">
        <v>700879.488011389</v>
      </c>
      <c r="R17" t="n">
        <v>7108163.57778645</v>
      </c>
      <c r="S17" t="n">
        <v>1114595.77135314</v>
      </c>
      <c r="T17" t="n">
        <v>767211.919698562</v>
      </c>
      <c r="U17" t="n">
        <v>114749.776245544</v>
      </c>
      <c r="V17" t="n">
        <v>0</v>
      </c>
      <c r="W17" t="n">
        <v>29500320.3360865</v>
      </c>
      <c r="X17" t="n">
        <v>0</v>
      </c>
      <c r="Y17" t="n">
        <v>0</v>
      </c>
      <c r="Z17" t="n">
        <v>332080.196913798</v>
      </c>
      <c r="AA17" t="n">
        <v>3354244.73433618</v>
      </c>
      <c r="AB17" t="n">
        <v>11785200.4062647</v>
      </c>
      <c r="AC17" t="n">
        <v>443544.709863641</v>
      </c>
      <c r="AD17" t="n">
        <v>2637312.00947077</v>
      </c>
      <c r="AE17" t="n">
        <v>429519.078028068</v>
      </c>
      <c r="AF17" t="n">
        <v>2420293.30191793</v>
      </c>
      <c r="AG17" t="n">
        <v>0</v>
      </c>
      <c r="AH17" t="n">
        <v>2245044.98164493</v>
      </c>
      <c r="AI17" t="n">
        <v>0</v>
      </c>
      <c r="AJ17" t="n">
        <v>378214.363926139</v>
      </c>
      <c r="AK17" t="n">
        <v>0</v>
      </c>
      <c r="AL17" t="n">
        <v>3010.54441498651</v>
      </c>
      <c r="AM17" t="n">
        <v>81830.6345992521</v>
      </c>
      <c r="AN17" t="n">
        <v>218463.110736128</v>
      </c>
      <c r="AO17" t="n">
        <v>31232.7095407061</v>
      </c>
      <c r="AP17" t="n">
        <v>32043.0413705844</v>
      </c>
      <c r="AQ17" t="n">
        <v>652083.566497553</v>
      </c>
      <c r="AR17" t="n">
        <v>442898.570995528</v>
      </c>
      <c r="AS17" t="n">
        <v>299475.911526813</v>
      </c>
      <c r="AT17" t="n">
        <v>2898.54002574302</v>
      </c>
      <c r="AU17" t="n">
        <v>0</v>
      </c>
      <c r="AV17" t="n">
        <v>0</v>
      </c>
      <c r="AW17" t="n">
        <v>57158.7309443211</v>
      </c>
      <c r="AX17" t="n">
        <v>11075062.6279899</v>
      </c>
      <c r="AY17" t="n">
        <v>457800.725706428</v>
      </c>
      <c r="AZ17" t="n">
        <v>14294.6295586439</v>
      </c>
      <c r="BA17" t="n">
        <v>34790.150122178</v>
      </c>
      <c r="BB17" t="n">
        <v>1240056.43021067</v>
      </c>
      <c r="BC17" t="n">
        <v>11988.1926310849</v>
      </c>
      <c r="BD17" t="n">
        <v>1844950.15347891</v>
      </c>
      <c r="BE17" t="n">
        <v>67383.2979504696</v>
      </c>
      <c r="BF17" t="n">
        <v>83144.405444326</v>
      </c>
      <c r="BG17" t="n">
        <v>786933.611383935</v>
      </c>
      <c r="BH17" t="n">
        <v>1768373.9873373</v>
      </c>
      <c r="BI17" t="n">
        <v>17810.3993380449</v>
      </c>
      <c r="BJ17" t="n">
        <v>1960413.37934843</v>
      </c>
      <c r="BK17" t="n">
        <v>9205.35402673343</v>
      </c>
      <c r="BL17" t="n">
        <v>332857.6362405</v>
      </c>
      <c r="BM17" t="n">
        <v>2433524.92509189</v>
      </c>
      <c r="BN17" t="n">
        <v>1752197.63393793</v>
      </c>
      <c r="BO17" t="n">
        <v>628845.225883725</v>
      </c>
      <c r="BP17" t="n">
        <v>13457.4787054347</v>
      </c>
      <c r="BQ17" t="n">
        <v>122902.340500441</v>
      </c>
      <c r="BR17" t="n">
        <v>5629.14465966599</v>
      </c>
      <c r="BS17" t="n">
        <v>4153261.94390054</v>
      </c>
      <c r="BT17" t="n">
        <v>411229.039034732</v>
      </c>
      <c r="BU17" t="n">
        <v>4978073.45312922</v>
      </c>
      <c r="BV17" t="n">
        <v>1209919.21581458</v>
      </c>
      <c r="BW17" t="n">
        <v>0</v>
      </c>
      <c r="BX17" t="n">
        <v>0</v>
      </c>
      <c r="BY17" t="n">
        <v>20902458.0577561</v>
      </c>
      <c r="BZ17" t="n">
        <v>3365620.35385041</v>
      </c>
      <c r="CA17" t="n">
        <v>45307964.1725975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253.637880222817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35273.880305204</v>
      </c>
      <c r="C18" t="n">
        <v>408104.722474257</v>
      </c>
      <c r="D18" t="n">
        <v>0</v>
      </c>
      <c r="E18" t="n">
        <v>213789.895139033</v>
      </c>
      <c r="F18" t="n">
        <v>5710.75797293195</v>
      </c>
      <c r="G18" t="n">
        <v>113691.301491853</v>
      </c>
      <c r="H18" t="n">
        <v>107981508.988101</v>
      </c>
      <c r="I18" t="n">
        <v>4088169.87857</v>
      </c>
      <c r="J18" t="n">
        <v>16108944.3901807</v>
      </c>
      <c r="K18" t="n">
        <v>371578.829757605</v>
      </c>
      <c r="L18" t="n">
        <v>1826283.58166323</v>
      </c>
      <c r="M18" t="n">
        <v>1090939.27383268</v>
      </c>
      <c r="N18" t="n">
        <v>242127.411217174</v>
      </c>
      <c r="O18" t="n">
        <v>545443.220801683</v>
      </c>
      <c r="P18" t="n">
        <v>2148468.01128385</v>
      </c>
      <c r="Q18" t="n">
        <v>670077.086567696</v>
      </c>
      <c r="R18" t="n">
        <v>315987.983069633</v>
      </c>
      <c r="S18" t="n">
        <v>681021.615689231</v>
      </c>
      <c r="T18" t="n">
        <v>6289266.59606004</v>
      </c>
      <c r="U18" t="n">
        <v>78695.2447226789</v>
      </c>
      <c r="V18" t="n">
        <v>0</v>
      </c>
      <c r="W18" t="n">
        <v>3809485.99440896</v>
      </c>
      <c r="X18" t="n">
        <v>1604.67110403094</v>
      </c>
      <c r="Y18" t="n">
        <v>568487.500993159</v>
      </c>
      <c r="Z18" t="n">
        <v>1709218.69659743</v>
      </c>
      <c r="AA18" t="n">
        <v>2809564.43250536</v>
      </c>
      <c r="AB18" t="n">
        <v>126662.825139127</v>
      </c>
      <c r="AC18" t="n">
        <v>323393.893597836</v>
      </c>
      <c r="AD18" t="n">
        <v>66356.4960676004</v>
      </c>
      <c r="AE18" t="n">
        <v>840067.632044783</v>
      </c>
      <c r="AF18" t="n">
        <v>1008676.36339811</v>
      </c>
      <c r="AG18" t="n">
        <v>0</v>
      </c>
      <c r="AH18" t="n">
        <v>13035.28284452</v>
      </c>
      <c r="AI18" t="n">
        <v>0</v>
      </c>
      <c r="AJ18" t="n">
        <v>154975.796322476</v>
      </c>
      <c r="AK18" t="n">
        <v>0</v>
      </c>
      <c r="AL18" t="n">
        <v>0</v>
      </c>
      <c r="AM18" t="n">
        <v>14768.2476150737</v>
      </c>
      <c r="AN18" t="n">
        <v>48204.8011744604</v>
      </c>
      <c r="AO18" t="n">
        <v>1521.90124664608</v>
      </c>
      <c r="AP18" t="n">
        <v>446.110552735622</v>
      </c>
      <c r="AQ18" t="n">
        <v>1261679.50230255</v>
      </c>
      <c r="AR18" t="n">
        <v>270045.101923899</v>
      </c>
      <c r="AS18" t="n">
        <v>15728.769203977</v>
      </c>
      <c r="AT18" t="n">
        <v>5649.57923087981</v>
      </c>
      <c r="AU18" t="n">
        <v>71465.5720689198</v>
      </c>
      <c r="AV18" t="n">
        <v>0</v>
      </c>
      <c r="AW18" t="n">
        <v>301459.024839084</v>
      </c>
      <c r="AX18" t="n">
        <v>109545.441283904</v>
      </c>
      <c r="AY18" t="n">
        <v>632857.552341393</v>
      </c>
      <c r="AZ18" t="n">
        <v>0</v>
      </c>
      <c r="BA18" t="n">
        <v>255699.831611422</v>
      </c>
      <c r="BB18" t="n">
        <v>6129408.20310712</v>
      </c>
      <c r="BC18" t="n">
        <v>37386.128742246</v>
      </c>
      <c r="BD18" t="n">
        <v>1311598.98644722</v>
      </c>
      <c r="BE18" t="n">
        <v>425533.812960714</v>
      </c>
      <c r="BF18" t="n">
        <v>94999.3770208972</v>
      </c>
      <c r="BG18" t="n">
        <v>4291281.60255974</v>
      </c>
      <c r="BH18" t="n">
        <v>4524385.33609819</v>
      </c>
      <c r="BI18" t="n">
        <v>377519.791564063</v>
      </c>
      <c r="BJ18" t="n">
        <v>1280884.41305292</v>
      </c>
      <c r="BK18" t="n">
        <v>14951.8885543644</v>
      </c>
      <c r="BL18" t="n">
        <v>260046.90829634</v>
      </c>
      <c r="BM18" t="n">
        <v>325441.250230397</v>
      </c>
      <c r="BN18" t="n">
        <v>3773145.53568445</v>
      </c>
      <c r="BO18" t="n">
        <v>3126366.10090254</v>
      </c>
      <c r="BP18" t="n">
        <v>44263.3504931079</v>
      </c>
      <c r="BQ18" t="n">
        <v>583904.173779975</v>
      </c>
      <c r="BR18" t="n">
        <v>0</v>
      </c>
      <c r="BS18" t="n">
        <v>2123590.34559475</v>
      </c>
      <c r="BT18" t="n">
        <v>4158289.97110508</v>
      </c>
      <c r="BU18" t="n">
        <v>16536768.4561301</v>
      </c>
      <c r="BV18" t="n">
        <v>0</v>
      </c>
      <c r="BW18" t="n">
        <v>0</v>
      </c>
      <c r="BX18" t="n">
        <v>0</v>
      </c>
      <c r="BY18" t="n">
        <v>0</v>
      </c>
      <c r="BZ18" t="n">
        <v>2164475.71221963</v>
      </c>
      <c r="CA18" t="n">
        <v>1698594.26564566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10614.8024330409</v>
      </c>
      <c r="C19" t="n">
        <v>0</v>
      </c>
      <c r="D19" t="n">
        <v>0</v>
      </c>
      <c r="E19" t="n">
        <v>29205.5039993953</v>
      </c>
      <c r="F19" t="n">
        <v>334.913333845674</v>
      </c>
      <c r="G19" t="n">
        <v>1303.33665293465</v>
      </c>
      <c r="H19" t="n">
        <v>835966.512868102</v>
      </c>
      <c r="I19" t="n">
        <v>186311.477212731</v>
      </c>
      <c r="J19" t="n">
        <v>277394.549246506</v>
      </c>
      <c r="K19" t="n">
        <v>1452001.69987296</v>
      </c>
      <c r="L19" t="n">
        <v>21874130.6063069</v>
      </c>
      <c r="M19" t="n">
        <v>5561739.38902966</v>
      </c>
      <c r="N19" t="n">
        <v>595359.293009069</v>
      </c>
      <c r="O19" t="n">
        <v>651854.366435708</v>
      </c>
      <c r="P19" t="n">
        <v>2104543.48551249</v>
      </c>
      <c r="Q19" t="n">
        <v>3851699.86062749</v>
      </c>
      <c r="R19" t="n">
        <v>649236.45583384</v>
      </c>
      <c r="S19" t="n">
        <v>778759.166680026</v>
      </c>
      <c r="T19" t="n">
        <v>668431.62925479</v>
      </c>
      <c r="U19" t="n">
        <v>50745.8332132557</v>
      </c>
      <c r="V19" t="n">
        <v>0</v>
      </c>
      <c r="W19" t="n">
        <v>1125168.64482635</v>
      </c>
      <c r="X19" t="n">
        <v>2097.10537896332</v>
      </c>
      <c r="Y19" t="n">
        <v>454.121269476399</v>
      </c>
      <c r="Z19" t="n">
        <v>7552.59121375184</v>
      </c>
      <c r="AA19" t="n">
        <v>463679.695535714</v>
      </c>
      <c r="AB19" t="n">
        <v>127496.574266343</v>
      </c>
      <c r="AC19" t="n">
        <v>2092.25525715004</v>
      </c>
      <c r="AD19" t="n">
        <v>0</v>
      </c>
      <c r="AE19" t="n">
        <v>0</v>
      </c>
      <c r="AF19" t="n">
        <v>72535.3367761159</v>
      </c>
      <c r="AG19" t="n">
        <v>0</v>
      </c>
      <c r="AH19" t="n">
        <v>101721.543629766</v>
      </c>
      <c r="AI19" t="n">
        <v>0</v>
      </c>
      <c r="AJ19" t="n">
        <v>0</v>
      </c>
      <c r="AK19" t="n">
        <v>0</v>
      </c>
      <c r="AL19" t="n">
        <v>0</v>
      </c>
      <c r="AM19" t="n">
        <v>38118.0159482083</v>
      </c>
      <c r="AN19" t="n">
        <v>0</v>
      </c>
      <c r="AO19" t="n">
        <v>745.850804545366</v>
      </c>
      <c r="AP19" t="n">
        <v>291.505479660002</v>
      </c>
      <c r="AQ19" t="n">
        <v>55022.73366976</v>
      </c>
      <c r="AR19" t="n">
        <v>25962.4189082863</v>
      </c>
      <c r="AS19" t="n">
        <v>0</v>
      </c>
      <c r="AT19" t="n">
        <v>0</v>
      </c>
      <c r="AU19" t="n">
        <v>0</v>
      </c>
      <c r="AV19" t="n">
        <v>0</v>
      </c>
      <c r="AW19" t="n">
        <v>535.284536672861</v>
      </c>
      <c r="AX19" t="n">
        <v>348460.905962015</v>
      </c>
      <c r="AY19" t="n">
        <v>10694.8194958083</v>
      </c>
      <c r="AZ19" t="n">
        <v>0</v>
      </c>
      <c r="BA19" t="n">
        <v>0</v>
      </c>
      <c r="BB19" t="n">
        <v>257550.024752974</v>
      </c>
      <c r="BC19" t="n">
        <v>9924.48769302522</v>
      </c>
      <c r="BD19" t="n">
        <v>117488.58394967</v>
      </c>
      <c r="BE19" t="n">
        <v>89253.7825247631</v>
      </c>
      <c r="BF19" t="n">
        <v>47013.5774904287</v>
      </c>
      <c r="BG19" t="n">
        <v>41893.7066508042</v>
      </c>
      <c r="BH19" t="n">
        <v>14110.1110165335</v>
      </c>
      <c r="BI19" t="n">
        <v>6379.80223501355</v>
      </c>
      <c r="BJ19" t="n">
        <v>110499.936162588</v>
      </c>
      <c r="BK19" t="n">
        <v>3175.29177665501</v>
      </c>
      <c r="BL19" t="n">
        <v>97662.7746419343</v>
      </c>
      <c r="BM19" t="n">
        <v>11610.5069566723</v>
      </c>
      <c r="BN19" t="n">
        <v>45971.7819423664</v>
      </c>
      <c r="BO19" t="n">
        <v>171523.984264516</v>
      </c>
      <c r="BP19" t="n">
        <v>22228.1258915718</v>
      </c>
      <c r="BQ19" t="n">
        <v>175608.547949609</v>
      </c>
      <c r="BR19" t="n">
        <v>0</v>
      </c>
      <c r="BS19" t="n">
        <v>26918.585302137</v>
      </c>
      <c r="BT19" t="n">
        <v>131389.240673544</v>
      </c>
      <c r="BU19" t="n">
        <v>172643.679246983</v>
      </c>
      <c r="BV19" t="n">
        <v>0</v>
      </c>
      <c r="BW19" t="n">
        <v>0</v>
      </c>
      <c r="BX19" t="n">
        <v>0</v>
      </c>
      <c r="BY19" t="n">
        <v>0</v>
      </c>
      <c r="BZ19" t="n">
        <v>548174.115363912</v>
      </c>
      <c r="CA19" t="n">
        <v>7593458.33378728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988309.153179188</v>
      </c>
      <c r="C20" t="n">
        <v>251803.554506735</v>
      </c>
      <c r="D20" t="n">
        <v>0</v>
      </c>
      <c r="E20" t="n">
        <v>229638.852763085</v>
      </c>
      <c r="F20" t="n">
        <v>3161.34233322511</v>
      </c>
      <c r="G20" t="n">
        <v>441042.381440368</v>
      </c>
      <c r="H20" t="n">
        <v>66019350.8911027</v>
      </c>
      <c r="I20" t="n">
        <v>7429611.00188386</v>
      </c>
      <c r="J20" t="n">
        <v>1347079.63213221</v>
      </c>
      <c r="K20" t="n">
        <v>557060.835576365</v>
      </c>
      <c r="L20" t="n">
        <v>42862279.2082354</v>
      </c>
      <c r="M20" t="n">
        <v>12647429.5016101</v>
      </c>
      <c r="N20" t="n">
        <v>4077363.62142361</v>
      </c>
      <c r="O20" t="n">
        <v>1787290.68313542</v>
      </c>
      <c r="P20" t="n">
        <v>4219436.42741189</v>
      </c>
      <c r="Q20" t="n">
        <v>24336752.8653995</v>
      </c>
      <c r="R20" t="n">
        <v>3082877.62123838</v>
      </c>
      <c r="S20" t="n">
        <v>2897800.40112803</v>
      </c>
      <c r="T20" t="n">
        <v>17768165.0848825</v>
      </c>
      <c r="U20" t="n">
        <v>995205.888127361</v>
      </c>
      <c r="V20" t="n">
        <v>154805.543801091</v>
      </c>
      <c r="W20" t="n">
        <v>22998973.8824854</v>
      </c>
      <c r="X20" t="n">
        <v>642340.925431543</v>
      </c>
      <c r="Y20" t="n">
        <v>490167.814865704</v>
      </c>
      <c r="Z20" t="n">
        <v>5944027.71813329</v>
      </c>
      <c r="AA20" t="n">
        <v>7626595.88558228</v>
      </c>
      <c r="AB20" t="n">
        <v>2141377.81603226</v>
      </c>
      <c r="AC20" t="n">
        <v>449344.88179163</v>
      </c>
      <c r="AD20" t="n">
        <v>286353.348621641</v>
      </c>
      <c r="AE20" t="n">
        <v>188361.384830448</v>
      </c>
      <c r="AF20" t="n">
        <v>913095.279699784</v>
      </c>
      <c r="AG20" t="n">
        <v>90385.159565713</v>
      </c>
      <c r="AH20" t="n">
        <v>160448.497000532</v>
      </c>
      <c r="AI20" t="n">
        <v>401563.073352836</v>
      </c>
      <c r="AJ20" t="n">
        <v>1616999.43182748</v>
      </c>
      <c r="AK20" t="n">
        <v>180695.897870521</v>
      </c>
      <c r="AL20" t="n">
        <v>414017.232990083</v>
      </c>
      <c r="AM20" t="n">
        <v>217958.541166981</v>
      </c>
      <c r="AN20" t="n">
        <v>774881.681162322</v>
      </c>
      <c r="AO20" t="n">
        <v>267563.161191616</v>
      </c>
      <c r="AP20" t="n">
        <v>9702.68325388715</v>
      </c>
      <c r="AQ20" t="n">
        <v>3429149.27350769</v>
      </c>
      <c r="AR20" t="n">
        <v>417920.047955497</v>
      </c>
      <c r="AS20" t="n">
        <v>332137.843582924</v>
      </c>
      <c r="AT20" t="n">
        <v>70945.9998400946</v>
      </c>
      <c r="AU20" t="n">
        <v>0</v>
      </c>
      <c r="AV20" t="n">
        <v>803.824951197778</v>
      </c>
      <c r="AW20" t="n">
        <v>28846.2558392904</v>
      </c>
      <c r="AX20" t="n">
        <v>212728.483397707</v>
      </c>
      <c r="AY20" t="n">
        <v>901550.318428847</v>
      </c>
      <c r="AZ20" t="n">
        <v>11221.8718410175</v>
      </c>
      <c r="BA20" t="n">
        <v>1698690.0758807</v>
      </c>
      <c r="BB20" t="n">
        <v>3939792.64298672</v>
      </c>
      <c r="BC20" t="n">
        <v>560236.722354924</v>
      </c>
      <c r="BD20" t="n">
        <v>1574031.59557035</v>
      </c>
      <c r="BE20" t="n">
        <v>4042666.65590958</v>
      </c>
      <c r="BF20" t="n">
        <v>549826.29258779</v>
      </c>
      <c r="BG20" t="n">
        <v>392082.098624758</v>
      </c>
      <c r="BH20" t="n">
        <v>3224726.17763662</v>
      </c>
      <c r="BI20" t="n">
        <v>49435.9881822951</v>
      </c>
      <c r="BJ20" t="n">
        <v>2522775.9036453</v>
      </c>
      <c r="BK20" t="n">
        <v>27099.6800009932</v>
      </c>
      <c r="BL20" t="n">
        <v>431758.023107759</v>
      </c>
      <c r="BM20" t="n">
        <v>1784074.73983611</v>
      </c>
      <c r="BN20" t="n">
        <v>3279618.87283406</v>
      </c>
      <c r="BO20" t="n">
        <v>3563074.5870944</v>
      </c>
      <c r="BP20" t="n">
        <v>1656720.10642082</v>
      </c>
      <c r="BQ20" t="n">
        <v>1915022.99340732</v>
      </c>
      <c r="BR20" t="n">
        <v>265620.074038038</v>
      </c>
      <c r="BS20" t="n">
        <v>3077933.93345127</v>
      </c>
      <c r="BT20" t="n">
        <v>3515923.47690173</v>
      </c>
      <c r="BU20" t="n">
        <v>14473563.0486725</v>
      </c>
      <c r="BV20" t="n">
        <v>0</v>
      </c>
      <c r="BW20" t="n">
        <v>11375439.0084943</v>
      </c>
      <c r="BX20" t="n">
        <v>0</v>
      </c>
      <c r="BY20" t="n">
        <v>0</v>
      </c>
      <c r="BZ20" t="n">
        <v>10731761.3945303</v>
      </c>
      <c r="CA20" t="n">
        <v>25552621.5087873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513778.248200817</v>
      </c>
      <c r="CJ20" t="n">
        <v>0</v>
      </c>
      <c r="CK20" t="n">
        <v>0</v>
      </c>
      <c r="CL20" t="n">
        <v>0</v>
      </c>
      <c r="CM20" t="n">
        <v>42293.6367088155</v>
      </c>
      <c r="CN20" t="n">
        <v>0</v>
      </c>
    </row>
    <row r="21">
      <c r="A21" t="s">
        <v>132</v>
      </c>
      <c r="B21" t="n">
        <v>117410.208893268</v>
      </c>
      <c r="C21" t="n">
        <v>32302.122949621</v>
      </c>
      <c r="D21" t="n">
        <v>0</v>
      </c>
      <c r="E21" t="n">
        <v>389196.837139555</v>
      </c>
      <c r="F21" t="n">
        <v>8827.18210754893</v>
      </c>
      <c r="G21" t="n">
        <v>148401.975270499</v>
      </c>
      <c r="H21" t="n">
        <v>19890761.1062295</v>
      </c>
      <c r="I21" t="n">
        <v>707133.52460083</v>
      </c>
      <c r="J21" t="n">
        <v>36385.3167888059</v>
      </c>
      <c r="K21" t="n">
        <v>63604.3466676534</v>
      </c>
      <c r="L21" t="n">
        <v>3241444.12561998</v>
      </c>
      <c r="M21" t="n">
        <v>9383556.1599865</v>
      </c>
      <c r="N21" t="n">
        <v>74353.8480961116</v>
      </c>
      <c r="O21" t="n">
        <v>165160.595681916</v>
      </c>
      <c r="P21" t="n">
        <v>2712338.53950332</v>
      </c>
      <c r="Q21" t="n">
        <v>4239717.94580703</v>
      </c>
      <c r="R21" t="n">
        <v>45445.1356119117</v>
      </c>
      <c r="S21" t="n">
        <v>173842.725790385</v>
      </c>
      <c r="T21" t="n">
        <v>1671657.5484296</v>
      </c>
      <c r="U21" t="n">
        <v>30816.4202748909</v>
      </c>
      <c r="V21" t="n">
        <v>3232.84813004608</v>
      </c>
      <c r="W21" t="n">
        <v>1431410.68317214</v>
      </c>
      <c r="X21" t="n">
        <v>512637.161854247</v>
      </c>
      <c r="Y21" t="n">
        <v>7109.80376558796</v>
      </c>
      <c r="Z21" t="n">
        <v>1008500.40484373</v>
      </c>
      <c r="AA21" t="n">
        <v>1071820.42530294</v>
      </c>
      <c r="AB21" t="n">
        <v>1124300.14499952</v>
      </c>
      <c r="AC21" t="n">
        <v>221852.346353551</v>
      </c>
      <c r="AD21" t="n">
        <v>201597.702441954</v>
      </c>
      <c r="AE21" t="n">
        <v>151693.517696332</v>
      </c>
      <c r="AF21" t="n">
        <v>467856.510244245</v>
      </c>
      <c r="AG21" t="n">
        <v>1475.71227245164</v>
      </c>
      <c r="AH21" t="n">
        <v>22381.3181415124</v>
      </c>
      <c r="AI21" t="n">
        <v>4648.94068205366</v>
      </c>
      <c r="AJ21" t="n">
        <v>244440.517666261</v>
      </c>
      <c r="AK21" t="n">
        <v>13965.1309122561</v>
      </c>
      <c r="AL21" t="n">
        <v>10232.468696911</v>
      </c>
      <c r="AM21" t="n">
        <v>29530.0877472817</v>
      </c>
      <c r="AN21" t="n">
        <v>1126402.68866704</v>
      </c>
      <c r="AO21" t="n">
        <v>15215.7109386101</v>
      </c>
      <c r="AP21" t="n">
        <v>7883.03418038559</v>
      </c>
      <c r="AQ21" t="n">
        <v>339645.864529999</v>
      </c>
      <c r="AR21" t="n">
        <v>168805.906420867</v>
      </c>
      <c r="AS21" t="n">
        <v>5688.7596716465</v>
      </c>
      <c r="AT21" t="n">
        <v>15762.8473747221</v>
      </c>
      <c r="AU21" t="n">
        <v>140952.020100053</v>
      </c>
      <c r="AV21" t="n">
        <v>0</v>
      </c>
      <c r="AW21" t="n">
        <v>62472.8955907291</v>
      </c>
      <c r="AX21" t="n">
        <v>89853.0555065612</v>
      </c>
      <c r="AY21" t="n">
        <v>347846.745729034</v>
      </c>
      <c r="AZ21" t="n">
        <v>14395.7572260458</v>
      </c>
      <c r="BA21" t="n">
        <v>543938.150669347</v>
      </c>
      <c r="BB21" t="n">
        <v>879322.703490941</v>
      </c>
      <c r="BC21" t="n">
        <v>85839.053891941</v>
      </c>
      <c r="BD21" t="n">
        <v>853703.159032145</v>
      </c>
      <c r="BE21" t="n">
        <v>2280503.2458937</v>
      </c>
      <c r="BF21" t="n">
        <v>1834610.40984127</v>
      </c>
      <c r="BG21" t="n">
        <v>320281.370353791</v>
      </c>
      <c r="BH21" t="n">
        <v>1474648.77865087</v>
      </c>
      <c r="BI21" t="n">
        <v>318819.499248628</v>
      </c>
      <c r="BJ21" t="n">
        <v>291122.993010919</v>
      </c>
      <c r="BK21" t="n">
        <v>11819.8588173535</v>
      </c>
      <c r="BL21" t="n">
        <v>160818.86299024</v>
      </c>
      <c r="BM21" t="n">
        <v>69579.3960581831</v>
      </c>
      <c r="BN21" t="n">
        <v>650499.782554989</v>
      </c>
      <c r="BO21" t="n">
        <v>3091958.33572737</v>
      </c>
      <c r="BP21" t="n">
        <v>498569.360109319</v>
      </c>
      <c r="BQ21" t="n">
        <v>93293.0061431921</v>
      </c>
      <c r="BR21" t="n">
        <v>59949.3383540659</v>
      </c>
      <c r="BS21" t="n">
        <v>1821752.63730844</v>
      </c>
      <c r="BT21" t="n">
        <v>507033.789950611</v>
      </c>
      <c r="BU21" t="n">
        <v>5037592.11805387</v>
      </c>
      <c r="BV21" t="n">
        <v>0</v>
      </c>
      <c r="BW21" t="n">
        <v>84617115.6114344</v>
      </c>
      <c r="BX21" t="n">
        <v>0</v>
      </c>
      <c r="BY21" t="n">
        <v>0</v>
      </c>
      <c r="BZ21" t="n">
        <v>4246796.34353919</v>
      </c>
      <c r="CA21" t="n">
        <v>114432367.324849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60923.2726758738</v>
      </c>
      <c r="CJ21" t="n">
        <v>0</v>
      </c>
      <c r="CK21" t="n">
        <v>0</v>
      </c>
      <c r="CL21" t="n">
        <v>0</v>
      </c>
      <c r="CM21" t="n">
        <v>4514471.95880924</v>
      </c>
      <c r="CN21" t="n">
        <v>0</v>
      </c>
    </row>
    <row r="22">
      <c r="A22" t="s">
        <v>133</v>
      </c>
      <c r="B22" t="n">
        <v>16831.0420571631</v>
      </c>
      <c r="C22" t="n">
        <v>0</v>
      </c>
      <c r="D22" t="n">
        <v>0</v>
      </c>
      <c r="E22" t="n">
        <v>1234.29754114744</v>
      </c>
      <c r="F22" t="n">
        <v>15.1005206767526</v>
      </c>
      <c r="G22" t="n">
        <v>46713.6927065619</v>
      </c>
      <c r="H22" t="n">
        <v>1964778.17136192</v>
      </c>
      <c r="I22" t="n">
        <v>1173827.44733934</v>
      </c>
      <c r="J22" t="n">
        <v>171118.929937345</v>
      </c>
      <c r="K22" t="n">
        <v>77171.0371958962</v>
      </c>
      <c r="L22" t="n">
        <v>2360761.51789138</v>
      </c>
      <c r="M22" t="n">
        <v>1533967.9451734</v>
      </c>
      <c r="N22" t="n">
        <v>8154418.70467528</v>
      </c>
      <c r="O22" t="n">
        <v>374035.771959925</v>
      </c>
      <c r="P22" t="n">
        <v>729365.587057456</v>
      </c>
      <c r="Q22" t="n">
        <v>11514468.9091939</v>
      </c>
      <c r="R22" t="n">
        <v>305791.460512624</v>
      </c>
      <c r="S22" t="n">
        <v>688806.931105507</v>
      </c>
      <c r="T22" t="n">
        <v>1270107.41605618</v>
      </c>
      <c r="U22" t="n">
        <v>311349.443118395</v>
      </c>
      <c r="V22" t="n">
        <v>34139.8388358845</v>
      </c>
      <c r="W22" t="n">
        <v>2971188.65095902</v>
      </c>
      <c r="X22" t="n">
        <v>364301.225103725</v>
      </c>
      <c r="Y22" t="n">
        <v>33427.9583688256</v>
      </c>
      <c r="Z22" t="n">
        <v>1518867.28672172</v>
      </c>
      <c r="AA22" t="n">
        <v>1079198.20583206</v>
      </c>
      <c r="AB22" t="n">
        <v>9121072.47012272</v>
      </c>
      <c r="AC22" t="n">
        <v>341082.688299617</v>
      </c>
      <c r="AD22" t="n">
        <v>65171.380519342</v>
      </c>
      <c r="AE22" t="n">
        <v>31624.1883578894</v>
      </c>
      <c r="AF22" t="n">
        <v>262741.522428653</v>
      </c>
      <c r="AG22" t="n">
        <v>513.756955759188</v>
      </c>
      <c r="AH22" t="n">
        <v>12499.4577879218</v>
      </c>
      <c r="AI22" t="n">
        <v>164.194641563703</v>
      </c>
      <c r="AJ22" t="n">
        <v>13448.7278672677</v>
      </c>
      <c r="AK22" t="n">
        <v>0</v>
      </c>
      <c r="AL22" t="n">
        <v>0</v>
      </c>
      <c r="AM22" t="n">
        <v>2231.45988703971</v>
      </c>
      <c r="AN22" t="n">
        <v>8345.87482930803</v>
      </c>
      <c r="AO22" t="n">
        <v>266175.201408639</v>
      </c>
      <c r="AP22" t="n">
        <v>60834.4836285942</v>
      </c>
      <c r="AQ22" t="n">
        <v>1531710.57709336</v>
      </c>
      <c r="AR22" t="n">
        <v>290640.658693027</v>
      </c>
      <c r="AS22" t="n">
        <v>65356.3142909588</v>
      </c>
      <c r="AT22" t="n">
        <v>17072.8576076872</v>
      </c>
      <c r="AU22" t="n">
        <v>13963.3705516948</v>
      </c>
      <c r="AV22" t="n">
        <v>46908.4983484281</v>
      </c>
      <c r="AW22" t="n">
        <v>1237.77181760358</v>
      </c>
      <c r="AX22" t="n">
        <v>8620.91175003651</v>
      </c>
      <c r="AY22" t="n">
        <v>20608.5817593853</v>
      </c>
      <c r="AZ22" t="n">
        <v>86536.4439716866</v>
      </c>
      <c r="BA22" t="n">
        <v>1501675.47424817</v>
      </c>
      <c r="BB22" t="n">
        <v>1963879.46709744</v>
      </c>
      <c r="BC22" t="n">
        <v>1417542.80835221</v>
      </c>
      <c r="BD22" t="n">
        <v>785716.109872717</v>
      </c>
      <c r="BE22" t="n">
        <v>300650.42104878</v>
      </c>
      <c r="BF22" t="n">
        <v>776818.897781596</v>
      </c>
      <c r="BG22" t="n">
        <v>5276372.85463746</v>
      </c>
      <c r="BH22" t="n">
        <v>565546.621329128</v>
      </c>
      <c r="BI22" t="n">
        <v>98349.4305971353</v>
      </c>
      <c r="BJ22" t="n">
        <v>85625.0069672481</v>
      </c>
      <c r="BK22" t="n">
        <v>564.801938831556</v>
      </c>
      <c r="BL22" t="n">
        <v>6076.18990016539</v>
      </c>
      <c r="BM22" t="n">
        <v>110216.870952612</v>
      </c>
      <c r="BN22" t="n">
        <v>29930.0886906099</v>
      </c>
      <c r="BO22" t="n">
        <v>813487.212403425</v>
      </c>
      <c r="BP22" t="n">
        <v>3019564.73651852</v>
      </c>
      <c r="BQ22" t="n">
        <v>2188709.20879288</v>
      </c>
      <c r="BR22" t="n">
        <v>0</v>
      </c>
      <c r="BS22" t="n">
        <v>589140.730350397</v>
      </c>
      <c r="BT22" t="n">
        <v>463037.676813159</v>
      </c>
      <c r="BU22" t="n">
        <v>8171625.53880026</v>
      </c>
      <c r="BV22" t="n">
        <v>0</v>
      </c>
      <c r="BW22" t="n">
        <v>34819498.194645</v>
      </c>
      <c r="BX22" t="n">
        <v>0</v>
      </c>
      <c r="BY22" t="n">
        <v>3188.71964313223</v>
      </c>
      <c r="BZ22" t="n">
        <v>1587471.78760635</v>
      </c>
      <c r="CA22" t="n">
        <v>154429601.949367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134043.63684277</v>
      </c>
      <c r="CJ22" t="n">
        <v>0</v>
      </c>
      <c r="CK22" t="n">
        <v>0</v>
      </c>
      <c r="CL22" t="n">
        <v>0</v>
      </c>
      <c r="CM22" t="n">
        <v>692701.587370038</v>
      </c>
      <c r="CN22" t="n">
        <v>0</v>
      </c>
    </row>
    <row r="23">
      <c r="A23" t="s">
        <v>134</v>
      </c>
      <c r="B23" t="n">
        <v>69812.3907204192</v>
      </c>
      <c r="C23" t="n">
        <v>33018.6368605599</v>
      </c>
      <c r="D23" t="n">
        <v>0</v>
      </c>
      <c r="E23" t="n">
        <v>197.226180551015</v>
      </c>
      <c r="F23" t="n">
        <v>72.3865498744873</v>
      </c>
      <c r="G23" t="n">
        <v>5899.20231308017</v>
      </c>
      <c r="H23" t="n">
        <v>12431523.986286</v>
      </c>
      <c r="I23" t="n">
        <v>242103.593771274</v>
      </c>
      <c r="J23" t="n">
        <v>4059.98936942906</v>
      </c>
      <c r="K23" t="n">
        <v>85366.2850006267</v>
      </c>
      <c r="L23" t="n">
        <v>1073410.97984261</v>
      </c>
      <c r="M23" t="n">
        <v>2591364.99119274</v>
      </c>
      <c r="N23" t="n">
        <v>401007.03307836</v>
      </c>
      <c r="O23" t="n">
        <v>715898.754464209</v>
      </c>
      <c r="P23" t="n">
        <v>462471.553264862</v>
      </c>
      <c r="Q23" t="n">
        <v>1061236.23379794</v>
      </c>
      <c r="R23" t="n">
        <v>688.195304245521</v>
      </c>
      <c r="S23" t="n">
        <v>178389.202425297</v>
      </c>
      <c r="T23" t="n">
        <v>16373.4460598802</v>
      </c>
      <c r="U23" t="n">
        <v>0</v>
      </c>
      <c r="V23" t="n">
        <v>0</v>
      </c>
      <c r="W23" t="n">
        <v>7185.57010643138</v>
      </c>
      <c r="X23" t="n">
        <v>0</v>
      </c>
      <c r="Y23" t="n">
        <v>3132.1258838311</v>
      </c>
      <c r="Z23" t="n">
        <v>313730.355616921</v>
      </c>
      <c r="AA23" t="n">
        <v>313306.925495635</v>
      </c>
      <c r="AB23" t="n">
        <v>1234826.86490904</v>
      </c>
      <c r="AC23" t="n">
        <v>229986.44004615</v>
      </c>
      <c r="AD23" t="n">
        <v>115884.871543751</v>
      </c>
      <c r="AE23" t="n">
        <v>548879.037113069</v>
      </c>
      <c r="AF23" t="n">
        <v>138807.243967246</v>
      </c>
      <c r="AG23" t="n">
        <v>191.548696368067</v>
      </c>
      <c r="AH23" t="n">
        <v>60583.7305571836</v>
      </c>
      <c r="AI23" t="n">
        <v>3122.12755208218</v>
      </c>
      <c r="AJ23" t="n">
        <v>47782.4907888964</v>
      </c>
      <c r="AK23" t="n">
        <v>65256.6873288165</v>
      </c>
      <c r="AL23" t="n">
        <v>154.95469016067</v>
      </c>
      <c r="AM23" t="n">
        <v>48046.5887460714</v>
      </c>
      <c r="AN23" t="n">
        <v>54312.7629322126</v>
      </c>
      <c r="AO23" t="n">
        <v>964.54079315352</v>
      </c>
      <c r="AP23" t="n">
        <v>0</v>
      </c>
      <c r="AQ23" t="n">
        <v>398630.184791582</v>
      </c>
      <c r="AR23" t="n">
        <v>30675.6084399842</v>
      </c>
      <c r="AS23" t="n">
        <v>44304.3479164736</v>
      </c>
      <c r="AT23" t="n">
        <v>3580.55402368935</v>
      </c>
      <c r="AU23" t="n">
        <v>4164.87274163171</v>
      </c>
      <c r="AV23" t="n">
        <v>0</v>
      </c>
      <c r="AW23" t="n">
        <v>4153.40790746993</v>
      </c>
      <c r="AX23" t="n">
        <v>12214.0102963222</v>
      </c>
      <c r="AY23" t="n">
        <v>109108.33682288</v>
      </c>
      <c r="AZ23" t="n">
        <v>0</v>
      </c>
      <c r="BA23" t="n">
        <v>964575.199984738</v>
      </c>
      <c r="BB23" t="n">
        <v>1398343.00740156</v>
      </c>
      <c r="BC23" t="n">
        <v>53312.2660134962</v>
      </c>
      <c r="BD23" t="n">
        <v>726899.866456622</v>
      </c>
      <c r="BE23" t="n">
        <v>216419.574959924</v>
      </c>
      <c r="BF23" t="n">
        <v>185346.487765095</v>
      </c>
      <c r="BG23" t="n">
        <v>5159.7436549549</v>
      </c>
      <c r="BH23" t="n">
        <v>693398.12782981</v>
      </c>
      <c r="BI23" t="n">
        <v>34835.0903239946</v>
      </c>
      <c r="BJ23" t="n">
        <v>463663.223534336</v>
      </c>
      <c r="BK23" t="n">
        <v>1895.22237098521</v>
      </c>
      <c r="BL23" t="n">
        <v>222013.252840688</v>
      </c>
      <c r="BM23" t="n">
        <v>226012.39246773</v>
      </c>
      <c r="BN23" t="n">
        <v>208944.681599664</v>
      </c>
      <c r="BO23" t="n">
        <v>2468951.43399045</v>
      </c>
      <c r="BP23" t="n">
        <v>624784.038512423</v>
      </c>
      <c r="BQ23" t="n">
        <v>2517693.81344811</v>
      </c>
      <c r="BR23" t="n">
        <v>0</v>
      </c>
      <c r="BS23" t="n">
        <v>462843.868587228</v>
      </c>
      <c r="BT23" t="n">
        <v>1151442.78218418</v>
      </c>
      <c r="BU23" t="n">
        <v>18925772.0800817</v>
      </c>
      <c r="BV23" t="n">
        <v>0</v>
      </c>
      <c r="BW23" t="n">
        <v>4133833.41705733</v>
      </c>
      <c r="BX23" t="n">
        <v>0</v>
      </c>
      <c r="BY23" t="n">
        <v>4140867.14962777</v>
      </c>
      <c r="BZ23" t="n">
        <v>813420.83252879</v>
      </c>
      <c r="CA23" t="n">
        <v>27217218.4876085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15728.9138898227</v>
      </c>
      <c r="CJ23" t="n">
        <v>0</v>
      </c>
      <c r="CK23" t="n">
        <v>0</v>
      </c>
      <c r="CL23" t="n">
        <v>0</v>
      </c>
      <c r="CM23" t="n">
        <v>253925.647755741</v>
      </c>
      <c r="CN23" t="n">
        <v>0</v>
      </c>
    </row>
    <row r="24">
      <c r="A24" t="s">
        <v>135</v>
      </c>
      <c r="B24" t="n">
        <v>464661.954156736</v>
      </c>
      <c r="C24" t="n">
        <v>99962.4527897444</v>
      </c>
      <c r="D24" t="n">
        <v>0</v>
      </c>
      <c r="E24" t="n">
        <v>113049.698732658</v>
      </c>
      <c r="F24" t="n">
        <v>922.852604187196</v>
      </c>
      <c r="G24" t="n">
        <v>12756.8373670899</v>
      </c>
      <c r="H24" t="n">
        <v>806324.692156364</v>
      </c>
      <c r="I24" t="n">
        <v>1961601.93662685</v>
      </c>
      <c r="J24" t="n">
        <v>146326.631266405</v>
      </c>
      <c r="K24" t="n">
        <v>32731.8012955108</v>
      </c>
      <c r="L24" t="n">
        <v>763275.659197615</v>
      </c>
      <c r="M24" t="n">
        <v>3518706.18800208</v>
      </c>
      <c r="N24" t="n">
        <v>246896.784813249</v>
      </c>
      <c r="O24" t="n">
        <v>65230.3340132027</v>
      </c>
      <c r="P24" t="n">
        <v>20847878.4978601</v>
      </c>
      <c r="Q24" t="n">
        <v>2423919.53843077</v>
      </c>
      <c r="R24" t="n">
        <v>145149.151153322</v>
      </c>
      <c r="S24" t="n">
        <v>211232.996901692</v>
      </c>
      <c r="T24" t="n">
        <v>2478493.94219126</v>
      </c>
      <c r="U24" t="n">
        <v>49448.4061821562</v>
      </c>
      <c r="V24" t="n">
        <v>2964.2673063582</v>
      </c>
      <c r="W24" t="n">
        <v>2179025.01827737</v>
      </c>
      <c r="X24" t="n">
        <v>43104.8322179691</v>
      </c>
      <c r="Y24" t="n">
        <v>26274.0714221853</v>
      </c>
      <c r="Z24" t="n">
        <v>397245.354150931</v>
      </c>
      <c r="AA24" t="n">
        <v>264356.807796678</v>
      </c>
      <c r="AB24" t="n">
        <v>3821776.21983386</v>
      </c>
      <c r="AC24" t="n">
        <v>3456794.16412006</v>
      </c>
      <c r="AD24" t="n">
        <v>1933372.01883306</v>
      </c>
      <c r="AE24" t="n">
        <v>273258.458711189</v>
      </c>
      <c r="AF24" t="n">
        <v>2756683.06630869</v>
      </c>
      <c r="AG24" t="n">
        <v>0</v>
      </c>
      <c r="AH24" t="n">
        <v>17101.5894167447</v>
      </c>
      <c r="AI24" t="n">
        <v>0</v>
      </c>
      <c r="AJ24" t="n">
        <v>3536117.76539417</v>
      </c>
      <c r="AK24" t="n">
        <v>246342.385415215</v>
      </c>
      <c r="AL24" t="n">
        <v>156.372808132059</v>
      </c>
      <c r="AM24" t="n">
        <v>42189.3802235543</v>
      </c>
      <c r="AN24" t="n">
        <v>888090.42546791</v>
      </c>
      <c r="AO24" t="n">
        <v>35365.7076416713</v>
      </c>
      <c r="AP24" t="n">
        <v>15217.0988199763</v>
      </c>
      <c r="AQ24" t="n">
        <v>291989.039562617</v>
      </c>
      <c r="AR24" t="n">
        <v>43791.9043712891</v>
      </c>
      <c r="AS24" t="n">
        <v>53651.7761854788</v>
      </c>
      <c r="AT24" t="n">
        <v>3312.21240356092</v>
      </c>
      <c r="AU24" t="n">
        <v>0</v>
      </c>
      <c r="AV24" t="n">
        <v>0</v>
      </c>
      <c r="AW24" t="n">
        <v>0</v>
      </c>
      <c r="AX24" t="n">
        <v>0</v>
      </c>
      <c r="AY24" t="n">
        <v>622388.168929379</v>
      </c>
      <c r="AZ24" t="n">
        <v>0</v>
      </c>
      <c r="BA24" t="n">
        <v>32527.0744957186</v>
      </c>
      <c r="BB24" t="n">
        <v>1396321.73767258</v>
      </c>
      <c r="BC24" t="n">
        <v>322801.022767482</v>
      </c>
      <c r="BD24" t="n">
        <v>6338085.77140583</v>
      </c>
      <c r="BE24" t="n">
        <v>1013600.96861487</v>
      </c>
      <c r="BF24" t="n">
        <v>346684.325580058</v>
      </c>
      <c r="BG24" t="n">
        <v>425929.713938547</v>
      </c>
      <c r="BH24" t="n">
        <v>2134306.84175734</v>
      </c>
      <c r="BI24" t="n">
        <v>136915.169694143</v>
      </c>
      <c r="BJ24" t="n">
        <v>2302714.05852896</v>
      </c>
      <c r="BK24" t="n">
        <v>32513.6408967822</v>
      </c>
      <c r="BL24" t="n">
        <v>78873.0124841176</v>
      </c>
      <c r="BM24" t="n">
        <v>175446.783067203</v>
      </c>
      <c r="BN24" t="n">
        <v>757220.934737414</v>
      </c>
      <c r="BO24" t="n">
        <v>6042937.59110123</v>
      </c>
      <c r="BP24" t="n">
        <v>1400804.77970743</v>
      </c>
      <c r="BQ24" t="n">
        <v>111077.372534457</v>
      </c>
      <c r="BR24" t="n">
        <v>2742593.51205358</v>
      </c>
      <c r="BS24" t="n">
        <v>4193821.84865676</v>
      </c>
      <c r="BT24" t="n">
        <v>491425.865338911</v>
      </c>
      <c r="BU24" t="n">
        <v>163620695.422774</v>
      </c>
      <c r="BV24" t="n">
        <v>0</v>
      </c>
      <c r="BW24" t="n">
        <v>32081498.7780401</v>
      </c>
      <c r="BX24" t="n">
        <v>0</v>
      </c>
      <c r="BY24" t="n">
        <v>0</v>
      </c>
      <c r="BZ24" t="n">
        <v>2537170.80806412</v>
      </c>
      <c r="CA24" t="n">
        <v>29400685.2446013</v>
      </c>
      <c r="CB24" t="n">
        <v>0</v>
      </c>
      <c r="CC24" t="n">
        <v>0</v>
      </c>
      <c r="CD24" t="n">
        <v>0</v>
      </c>
      <c r="CE24" t="n">
        <v>4419529.69444063</v>
      </c>
      <c r="CF24" t="n">
        <v>0</v>
      </c>
      <c r="CG24" t="n">
        <v>0</v>
      </c>
      <c r="CH24" t="n">
        <v>0</v>
      </c>
      <c r="CI24" t="n">
        <v>4557.94725541649</v>
      </c>
      <c r="CJ24" t="n">
        <v>0</v>
      </c>
      <c r="CK24" t="n">
        <v>0</v>
      </c>
      <c r="CL24" t="n">
        <v>0</v>
      </c>
      <c r="CM24" t="n">
        <v>6432520.2646356</v>
      </c>
      <c r="CN24" t="n">
        <v>0</v>
      </c>
    </row>
    <row r="25">
      <c r="A25" t="s">
        <v>136</v>
      </c>
      <c r="B25" t="n">
        <v>0</v>
      </c>
      <c r="C25" t="n">
        <v>30001.7969787189</v>
      </c>
      <c r="D25" t="n">
        <v>0</v>
      </c>
      <c r="E25" t="n">
        <v>0</v>
      </c>
      <c r="F25" t="n">
        <v>0</v>
      </c>
      <c r="G25" t="n">
        <v>0</v>
      </c>
      <c r="H25" t="n">
        <v>16683.3609525282</v>
      </c>
      <c r="I25" t="n">
        <v>26175.8764663955</v>
      </c>
      <c r="J25" t="n">
        <v>0</v>
      </c>
      <c r="K25" t="n">
        <v>0</v>
      </c>
      <c r="L25" t="n">
        <v>76143.8751232538</v>
      </c>
      <c r="M25" t="n">
        <v>89311.2166987053</v>
      </c>
      <c r="N25" t="n">
        <v>0</v>
      </c>
      <c r="O25" t="n">
        <v>0</v>
      </c>
      <c r="P25" t="n">
        <v>103427.912328896</v>
      </c>
      <c r="Q25" t="n">
        <v>71526350.4861511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20743.6520449574</v>
      </c>
      <c r="AD25" t="n">
        <v>0</v>
      </c>
      <c r="AE25" t="n">
        <v>0</v>
      </c>
      <c r="AF25" t="n">
        <v>0</v>
      </c>
      <c r="AG25" t="n">
        <v>283131.47014097</v>
      </c>
      <c r="AH25" t="n">
        <v>488072.728015654</v>
      </c>
      <c r="AI25" t="n">
        <v>202376.989755357</v>
      </c>
      <c r="AJ25" t="n">
        <v>7236.11836672729</v>
      </c>
      <c r="AK25" t="n">
        <v>65470.8205207321</v>
      </c>
      <c r="AL25" t="n">
        <v>0</v>
      </c>
      <c r="AM25" t="n">
        <v>1097724.49230283</v>
      </c>
      <c r="AN25" t="n">
        <v>0</v>
      </c>
      <c r="AO25" t="n">
        <v>0</v>
      </c>
      <c r="AP25" t="n">
        <v>0</v>
      </c>
      <c r="AQ25" t="n">
        <v>1205.57471585961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971583.939966933</v>
      </c>
      <c r="BC25" t="n">
        <v>49450.4346263749</v>
      </c>
      <c r="BD25" t="n">
        <v>56402.7717954438</v>
      </c>
      <c r="BE25" t="n">
        <v>103239.04324803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24315.4758885934</v>
      </c>
      <c r="BM25" t="n">
        <v>0</v>
      </c>
      <c r="BN25" t="n">
        <v>0</v>
      </c>
      <c r="BO25" t="n">
        <v>57379.8949886093</v>
      </c>
      <c r="BP25" t="n">
        <v>14065770.8942101</v>
      </c>
      <c r="BQ25" t="n">
        <v>535415.362203904</v>
      </c>
      <c r="BR25" t="n">
        <v>1184.68458737864</v>
      </c>
      <c r="BS25" t="n">
        <v>0</v>
      </c>
      <c r="BT25" t="n">
        <v>41780.5489253947</v>
      </c>
      <c r="BU25" t="n">
        <v>20729480.5478327</v>
      </c>
      <c r="BV25" t="n">
        <v>0</v>
      </c>
      <c r="BW25" t="n">
        <v>40269121.3768426</v>
      </c>
      <c r="BX25" t="n">
        <v>0</v>
      </c>
      <c r="BY25" t="n">
        <v>0</v>
      </c>
      <c r="BZ25" t="n">
        <v>162775215.281417</v>
      </c>
      <c r="CA25" t="n">
        <v>305008435.340861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1148006.45805408</v>
      </c>
      <c r="CJ25" t="n">
        <v>0</v>
      </c>
      <c r="CK25" t="n">
        <v>0</v>
      </c>
      <c r="CL25" t="n">
        <v>0</v>
      </c>
      <c r="CM25" t="n">
        <v>73876.3773877658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24135820.3608034</v>
      </c>
      <c r="I26" t="n">
        <v>1109824.15565997</v>
      </c>
      <c r="J26" t="n">
        <v>0</v>
      </c>
      <c r="K26" t="n">
        <v>0</v>
      </c>
      <c r="L26" t="n">
        <v>0</v>
      </c>
      <c r="M26" t="n">
        <v>233668.35412054</v>
      </c>
      <c r="N26" t="n">
        <v>50264.7617835782</v>
      </c>
      <c r="O26" t="n">
        <v>0</v>
      </c>
      <c r="P26" t="n">
        <v>7010.87126582492</v>
      </c>
      <c r="Q26" t="n">
        <v>552487.178465953</v>
      </c>
      <c r="R26" t="n">
        <v>1939613.15811284</v>
      </c>
      <c r="S26" t="n">
        <v>96248.6425923944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547402.102825047</v>
      </c>
      <c r="AB26" t="n">
        <v>157649.444607822</v>
      </c>
      <c r="AC26" t="n">
        <v>124658.087709107</v>
      </c>
      <c r="AD26" t="n">
        <v>0</v>
      </c>
      <c r="AE26" t="n">
        <v>29319.3741718198</v>
      </c>
      <c r="AF26" t="n">
        <v>404040.058350336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644.033805863545</v>
      </c>
      <c r="AP26" t="n">
        <v>0</v>
      </c>
      <c r="AQ26" t="n">
        <v>74810.946682267</v>
      </c>
      <c r="AR26" t="n">
        <v>130388.083133421</v>
      </c>
      <c r="AS26" t="n">
        <v>0</v>
      </c>
      <c r="AT26" t="n">
        <v>0</v>
      </c>
      <c r="AU26" t="n">
        <v>0</v>
      </c>
      <c r="AV26" t="n">
        <v>0</v>
      </c>
      <c r="AW26" t="n">
        <v>3025641.02725793</v>
      </c>
      <c r="AX26" t="n">
        <v>101728.137055607</v>
      </c>
      <c r="AY26" t="n">
        <v>0</v>
      </c>
      <c r="AZ26" t="n">
        <v>13100.5457824263</v>
      </c>
      <c r="BA26" t="n">
        <v>3586.94988671223</v>
      </c>
      <c r="BB26" t="n">
        <v>80221.4037761273</v>
      </c>
      <c r="BC26" t="n">
        <v>1977.6193456569</v>
      </c>
      <c r="BD26" t="n">
        <v>4805.52985614387</v>
      </c>
      <c r="BE26" t="n">
        <v>0</v>
      </c>
      <c r="BF26" t="n">
        <v>0</v>
      </c>
      <c r="BG26" t="n">
        <v>103356.416865989</v>
      </c>
      <c r="BH26" t="n">
        <v>365517.679021923</v>
      </c>
      <c r="BI26" t="n">
        <v>3672.59179184596</v>
      </c>
      <c r="BJ26" t="n">
        <v>523769.948565014</v>
      </c>
      <c r="BK26" t="n">
        <v>21512.8109132592</v>
      </c>
      <c r="BL26" t="n">
        <v>136139.263954384</v>
      </c>
      <c r="BM26" t="n">
        <v>6331.92161593693</v>
      </c>
      <c r="BN26" t="n">
        <v>598910.36564758</v>
      </c>
      <c r="BO26" t="n">
        <v>342766.628410828</v>
      </c>
      <c r="BP26" t="n">
        <v>0</v>
      </c>
      <c r="BQ26" t="n">
        <v>0</v>
      </c>
      <c r="BR26" t="n">
        <v>213579.337256055</v>
      </c>
      <c r="BS26" t="n">
        <v>19642.7294766197</v>
      </c>
      <c r="BT26" t="n">
        <v>581301.119207763</v>
      </c>
      <c r="BU26" t="n">
        <v>57203176.4114195</v>
      </c>
      <c r="BV26" t="n">
        <v>0</v>
      </c>
      <c r="BW26" t="n">
        <v>27632656.1258832</v>
      </c>
      <c r="BX26" t="n">
        <v>0</v>
      </c>
      <c r="BY26" t="n">
        <v>1043088.72890099</v>
      </c>
      <c r="BZ26" t="n">
        <v>1156394.87120918</v>
      </c>
      <c r="CA26" t="n">
        <v>5563644.79412355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48987.9650152017</v>
      </c>
      <c r="CJ26" t="n">
        <v>0</v>
      </c>
      <c r="CK26" t="n">
        <v>0</v>
      </c>
      <c r="CL26" t="n">
        <v>0</v>
      </c>
      <c r="CM26" t="n">
        <v>1711138.31631349</v>
      </c>
      <c r="CN26" t="n">
        <v>0</v>
      </c>
    </row>
    <row r="27">
      <c r="A27" t="s">
        <v>138</v>
      </c>
      <c r="B27" t="n">
        <v>82503.763086618</v>
      </c>
      <c r="C27" t="n">
        <v>0</v>
      </c>
      <c r="D27" t="n">
        <v>0</v>
      </c>
      <c r="E27" t="n">
        <v>3568.88745005102</v>
      </c>
      <c r="F27" t="n">
        <v>40.9332461399451</v>
      </c>
      <c r="G27" t="n">
        <v>0</v>
      </c>
      <c r="H27" t="n">
        <v>801731.325755742</v>
      </c>
      <c r="I27" t="n">
        <v>47390.2180571333</v>
      </c>
      <c r="J27" t="n">
        <v>36733.5742836333</v>
      </c>
      <c r="K27" t="n">
        <v>2987.19335862124</v>
      </c>
      <c r="L27" t="n">
        <v>46442.5954965842</v>
      </c>
      <c r="M27" t="n">
        <v>600889.277806436</v>
      </c>
      <c r="N27" t="n">
        <v>545.756944849428</v>
      </c>
      <c r="O27" t="n">
        <v>49960.5522279332</v>
      </c>
      <c r="P27" t="n">
        <v>220046.646690123</v>
      </c>
      <c r="Q27" t="n">
        <v>35118.2740645483</v>
      </c>
      <c r="R27" t="n">
        <v>6226.58608924025</v>
      </c>
      <c r="S27" t="n">
        <v>2812653.88989579</v>
      </c>
      <c r="T27" t="n">
        <v>72981.7511607924</v>
      </c>
      <c r="U27" t="n">
        <v>9895.91751784362</v>
      </c>
      <c r="V27" t="n">
        <v>222578.885052821</v>
      </c>
      <c r="W27" t="n">
        <v>0</v>
      </c>
      <c r="X27" t="n">
        <v>1533.58270096052</v>
      </c>
      <c r="Y27" t="n">
        <v>442.789717034637</v>
      </c>
      <c r="Z27" t="n">
        <v>155985.740259368</v>
      </c>
      <c r="AA27" t="n">
        <v>125987.009916061</v>
      </c>
      <c r="AB27" t="n">
        <v>548292.295243754</v>
      </c>
      <c r="AC27" t="n">
        <v>169833.982383811</v>
      </c>
      <c r="AD27" t="n">
        <v>126833.684746983</v>
      </c>
      <c r="AE27" t="n">
        <v>9656.29390562101</v>
      </c>
      <c r="AF27" t="n">
        <v>599734.90512058</v>
      </c>
      <c r="AG27" t="n">
        <v>0</v>
      </c>
      <c r="AH27" t="n">
        <v>479.146455673802</v>
      </c>
      <c r="AI27" t="n">
        <v>0</v>
      </c>
      <c r="AJ27" t="n">
        <v>4002.97908839146</v>
      </c>
      <c r="AK27" t="n">
        <v>11617.1205119191</v>
      </c>
      <c r="AL27" t="n">
        <v>175.247984159586</v>
      </c>
      <c r="AM27" t="n">
        <v>66335.8032326394</v>
      </c>
      <c r="AN27" t="n">
        <v>71023.4798518208</v>
      </c>
      <c r="AO27" t="n">
        <v>727.239812122173</v>
      </c>
      <c r="AP27" t="n">
        <v>213.173722849718</v>
      </c>
      <c r="AQ27" t="n">
        <v>36458.1295168886</v>
      </c>
      <c r="AR27" t="n">
        <v>13961.8053243116</v>
      </c>
      <c r="AS27" t="n">
        <v>35074.597339851</v>
      </c>
      <c r="AT27" t="n">
        <v>4724.38547383106</v>
      </c>
      <c r="AU27" t="n">
        <v>7065.47396043991</v>
      </c>
      <c r="AV27" t="n">
        <v>0</v>
      </c>
      <c r="AW27" t="n">
        <v>0</v>
      </c>
      <c r="AX27" t="n">
        <v>76338.2649657215</v>
      </c>
      <c r="AY27" t="n">
        <v>23173.2330184038</v>
      </c>
      <c r="AZ27" t="n">
        <v>7396.53599451595</v>
      </c>
      <c r="BA27" t="n">
        <v>12826.1596469886</v>
      </c>
      <c r="BB27" t="n">
        <v>745066.686253445</v>
      </c>
      <c r="BC27" t="n">
        <v>7815.91320054551</v>
      </c>
      <c r="BD27" t="n">
        <v>1068092.60583677</v>
      </c>
      <c r="BE27" t="n">
        <v>351453.817371438</v>
      </c>
      <c r="BF27" t="n">
        <v>217630.929956284</v>
      </c>
      <c r="BG27" t="n">
        <v>15395157.8703033</v>
      </c>
      <c r="BH27" t="n">
        <v>27590737.6837611</v>
      </c>
      <c r="BI27" t="n">
        <v>584737.239869335</v>
      </c>
      <c r="BJ27" t="n">
        <v>1351368.09734284</v>
      </c>
      <c r="BK27" t="n">
        <v>35009.2901039681</v>
      </c>
      <c r="BL27" t="n">
        <v>174224.827047608</v>
      </c>
      <c r="BM27" t="n">
        <v>50049.8236442787</v>
      </c>
      <c r="BN27" t="n">
        <v>165807.729549469</v>
      </c>
      <c r="BO27" t="n">
        <v>1221563.81031333</v>
      </c>
      <c r="BP27" t="n">
        <v>359179.079867993</v>
      </c>
      <c r="BQ27" t="n">
        <v>240385.03260397</v>
      </c>
      <c r="BR27" t="n">
        <v>0</v>
      </c>
      <c r="BS27" t="n">
        <v>2761468.97589672</v>
      </c>
      <c r="BT27" t="n">
        <v>29716.4050938466</v>
      </c>
      <c r="BU27" t="n">
        <v>36952194.0625535</v>
      </c>
      <c r="BV27" t="n">
        <v>0</v>
      </c>
      <c r="BW27" t="n">
        <v>22855406.6904234</v>
      </c>
      <c r="BX27" t="n">
        <v>0</v>
      </c>
      <c r="BY27" t="n">
        <v>0</v>
      </c>
      <c r="BZ27" t="n">
        <v>2606365.52380455</v>
      </c>
      <c r="CA27" t="n">
        <v>14652947.9234377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5239.43821639518</v>
      </c>
      <c r="CJ27" t="n">
        <v>0</v>
      </c>
      <c r="CK27" t="n">
        <v>0</v>
      </c>
      <c r="CL27" t="n">
        <v>0</v>
      </c>
      <c r="CM27" t="n">
        <v>706169.366847079</v>
      </c>
      <c r="CN27" t="n">
        <v>0</v>
      </c>
    </row>
    <row r="28">
      <c r="A28" t="s">
        <v>139</v>
      </c>
      <c r="B28" t="n">
        <v>33565277.2959841</v>
      </c>
      <c r="C28" t="n">
        <v>644278.508583391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74329.6728871718</v>
      </c>
      <c r="J28" t="n">
        <v>269453.714254221</v>
      </c>
      <c r="K28" t="n">
        <v>843.352923324498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4408.59673660484</v>
      </c>
      <c r="T28" t="n">
        <v>234298344.358958</v>
      </c>
      <c r="U28" t="n">
        <v>30732.2793080054</v>
      </c>
      <c r="V28" t="n">
        <v>783144.054180627</v>
      </c>
      <c r="W28" t="n">
        <v>1491313.37303429</v>
      </c>
      <c r="X28" t="n">
        <v>276015.460986121</v>
      </c>
      <c r="Y28" t="n">
        <v>117196.548769218</v>
      </c>
      <c r="Z28" t="n">
        <v>3150725.70924593</v>
      </c>
      <c r="AA28" t="n">
        <v>194518.028323522</v>
      </c>
      <c r="AB28" t="n">
        <v>2794359.23984984</v>
      </c>
      <c r="AC28" t="n">
        <v>2159.82039832628</v>
      </c>
      <c r="AD28" t="n">
        <v>6505128.45463881</v>
      </c>
      <c r="AE28" t="n">
        <v>1516931.31689994</v>
      </c>
      <c r="AF28" t="n">
        <v>3000302.56623015</v>
      </c>
      <c r="AG28" t="n">
        <v>110701.141771685</v>
      </c>
      <c r="AH28" t="n">
        <v>1352.73989856346</v>
      </c>
      <c r="AI28" t="n">
        <v>108484.520459983</v>
      </c>
      <c r="AJ28" t="n">
        <v>25427.979877941</v>
      </c>
      <c r="AK28" t="n">
        <v>0</v>
      </c>
      <c r="AL28" t="n">
        <v>0</v>
      </c>
      <c r="AM28" t="n">
        <v>5977.0572126692</v>
      </c>
      <c r="AN28" t="n">
        <v>0</v>
      </c>
      <c r="AO28" t="n">
        <v>11805.6936740013</v>
      </c>
      <c r="AP28" t="n">
        <v>3911.94775472337</v>
      </c>
      <c r="AQ28" t="n">
        <v>0</v>
      </c>
      <c r="AR28" t="n">
        <v>35535.3525073559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5128730.49635819</v>
      </c>
      <c r="BC28" t="n">
        <v>111906.69259696</v>
      </c>
      <c r="BD28" t="n">
        <v>0</v>
      </c>
      <c r="BE28" t="n">
        <v>0</v>
      </c>
      <c r="BF28" t="n">
        <v>9122090.97239335</v>
      </c>
      <c r="BG28" t="n">
        <v>8237.44361170988</v>
      </c>
      <c r="BH28" t="n">
        <v>16233202.1240406</v>
      </c>
      <c r="BI28" t="n">
        <v>13107255.2909704</v>
      </c>
      <c r="BJ28" t="n">
        <v>39144845.3704763</v>
      </c>
      <c r="BK28" t="n">
        <v>1028734.7735194</v>
      </c>
      <c r="BL28" t="n">
        <v>8826651.20542276</v>
      </c>
      <c r="BM28" t="n">
        <v>15626496.6853129</v>
      </c>
      <c r="BN28" t="n">
        <v>114191951.178367</v>
      </c>
      <c r="BO28" t="n">
        <v>1720040.60587915</v>
      </c>
      <c r="BP28" t="n">
        <v>1788124.43290766</v>
      </c>
      <c r="BQ28" t="n">
        <v>90892.2133371995</v>
      </c>
      <c r="BR28" t="n">
        <v>1260008.65681349</v>
      </c>
      <c r="BS28" t="n">
        <v>77264358.3064413</v>
      </c>
      <c r="BT28" t="n">
        <v>0</v>
      </c>
      <c r="BU28" t="n">
        <v>1231534242.93957</v>
      </c>
      <c r="BV28" t="n">
        <v>0</v>
      </c>
      <c r="BW28" t="n">
        <v>0</v>
      </c>
      <c r="BX28" t="n">
        <v>0</v>
      </c>
      <c r="BY28" t="n">
        <v>0</v>
      </c>
      <c r="BZ28" t="n">
        <v>25889985.8078682</v>
      </c>
      <c r="CA28" t="n">
        <v>118052678.150556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13257.9641853853</v>
      </c>
      <c r="C29" t="n">
        <v>18085.8017630975</v>
      </c>
      <c r="D29" t="n">
        <v>0</v>
      </c>
      <c r="E29" t="n">
        <v>0</v>
      </c>
      <c r="F29" t="n">
        <v>0</v>
      </c>
      <c r="G29" t="n">
        <v>0</v>
      </c>
      <c r="H29" t="n">
        <v>714618.397795528</v>
      </c>
      <c r="I29" t="n">
        <v>568879.740344521</v>
      </c>
      <c r="J29" t="n">
        <v>80466.6976682929</v>
      </c>
      <c r="K29" t="n">
        <v>0</v>
      </c>
      <c r="L29" t="n">
        <v>672.547275800378</v>
      </c>
      <c r="M29" t="n">
        <v>190909.972564032</v>
      </c>
      <c r="N29" t="n">
        <v>679.67932158264</v>
      </c>
      <c r="O29" t="n">
        <v>0</v>
      </c>
      <c r="P29" t="n">
        <v>246258.242938454</v>
      </c>
      <c r="Q29" t="n">
        <v>951898.741861919</v>
      </c>
      <c r="R29" t="n">
        <v>598067.166332241</v>
      </c>
      <c r="S29" t="n">
        <v>673654.204823721</v>
      </c>
      <c r="T29" t="n">
        <v>77324.8558679881</v>
      </c>
      <c r="U29" t="n">
        <v>7136978.98704755</v>
      </c>
      <c r="V29" t="n">
        <v>1549407.90824185</v>
      </c>
      <c r="W29" t="n">
        <v>7297088.05751291</v>
      </c>
      <c r="X29" t="n">
        <v>75918.7624999899</v>
      </c>
      <c r="Y29" t="n">
        <v>2067.91927238486</v>
      </c>
      <c r="Z29" t="n">
        <v>2918.11100183126</v>
      </c>
      <c r="AA29" t="n">
        <v>664385.081639436</v>
      </c>
      <c r="AB29" t="n">
        <v>763757.414196157</v>
      </c>
      <c r="AC29" t="n">
        <v>43826.2424492679</v>
      </c>
      <c r="AD29" t="n">
        <v>68448.1151674405</v>
      </c>
      <c r="AE29" t="n">
        <v>58411.2014363877</v>
      </c>
      <c r="AF29" t="n">
        <v>988233.413334913</v>
      </c>
      <c r="AG29" t="n">
        <v>0</v>
      </c>
      <c r="AH29" t="n">
        <v>0</v>
      </c>
      <c r="AI29" t="n">
        <v>7630.91872288919</v>
      </c>
      <c r="AJ29" t="n">
        <v>12463.1584480251</v>
      </c>
      <c r="AK29" t="n">
        <v>0</v>
      </c>
      <c r="AL29" t="n">
        <v>109.125895791555</v>
      </c>
      <c r="AM29" t="n">
        <v>21532.3291182433</v>
      </c>
      <c r="AN29" t="n">
        <v>1195.2947547414</v>
      </c>
      <c r="AO29" t="n">
        <v>226.423990934031</v>
      </c>
      <c r="AP29" t="n">
        <v>25486.470082591</v>
      </c>
      <c r="AQ29" t="n">
        <v>1384.28440435501</v>
      </c>
      <c r="AR29" t="n">
        <v>658.631409012032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69718.5742916059</v>
      </c>
      <c r="AY29" t="n">
        <v>41485.7808093175</v>
      </c>
      <c r="AZ29" t="n">
        <v>0</v>
      </c>
      <c r="BA29" t="n">
        <v>0</v>
      </c>
      <c r="BB29" t="n">
        <v>126916.050154148</v>
      </c>
      <c r="BC29" t="n">
        <v>8343.29739927078</v>
      </c>
      <c r="BD29" t="n">
        <v>15205.3900712495</v>
      </c>
      <c r="BE29" t="n">
        <v>8597.60937323378</v>
      </c>
      <c r="BF29" t="n">
        <v>32424.4345497271</v>
      </c>
      <c r="BG29" t="n">
        <v>17441.8464489588</v>
      </c>
      <c r="BH29" t="n">
        <v>74655.6532272942</v>
      </c>
      <c r="BI29" t="n">
        <v>273729.936531612</v>
      </c>
      <c r="BJ29" t="n">
        <v>296555.290198763</v>
      </c>
      <c r="BK29" t="n">
        <v>0</v>
      </c>
      <c r="BL29" t="n">
        <v>366947.350327858</v>
      </c>
      <c r="BM29" t="n">
        <v>235969.119397065</v>
      </c>
      <c r="BN29" t="n">
        <v>62598.8806226927</v>
      </c>
      <c r="BO29" t="n">
        <v>165139.235245554</v>
      </c>
      <c r="BP29" t="n">
        <v>239024.580286132</v>
      </c>
      <c r="BQ29" t="n">
        <v>135430.511913675</v>
      </c>
      <c r="BR29" t="n">
        <v>3264.71425151349</v>
      </c>
      <c r="BS29" t="n">
        <v>501362.945000753</v>
      </c>
      <c r="BT29" t="n">
        <v>822.410303287135</v>
      </c>
      <c r="BU29" t="n">
        <v>6485648.6532304</v>
      </c>
      <c r="BV29" t="n">
        <v>0</v>
      </c>
      <c r="BW29" t="n">
        <v>1136964.16886304</v>
      </c>
      <c r="BX29" t="n">
        <v>0</v>
      </c>
      <c r="BY29" t="n">
        <v>172867.120066788</v>
      </c>
      <c r="BZ29" t="n">
        <v>1362050.12418847</v>
      </c>
      <c r="CA29" t="n">
        <v>33356038.2736933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271.629689607498</v>
      </c>
      <c r="CJ29" t="n">
        <v>0</v>
      </c>
      <c r="CK29" t="n">
        <v>0</v>
      </c>
      <c r="CL29" t="n">
        <v>0</v>
      </c>
      <c r="CM29" t="n">
        <v>1834.10860774283</v>
      </c>
      <c r="CN29" t="n">
        <v>0</v>
      </c>
    </row>
    <row r="30">
      <c r="A30" t="s">
        <v>141</v>
      </c>
      <c r="B30" t="n">
        <v>22452.0660321574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16279.079554256</v>
      </c>
      <c r="Q30" t="n">
        <v>0</v>
      </c>
      <c r="R30" t="n">
        <v>0</v>
      </c>
      <c r="S30" t="n">
        <v>46633.913654462</v>
      </c>
      <c r="T30" t="n">
        <v>689.199553685262</v>
      </c>
      <c r="U30" t="n">
        <v>70126.0859848634</v>
      </c>
      <c r="V30" t="n">
        <v>653694.843755682</v>
      </c>
      <c r="W30" t="n">
        <v>0</v>
      </c>
      <c r="X30" t="n">
        <v>65496.2574095897</v>
      </c>
      <c r="Y30" t="n">
        <v>0</v>
      </c>
      <c r="Z30" t="n">
        <v>0</v>
      </c>
      <c r="AA30" t="n">
        <v>622.760859816489</v>
      </c>
      <c r="AB30" t="n">
        <v>220761.333305169</v>
      </c>
      <c r="AC30" t="n">
        <v>8712.63728651908</v>
      </c>
      <c r="AD30" t="n">
        <v>0</v>
      </c>
      <c r="AE30" t="n">
        <v>168451.644522262</v>
      </c>
      <c r="AF30" t="n">
        <v>162181.854934222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690.199142518043</v>
      </c>
      <c r="AP30" t="n">
        <v>4855.58633944104</v>
      </c>
      <c r="AQ30" t="n">
        <v>10971.1119959447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35555.2619033151</v>
      </c>
      <c r="AZ30" t="n">
        <v>0</v>
      </c>
      <c r="BA30" t="n">
        <v>0</v>
      </c>
      <c r="BB30" t="n">
        <v>7641.93757722752</v>
      </c>
      <c r="BC30" t="n">
        <v>4238.75630183513</v>
      </c>
      <c r="BD30" t="n">
        <v>50355.5325677202</v>
      </c>
      <c r="BE30" t="n">
        <v>64328.1057088233</v>
      </c>
      <c r="BF30" t="n">
        <v>35480.3433749481</v>
      </c>
      <c r="BG30" t="n">
        <v>11814.9508542632</v>
      </c>
      <c r="BH30" t="n">
        <v>27358.1209580489</v>
      </c>
      <c r="BI30" t="n">
        <v>0</v>
      </c>
      <c r="BJ30" t="n">
        <v>34810.2069095264</v>
      </c>
      <c r="BK30" t="n">
        <v>42041.2561119443</v>
      </c>
      <c r="BL30" t="n">
        <v>11347.6172751962</v>
      </c>
      <c r="BM30" t="n">
        <v>6785.80352463217</v>
      </c>
      <c r="BN30" t="n">
        <v>14042.857318588</v>
      </c>
      <c r="BO30" t="n">
        <v>651747.247058512</v>
      </c>
      <c r="BP30" t="n">
        <v>15117.3978704722</v>
      </c>
      <c r="BQ30" t="n">
        <v>8147.90883733367</v>
      </c>
      <c r="BR30" t="n">
        <v>157568.537627319</v>
      </c>
      <c r="BS30" t="n">
        <v>320673.101191606</v>
      </c>
      <c r="BT30" t="n">
        <v>12952.4212498733</v>
      </c>
      <c r="BU30" t="n">
        <v>6376148.3216788</v>
      </c>
      <c r="BV30" t="n">
        <v>0</v>
      </c>
      <c r="BW30" t="n">
        <v>0</v>
      </c>
      <c r="BX30" t="n">
        <v>0</v>
      </c>
      <c r="BY30" t="n">
        <v>0</v>
      </c>
      <c r="BZ30" t="n">
        <v>672031.192457234</v>
      </c>
      <c r="CA30" t="n">
        <v>5997619.19250849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480692.266757187</v>
      </c>
      <c r="C31" t="n">
        <v>0</v>
      </c>
      <c r="D31" t="n">
        <v>0</v>
      </c>
      <c r="E31" t="n">
        <v>61104.8699427924</v>
      </c>
      <c r="F31" t="n">
        <v>417.755875280831</v>
      </c>
      <c r="G31" t="n">
        <v>42236.7295444097</v>
      </c>
      <c r="H31" t="n">
        <v>3933050.4746349</v>
      </c>
      <c r="I31" t="n">
        <v>5282014.47017103</v>
      </c>
      <c r="J31" t="n">
        <v>1939658.45280529</v>
      </c>
      <c r="K31" t="n">
        <v>306872.207477288</v>
      </c>
      <c r="L31" t="n">
        <v>4222771.76333981</v>
      </c>
      <c r="M31" t="n">
        <v>1930138.24910167</v>
      </c>
      <c r="N31" t="n">
        <v>673881.900010702</v>
      </c>
      <c r="O31" t="n">
        <v>401432.112201758</v>
      </c>
      <c r="P31" t="n">
        <v>1666045.46087516</v>
      </c>
      <c r="Q31" t="n">
        <v>1951556.50995391</v>
      </c>
      <c r="R31" t="n">
        <v>1972262.41011213</v>
      </c>
      <c r="S31" t="n">
        <v>2414423.04436162</v>
      </c>
      <c r="T31" t="n">
        <v>47722455.8346601</v>
      </c>
      <c r="U31" t="n">
        <v>1391347.25556423</v>
      </c>
      <c r="V31" t="n">
        <v>86991.44772356</v>
      </c>
      <c r="W31" t="n">
        <v>288421188.640511</v>
      </c>
      <c r="X31" t="n">
        <v>9817143.52026887</v>
      </c>
      <c r="Y31" t="n">
        <v>154746.577307992</v>
      </c>
      <c r="Z31" t="n">
        <v>8027658.81354104</v>
      </c>
      <c r="AA31" t="n">
        <v>7944364.97252736</v>
      </c>
      <c r="AB31" t="n">
        <v>9570487.19815747</v>
      </c>
      <c r="AC31" t="n">
        <v>440718.923256242</v>
      </c>
      <c r="AD31" t="n">
        <v>4504982.13701183</v>
      </c>
      <c r="AE31" t="n">
        <v>1025328.0727354</v>
      </c>
      <c r="AF31" t="n">
        <v>2843477.76582976</v>
      </c>
      <c r="AG31" t="n">
        <v>18327.3993190589</v>
      </c>
      <c r="AH31" t="n">
        <v>85897.857749348</v>
      </c>
      <c r="AI31" t="n">
        <v>1673.53216243823</v>
      </c>
      <c r="AJ31" t="n">
        <v>399128.340666727</v>
      </c>
      <c r="AK31" t="n">
        <v>2279470.37320602</v>
      </c>
      <c r="AL31" t="n">
        <v>24710.1349576981</v>
      </c>
      <c r="AM31" t="n">
        <v>2294286.84658325</v>
      </c>
      <c r="AN31" t="n">
        <v>415654.736294268</v>
      </c>
      <c r="AO31" t="n">
        <v>1075221.03516015</v>
      </c>
      <c r="AP31" t="n">
        <v>28769.5135539283</v>
      </c>
      <c r="AQ31" t="n">
        <v>275838.761266824</v>
      </c>
      <c r="AR31" t="n">
        <v>99283.6214262028</v>
      </c>
      <c r="AS31" t="n">
        <v>1443293.77241459</v>
      </c>
      <c r="AT31" t="n">
        <v>244705.559846338</v>
      </c>
      <c r="AU31" t="n">
        <v>2300836.88146026</v>
      </c>
      <c r="AV31" t="n">
        <v>2988.17914862183</v>
      </c>
      <c r="AW31" t="n">
        <v>0</v>
      </c>
      <c r="AX31" t="n">
        <v>1244789.61919368</v>
      </c>
      <c r="AY31" t="n">
        <v>853037.376649463</v>
      </c>
      <c r="AZ31" t="n">
        <v>519969.474184457</v>
      </c>
      <c r="BA31" t="n">
        <v>677168.003580698</v>
      </c>
      <c r="BB31" t="n">
        <v>3885017.17917604</v>
      </c>
      <c r="BC31" t="n">
        <v>2444754.63423856</v>
      </c>
      <c r="BD31" t="n">
        <v>8636802.97637925</v>
      </c>
      <c r="BE31" t="n">
        <v>877331.56439332</v>
      </c>
      <c r="BF31" t="n">
        <v>693867.850846464</v>
      </c>
      <c r="BG31" t="n">
        <v>2764634.95284315</v>
      </c>
      <c r="BH31" t="n">
        <v>5594023.44581701</v>
      </c>
      <c r="BI31" t="n">
        <v>3078244.97531076</v>
      </c>
      <c r="BJ31" t="n">
        <v>4031142.42523064</v>
      </c>
      <c r="BK31" t="n">
        <v>110815.879069054</v>
      </c>
      <c r="BL31" t="n">
        <v>402549.951204804</v>
      </c>
      <c r="BM31" t="n">
        <v>9645867.23620022</v>
      </c>
      <c r="BN31" t="n">
        <v>11360798.1728588</v>
      </c>
      <c r="BO31" t="n">
        <v>1881025.13541488</v>
      </c>
      <c r="BP31" t="n">
        <v>292711.411387131</v>
      </c>
      <c r="BQ31" t="n">
        <v>5306106.66685197</v>
      </c>
      <c r="BR31" t="n">
        <v>462032.460123579</v>
      </c>
      <c r="BS31" t="n">
        <v>22415011.4126314</v>
      </c>
      <c r="BT31" t="n">
        <v>45225.8480820495</v>
      </c>
      <c r="BU31" t="n">
        <v>60222439.3602981</v>
      </c>
      <c r="BV31" t="n">
        <v>0</v>
      </c>
      <c r="BW31" t="n">
        <v>0</v>
      </c>
      <c r="BX31" t="n">
        <v>0</v>
      </c>
      <c r="BY31" t="n">
        <v>0</v>
      </c>
      <c r="BZ31" t="n">
        <v>9493224.83425132</v>
      </c>
      <c r="CA31" t="n">
        <v>277977426.937187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29772.3865379233</v>
      </c>
      <c r="C32" t="n">
        <v>0</v>
      </c>
      <c r="D32" t="n">
        <v>0</v>
      </c>
      <c r="E32" t="n">
        <v>1151.65488086224</v>
      </c>
      <c r="F32" t="n">
        <v>0</v>
      </c>
      <c r="G32" t="n">
        <v>17223.4870595572</v>
      </c>
      <c r="H32" t="n">
        <v>43507.3014496337</v>
      </c>
      <c r="I32" t="n">
        <v>27186.6490331444</v>
      </c>
      <c r="J32" t="n">
        <v>0</v>
      </c>
      <c r="K32" t="n">
        <v>0</v>
      </c>
      <c r="L32" t="n">
        <v>25094.007536306</v>
      </c>
      <c r="M32" t="n">
        <v>5515.45582974391</v>
      </c>
      <c r="N32" t="n">
        <v>0</v>
      </c>
      <c r="O32" t="n">
        <v>948.348167142143</v>
      </c>
      <c r="P32" t="n">
        <v>1857.9232796205</v>
      </c>
      <c r="Q32" t="n">
        <v>0</v>
      </c>
      <c r="R32" t="n">
        <v>0</v>
      </c>
      <c r="S32" t="n">
        <v>0</v>
      </c>
      <c r="T32" t="n">
        <v>140601.181095988</v>
      </c>
      <c r="U32" t="n">
        <v>0</v>
      </c>
      <c r="V32" t="n">
        <v>8576.0765198704</v>
      </c>
      <c r="W32" t="n">
        <v>0</v>
      </c>
      <c r="X32" t="n">
        <v>1985443.925109</v>
      </c>
      <c r="Y32" t="n">
        <v>1143.08102108686</v>
      </c>
      <c r="Z32" t="n">
        <v>224673.482488851</v>
      </c>
      <c r="AA32" t="n">
        <v>0</v>
      </c>
      <c r="AB32" t="n">
        <v>22263317.2132085</v>
      </c>
      <c r="AC32" t="n">
        <v>746522.50757562</v>
      </c>
      <c r="AD32" t="n">
        <v>845852.320154665</v>
      </c>
      <c r="AE32" t="n">
        <v>580469.663552428</v>
      </c>
      <c r="AF32" t="n">
        <v>16109314.3739846</v>
      </c>
      <c r="AG32" t="n">
        <v>4474.01030590914</v>
      </c>
      <c r="AH32" t="n">
        <v>12369.3753204056</v>
      </c>
      <c r="AI32" t="n">
        <v>0</v>
      </c>
      <c r="AJ32" t="n">
        <v>586446.872652598</v>
      </c>
      <c r="AK32" t="n">
        <v>197581.866301995</v>
      </c>
      <c r="AL32" t="n">
        <v>3619.28268828128</v>
      </c>
      <c r="AM32" t="n">
        <v>386220.646934262</v>
      </c>
      <c r="AN32" t="n">
        <v>29732.4680488242</v>
      </c>
      <c r="AO32" t="n">
        <v>3158727.8264287</v>
      </c>
      <c r="AP32" t="n">
        <v>414388.918801283</v>
      </c>
      <c r="AQ32" t="n">
        <v>464852.361650594</v>
      </c>
      <c r="AR32" t="n">
        <v>2204084.73942722</v>
      </c>
      <c r="AS32" t="n">
        <v>2114910.03753816</v>
      </c>
      <c r="AT32" t="n">
        <v>999217.876492943</v>
      </c>
      <c r="AU32" t="n">
        <v>11184055.7958741</v>
      </c>
      <c r="AV32" t="n">
        <v>0</v>
      </c>
      <c r="AW32" t="n">
        <v>0</v>
      </c>
      <c r="AX32" t="n">
        <v>193316.844721698</v>
      </c>
      <c r="AY32" t="n">
        <v>586262.602871579</v>
      </c>
      <c r="AZ32" t="n">
        <v>1204861.76224447</v>
      </c>
      <c r="BA32" t="n">
        <v>526295.274657462</v>
      </c>
      <c r="BB32" t="n">
        <v>10556411.6142092</v>
      </c>
      <c r="BC32" t="n">
        <v>2697969.42611969</v>
      </c>
      <c r="BD32" t="n">
        <v>5811167.51811683</v>
      </c>
      <c r="BE32" t="n">
        <v>48605.0036406841</v>
      </c>
      <c r="BF32" t="n">
        <v>2302443.40231728</v>
      </c>
      <c r="BG32" t="n">
        <v>4742317.66470461</v>
      </c>
      <c r="BH32" t="n">
        <v>18139011.1481876</v>
      </c>
      <c r="BI32" t="n">
        <v>663762.660306537</v>
      </c>
      <c r="BJ32" t="n">
        <v>7731766.93228428</v>
      </c>
      <c r="BK32" t="n">
        <v>1257914.39373208</v>
      </c>
      <c r="BL32" t="n">
        <v>661425.016470806</v>
      </c>
      <c r="BM32" t="n">
        <v>1781194.36413208</v>
      </c>
      <c r="BN32" t="n">
        <v>3029983.27065075</v>
      </c>
      <c r="BO32" t="n">
        <v>3148233.69813781</v>
      </c>
      <c r="BP32" t="n">
        <v>590519.213215127</v>
      </c>
      <c r="BQ32" t="n">
        <v>4539724.64541601</v>
      </c>
      <c r="BR32" t="n">
        <v>192870.024730914</v>
      </c>
      <c r="BS32" t="n">
        <v>21042999.646059</v>
      </c>
      <c r="BT32" t="n">
        <v>659742.115477834</v>
      </c>
      <c r="BU32" t="n">
        <v>8918730.44734386</v>
      </c>
      <c r="BV32" t="n">
        <v>0</v>
      </c>
      <c r="BW32" t="n">
        <v>0</v>
      </c>
      <c r="BX32" t="n">
        <v>0</v>
      </c>
      <c r="BY32" t="n">
        <v>0</v>
      </c>
      <c r="BZ32" t="n">
        <v>273085.670483428</v>
      </c>
      <c r="CA32" t="n">
        <v>1459528.0360833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4626585.35792769</v>
      </c>
      <c r="C33" t="n">
        <v>488834.818854061</v>
      </c>
      <c r="D33" t="n">
        <v>0</v>
      </c>
      <c r="E33" t="n">
        <v>491111.535271808</v>
      </c>
      <c r="F33" t="n">
        <v>5835.03165087427</v>
      </c>
      <c r="G33" t="n">
        <v>8431222.63128034</v>
      </c>
      <c r="H33" t="n">
        <v>24413492.1336244</v>
      </c>
      <c r="I33" t="n">
        <v>1434077.66364202</v>
      </c>
      <c r="J33" t="n">
        <v>265465.024149375</v>
      </c>
      <c r="K33" t="n">
        <v>126421.803760612</v>
      </c>
      <c r="L33" t="n">
        <v>575087.254808026</v>
      </c>
      <c r="M33" t="n">
        <v>266010.878035478</v>
      </c>
      <c r="N33" t="n">
        <v>57200.037566837</v>
      </c>
      <c r="O33" t="n">
        <v>82765.6436546034</v>
      </c>
      <c r="P33" t="n">
        <v>57536.1841095944</v>
      </c>
      <c r="Q33" t="n">
        <v>225993.920267081</v>
      </c>
      <c r="R33" t="n">
        <v>151241.230688283</v>
      </c>
      <c r="S33" t="n">
        <v>451567.451634289</v>
      </c>
      <c r="T33" t="n">
        <v>2394984.55427255</v>
      </c>
      <c r="U33" t="n">
        <v>87819.4134309174</v>
      </c>
      <c r="V33" t="n">
        <v>10165.8951754756</v>
      </c>
      <c r="W33" t="n">
        <v>3198684.39146997</v>
      </c>
      <c r="X33" t="n">
        <v>246378.593536658</v>
      </c>
      <c r="Y33" t="n">
        <v>3216730.73440703</v>
      </c>
      <c r="Z33" t="n">
        <v>3452981.10156973</v>
      </c>
      <c r="AA33" t="n">
        <v>524084.740506328</v>
      </c>
      <c r="AB33" t="n">
        <v>2729201.61607453</v>
      </c>
      <c r="AC33" t="n">
        <v>904810.401435709</v>
      </c>
      <c r="AD33" t="n">
        <v>692155.388513026</v>
      </c>
      <c r="AE33" t="n">
        <v>250113.571486146</v>
      </c>
      <c r="AF33" t="n">
        <v>1531253.50987739</v>
      </c>
      <c r="AG33" t="n">
        <v>3751488.91017604</v>
      </c>
      <c r="AH33" t="n">
        <v>1300920.49366786</v>
      </c>
      <c r="AI33" t="n">
        <v>468757.810993441</v>
      </c>
      <c r="AJ33" t="n">
        <v>13294579.1403553</v>
      </c>
      <c r="AK33" t="n">
        <v>1324746.13081817</v>
      </c>
      <c r="AL33" t="n">
        <v>29361.1878680659</v>
      </c>
      <c r="AM33" t="n">
        <v>4844876.15170375</v>
      </c>
      <c r="AN33" t="n">
        <v>2425977.35112674</v>
      </c>
      <c r="AO33" t="n">
        <v>98475.3171751331</v>
      </c>
      <c r="AP33" t="n">
        <v>16634.5216836823</v>
      </c>
      <c r="AQ33" t="n">
        <v>191158.371733179</v>
      </c>
      <c r="AR33" t="n">
        <v>110533.729128744</v>
      </c>
      <c r="AS33" t="n">
        <v>3106877.63724292</v>
      </c>
      <c r="AT33" t="n">
        <v>870525.168224526</v>
      </c>
      <c r="AU33" t="n">
        <v>72971.2094783715</v>
      </c>
      <c r="AV33" t="n">
        <v>420481.868036227</v>
      </c>
      <c r="AW33" t="n">
        <v>33540.2382376736</v>
      </c>
      <c r="AX33" t="n">
        <v>3231510.6702523</v>
      </c>
      <c r="AY33" t="n">
        <v>757877.866286925</v>
      </c>
      <c r="AZ33" t="n">
        <v>30556.1484193218</v>
      </c>
      <c r="BA33" t="n">
        <v>639352.195678813</v>
      </c>
      <c r="BB33" t="n">
        <v>1164246.64887511</v>
      </c>
      <c r="BC33" t="n">
        <v>641502.126960447</v>
      </c>
      <c r="BD33" t="n">
        <v>3595047.47015419</v>
      </c>
      <c r="BE33" t="n">
        <v>1360681.74944324</v>
      </c>
      <c r="BF33" t="n">
        <v>1139918.1903706</v>
      </c>
      <c r="BG33" t="n">
        <v>789287.39549308</v>
      </c>
      <c r="BH33" t="n">
        <v>1959200.87386736</v>
      </c>
      <c r="BI33" t="n">
        <v>1207182.07418345</v>
      </c>
      <c r="BJ33" t="n">
        <v>1165363.23781793</v>
      </c>
      <c r="BK33" t="n">
        <v>115877.618585385</v>
      </c>
      <c r="BL33" t="n">
        <v>762477.805634315</v>
      </c>
      <c r="BM33" t="n">
        <v>1126803.55339027</v>
      </c>
      <c r="BN33" t="n">
        <v>3449847.20695037</v>
      </c>
      <c r="BO33" t="n">
        <v>1761739.3131103</v>
      </c>
      <c r="BP33" t="n">
        <v>3159537.91335718</v>
      </c>
      <c r="BQ33" t="n">
        <v>893233.034324063</v>
      </c>
      <c r="BR33" t="n">
        <v>1544214.37110908</v>
      </c>
      <c r="BS33" t="n">
        <v>57001089.2255464</v>
      </c>
      <c r="BT33" t="n">
        <v>9096566.0659334</v>
      </c>
      <c r="BU33" t="n">
        <v>271707429.920275</v>
      </c>
      <c r="BV33" t="n">
        <v>0</v>
      </c>
      <c r="BW33" t="n">
        <v>0</v>
      </c>
      <c r="BX33" t="n">
        <v>0</v>
      </c>
      <c r="BY33" t="n">
        <v>0</v>
      </c>
      <c r="BZ33" t="n">
        <v>2168211.53440142</v>
      </c>
      <c r="CA33" t="n">
        <v>5566054.00578318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9103141.84189205</v>
      </c>
      <c r="C34" t="n">
        <v>1178359.68111193</v>
      </c>
      <c r="D34" t="n">
        <v>0</v>
      </c>
      <c r="E34" t="n">
        <v>159425.267911938</v>
      </c>
      <c r="F34" t="n">
        <v>2090.50216415162</v>
      </c>
      <c r="G34" t="n">
        <v>560504.782842513</v>
      </c>
      <c r="H34" t="n">
        <v>5109544.97724795</v>
      </c>
      <c r="I34" t="n">
        <v>4214459.71125692</v>
      </c>
      <c r="J34" t="n">
        <v>954138.343536519</v>
      </c>
      <c r="K34" t="n">
        <v>58401.3099972876</v>
      </c>
      <c r="L34" t="n">
        <v>2821464.51679342</v>
      </c>
      <c r="M34" t="n">
        <v>660101.65105757</v>
      </c>
      <c r="N34" t="n">
        <v>595002.768664003</v>
      </c>
      <c r="O34" t="n">
        <v>189286.821153591</v>
      </c>
      <c r="P34" t="n">
        <v>997458.962157721</v>
      </c>
      <c r="Q34" t="n">
        <v>1191790.54997105</v>
      </c>
      <c r="R34" t="n">
        <v>725223.114414009</v>
      </c>
      <c r="S34" t="n">
        <v>1760649.24469896</v>
      </c>
      <c r="T34" t="n">
        <v>3425962.99959111</v>
      </c>
      <c r="U34" t="n">
        <v>8956856.5795933</v>
      </c>
      <c r="V34" t="n">
        <v>113066.552731572</v>
      </c>
      <c r="W34" t="n">
        <v>15325737.852349</v>
      </c>
      <c r="X34" t="n">
        <v>1239854.55756896</v>
      </c>
      <c r="Y34" t="n">
        <v>4369157.96897044</v>
      </c>
      <c r="Z34" t="n">
        <v>44172772.996384</v>
      </c>
      <c r="AA34" t="n">
        <v>25781581.2328074</v>
      </c>
      <c r="AB34" t="n">
        <v>714640.099078398</v>
      </c>
      <c r="AC34" t="n">
        <v>116954.608109608</v>
      </c>
      <c r="AD34" t="n">
        <v>87279.0951913098</v>
      </c>
      <c r="AE34" t="n">
        <v>20011.5597556353</v>
      </c>
      <c r="AF34" t="n">
        <v>546070.247126248</v>
      </c>
      <c r="AG34" t="n">
        <v>241.742304410688</v>
      </c>
      <c r="AH34" t="n">
        <v>52665.9184628926</v>
      </c>
      <c r="AI34" t="n">
        <v>347.669374795692</v>
      </c>
      <c r="AJ34" t="n">
        <v>109439.615286234</v>
      </c>
      <c r="AK34" t="n">
        <v>8388.17360778345</v>
      </c>
      <c r="AL34" t="n">
        <v>293.338753452325</v>
      </c>
      <c r="AM34" t="n">
        <v>15356.0635923691</v>
      </c>
      <c r="AN34" t="n">
        <v>169220.302201299</v>
      </c>
      <c r="AO34" t="n">
        <v>76486.3888034499</v>
      </c>
      <c r="AP34" t="n">
        <v>27713.0769141251</v>
      </c>
      <c r="AQ34" t="n">
        <v>105926.241395603</v>
      </c>
      <c r="AR34" t="n">
        <v>110594.209774106</v>
      </c>
      <c r="AS34" t="n">
        <v>23297.4594359396</v>
      </c>
      <c r="AT34" t="n">
        <v>9414.17897430286</v>
      </c>
      <c r="AU34" t="n">
        <v>39421.8005615394</v>
      </c>
      <c r="AV34" t="n">
        <v>0</v>
      </c>
      <c r="AW34" t="n">
        <v>242868.722274194</v>
      </c>
      <c r="AX34" t="n">
        <v>2633459.55855021</v>
      </c>
      <c r="AY34" t="n">
        <v>43960.3055196376</v>
      </c>
      <c r="AZ34" t="n">
        <v>32602.4789107115</v>
      </c>
      <c r="BA34" t="n">
        <v>89642.7464153711</v>
      </c>
      <c r="BB34" t="n">
        <v>4106977.32950128</v>
      </c>
      <c r="BC34" t="n">
        <v>383135.116869276</v>
      </c>
      <c r="BD34" t="n">
        <v>4233156.86063664</v>
      </c>
      <c r="BE34" t="n">
        <v>1033693.40936407</v>
      </c>
      <c r="BF34" t="n">
        <v>486453.520803089</v>
      </c>
      <c r="BG34" t="n">
        <v>19122575.1875741</v>
      </c>
      <c r="BH34" t="n">
        <v>16527048.4515035</v>
      </c>
      <c r="BI34" t="n">
        <v>4354681.69877302</v>
      </c>
      <c r="BJ34" t="n">
        <v>485396.666157854</v>
      </c>
      <c r="BK34" t="n">
        <v>168625.304987127</v>
      </c>
      <c r="BL34" t="n">
        <v>583967.054788353</v>
      </c>
      <c r="BM34" t="n">
        <v>83775.8730790989</v>
      </c>
      <c r="BN34" t="n">
        <v>423954.44442155</v>
      </c>
      <c r="BO34" t="n">
        <v>2716001.76603812</v>
      </c>
      <c r="BP34" t="n">
        <v>408675.366473635</v>
      </c>
      <c r="BQ34" t="n">
        <v>1559975.78547284</v>
      </c>
      <c r="BR34" t="n">
        <v>53386.1262900713</v>
      </c>
      <c r="BS34" t="n">
        <v>13544466.3612539</v>
      </c>
      <c r="BT34" t="n">
        <v>824960.218073834</v>
      </c>
      <c r="BU34" t="n">
        <v>137795643.894218</v>
      </c>
      <c r="BV34" t="n">
        <v>0</v>
      </c>
      <c r="BW34" t="n">
        <v>180357.355287411</v>
      </c>
      <c r="BX34" t="n">
        <v>0</v>
      </c>
      <c r="BY34" t="n">
        <v>0</v>
      </c>
      <c r="BZ34" t="n">
        <v>14611133.9734834</v>
      </c>
      <c r="CA34" t="n">
        <v>96345039.6296082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1370177.96262266</v>
      </c>
      <c r="C35" t="n">
        <v>160433.374876865</v>
      </c>
      <c r="D35" t="n">
        <v>0</v>
      </c>
      <c r="E35" t="n">
        <v>178243.248265841</v>
      </c>
      <c r="F35" t="n">
        <v>1828.92880810677</v>
      </c>
      <c r="G35" t="n">
        <v>15355.4340737989</v>
      </c>
      <c r="H35" t="n">
        <v>20117448.2037656</v>
      </c>
      <c r="I35" t="n">
        <v>2129307.87953979</v>
      </c>
      <c r="J35" t="n">
        <v>528401.093859425</v>
      </c>
      <c r="K35" t="n">
        <v>47227.8775044729</v>
      </c>
      <c r="L35" t="n">
        <v>2031241.01080312</v>
      </c>
      <c r="M35" t="n">
        <v>3975024.19603813</v>
      </c>
      <c r="N35" t="n">
        <v>1416196.39300876</v>
      </c>
      <c r="O35" t="n">
        <v>347806.682098864</v>
      </c>
      <c r="P35" t="n">
        <v>3206568.29335647</v>
      </c>
      <c r="Q35" t="n">
        <v>5555790.36169707</v>
      </c>
      <c r="R35" t="n">
        <v>1891785.30272828</v>
      </c>
      <c r="S35" t="n">
        <v>2623792.25387543</v>
      </c>
      <c r="T35" t="n">
        <v>20176932.5406598</v>
      </c>
      <c r="U35" t="n">
        <v>654732.745482601</v>
      </c>
      <c r="V35" t="n">
        <v>185540.954570841</v>
      </c>
      <c r="W35" t="n">
        <v>10613787.6408124</v>
      </c>
      <c r="X35" t="n">
        <v>1262544.35156919</v>
      </c>
      <c r="Y35" t="n">
        <v>119133.126633126</v>
      </c>
      <c r="Z35" t="n">
        <v>5745891.10432524</v>
      </c>
      <c r="AA35" t="n">
        <v>18337597.0077817</v>
      </c>
      <c r="AB35" t="n">
        <v>16543611.3027711</v>
      </c>
      <c r="AC35" t="n">
        <v>1574325.05333767</v>
      </c>
      <c r="AD35" t="n">
        <v>3283060.87332239</v>
      </c>
      <c r="AE35" t="n">
        <v>595615.199437328</v>
      </c>
      <c r="AF35" t="n">
        <v>4805433.58725253</v>
      </c>
      <c r="AG35" t="n">
        <v>2792.13257119347</v>
      </c>
      <c r="AH35" t="n">
        <v>2573.15274634078</v>
      </c>
      <c r="AI35" t="n">
        <v>0</v>
      </c>
      <c r="AJ35" t="n">
        <v>773896.90451275</v>
      </c>
      <c r="AK35" t="n">
        <v>30092.6693346075</v>
      </c>
      <c r="AL35" t="n">
        <v>12987.6149644803</v>
      </c>
      <c r="AM35" t="n">
        <v>1471962.16541969</v>
      </c>
      <c r="AN35" t="n">
        <v>228849.772429258</v>
      </c>
      <c r="AO35" t="n">
        <v>76547.4988158023</v>
      </c>
      <c r="AP35" t="n">
        <v>17629.9742513108</v>
      </c>
      <c r="AQ35" t="n">
        <v>2356649.36760011</v>
      </c>
      <c r="AR35" t="n">
        <v>138370.088378628</v>
      </c>
      <c r="AS35" t="n">
        <v>42156.8880597726</v>
      </c>
      <c r="AT35" t="n">
        <v>39144.2817232122</v>
      </c>
      <c r="AU35" t="n">
        <v>1025742.11473959</v>
      </c>
      <c r="AV35" t="n">
        <v>0</v>
      </c>
      <c r="AW35" t="n">
        <v>13453.9220107659</v>
      </c>
      <c r="AX35" t="n">
        <v>103856.076087158</v>
      </c>
      <c r="AY35" t="n">
        <v>732991.959845332</v>
      </c>
      <c r="AZ35" t="n">
        <v>16683.0308490788</v>
      </c>
      <c r="BA35" t="n">
        <v>1484910.49143338</v>
      </c>
      <c r="BB35" t="n">
        <v>5156587.50025142</v>
      </c>
      <c r="BC35" t="n">
        <v>100736.824554553</v>
      </c>
      <c r="BD35" t="n">
        <v>1994229.99156608</v>
      </c>
      <c r="BE35" t="n">
        <v>581051.714167743</v>
      </c>
      <c r="BF35" t="n">
        <v>560708.389135107</v>
      </c>
      <c r="BG35" t="n">
        <v>10146047.9290598</v>
      </c>
      <c r="BH35" t="n">
        <v>8070299.55481742</v>
      </c>
      <c r="BI35" t="n">
        <v>3552218.04049896</v>
      </c>
      <c r="BJ35" t="n">
        <v>2286120.10889754</v>
      </c>
      <c r="BK35" t="n">
        <v>37601.9690479752</v>
      </c>
      <c r="BL35" t="n">
        <v>305457.920781685</v>
      </c>
      <c r="BM35" t="n">
        <v>291820.227185061</v>
      </c>
      <c r="BN35" t="n">
        <v>9916777.89657416</v>
      </c>
      <c r="BO35" t="n">
        <v>3154148.5576873</v>
      </c>
      <c r="BP35" t="n">
        <v>1369788.06285233</v>
      </c>
      <c r="BQ35" t="n">
        <v>843718.882880383</v>
      </c>
      <c r="BR35" t="n">
        <v>19709.050932561</v>
      </c>
      <c r="BS35" t="n">
        <v>7899736.80150043</v>
      </c>
      <c r="BT35" t="n">
        <v>2499464.30569405</v>
      </c>
      <c r="BU35" t="n">
        <v>29214231.2529735</v>
      </c>
      <c r="BV35" t="n">
        <v>0</v>
      </c>
      <c r="BW35" t="n">
        <v>344775.497322628</v>
      </c>
      <c r="BX35" t="n">
        <v>0</v>
      </c>
      <c r="BY35" t="n">
        <v>56038.4963637317</v>
      </c>
      <c r="BZ35" t="n">
        <v>3729726.21212015</v>
      </c>
      <c r="CA35" t="n">
        <v>27508306.1443762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1334.0550146383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31526236.3730988</v>
      </c>
      <c r="C36" t="n">
        <v>4073840.85808797</v>
      </c>
      <c r="D36" t="n">
        <v>0</v>
      </c>
      <c r="E36" t="n">
        <v>800934.060298821</v>
      </c>
      <c r="F36" t="n">
        <v>9852.6088746331</v>
      </c>
      <c r="G36" t="n">
        <v>5591263.07788833</v>
      </c>
      <c r="H36" t="n">
        <v>63412370.9221144</v>
      </c>
      <c r="I36" t="n">
        <v>21544296.7142889</v>
      </c>
      <c r="J36" t="n">
        <v>3504712.14054937</v>
      </c>
      <c r="K36" t="n">
        <v>2195202.38548161</v>
      </c>
      <c r="L36" t="n">
        <v>17687968.6386271</v>
      </c>
      <c r="M36" t="n">
        <v>12578219.9647088</v>
      </c>
      <c r="N36" t="n">
        <v>5853860.19917826</v>
      </c>
      <c r="O36" t="n">
        <v>1512123.54306444</v>
      </c>
      <c r="P36" t="n">
        <v>10127119.4361515</v>
      </c>
      <c r="Q36" t="n">
        <v>21195559.356233</v>
      </c>
      <c r="R36" t="n">
        <v>3606343.45731243</v>
      </c>
      <c r="S36" t="n">
        <v>4916975.01223655</v>
      </c>
      <c r="T36" t="n">
        <v>78331291.4885514</v>
      </c>
      <c r="U36" t="n">
        <v>5368734.72866706</v>
      </c>
      <c r="V36" t="n">
        <v>2701250.03069072</v>
      </c>
      <c r="W36" t="n">
        <v>47449321.8062468</v>
      </c>
      <c r="X36" t="n">
        <v>2532474.29206431</v>
      </c>
      <c r="Y36" t="n">
        <v>4685465.45188759</v>
      </c>
      <c r="Z36" t="n">
        <v>32155689.3119106</v>
      </c>
      <c r="AA36" t="n">
        <v>15834144.0825361</v>
      </c>
      <c r="AB36" t="n">
        <v>44697266.2959143</v>
      </c>
      <c r="AC36" t="n">
        <v>5511589.21341003</v>
      </c>
      <c r="AD36" t="n">
        <v>4935616.13625717</v>
      </c>
      <c r="AE36" t="n">
        <v>3294644.228044</v>
      </c>
      <c r="AF36" t="n">
        <v>19028588.6648503</v>
      </c>
      <c r="AG36" t="n">
        <v>748994.912161817</v>
      </c>
      <c r="AH36" t="n">
        <v>1023697.51349427</v>
      </c>
      <c r="AI36" t="n">
        <v>312652.864046726</v>
      </c>
      <c r="AJ36" t="n">
        <v>8333293.64220316</v>
      </c>
      <c r="AK36" t="n">
        <v>888598.018590176</v>
      </c>
      <c r="AL36" t="n">
        <v>94902.4894884331</v>
      </c>
      <c r="AM36" t="n">
        <v>3465571.44690798</v>
      </c>
      <c r="AN36" t="n">
        <v>2249618.59237231</v>
      </c>
      <c r="AO36" t="n">
        <v>3198473.6391661</v>
      </c>
      <c r="AP36" t="n">
        <v>79124.1198238186</v>
      </c>
      <c r="AQ36" t="n">
        <v>5500421.59500341</v>
      </c>
      <c r="AR36" t="n">
        <v>753674.651426727</v>
      </c>
      <c r="AS36" t="n">
        <v>1797271.87048945</v>
      </c>
      <c r="AT36" t="n">
        <v>554895.820947825</v>
      </c>
      <c r="AU36" t="n">
        <v>1211431.16801983</v>
      </c>
      <c r="AV36" t="n">
        <v>491413.575298299</v>
      </c>
      <c r="AW36" t="n">
        <v>708749.891801225</v>
      </c>
      <c r="AX36" t="n">
        <v>4063959.23992229</v>
      </c>
      <c r="AY36" t="n">
        <v>7527528.96729152</v>
      </c>
      <c r="AZ36" t="n">
        <v>398111.574014606</v>
      </c>
      <c r="BA36" t="n">
        <v>2616752.37963846</v>
      </c>
      <c r="BB36" t="n">
        <v>13236044.2886946</v>
      </c>
      <c r="BC36" t="n">
        <v>3977110.1567809</v>
      </c>
      <c r="BD36" t="n">
        <v>10334835.6672038</v>
      </c>
      <c r="BE36" t="n">
        <v>3948204.11256454</v>
      </c>
      <c r="BF36" t="n">
        <v>3618457.0702908</v>
      </c>
      <c r="BG36" t="n">
        <v>27033754.1390509</v>
      </c>
      <c r="BH36" t="n">
        <v>31333491.82164</v>
      </c>
      <c r="BI36" t="n">
        <v>6810704.743226</v>
      </c>
      <c r="BJ36" t="n">
        <v>8736076.36050255</v>
      </c>
      <c r="BK36" t="n">
        <v>455709.001655937</v>
      </c>
      <c r="BL36" t="n">
        <v>4128692.10842951</v>
      </c>
      <c r="BM36" t="n">
        <v>6353695.60374082</v>
      </c>
      <c r="BN36" t="n">
        <v>30591618.3935712</v>
      </c>
      <c r="BO36" t="n">
        <v>10789965.6001377</v>
      </c>
      <c r="BP36" t="n">
        <v>5801502.64895227</v>
      </c>
      <c r="BQ36" t="n">
        <v>5196737.13037521</v>
      </c>
      <c r="BR36" t="n">
        <v>2105663.10081196</v>
      </c>
      <c r="BS36" t="n">
        <v>37311247.0823045</v>
      </c>
      <c r="BT36" t="n">
        <v>7568482.7846818</v>
      </c>
      <c r="BU36" t="n">
        <v>696189700.705634</v>
      </c>
      <c r="BV36" t="n">
        <v>74138.9283160683</v>
      </c>
      <c r="BW36" t="n">
        <v>171164851.064944</v>
      </c>
      <c r="BX36" t="n">
        <v>19758854.587243</v>
      </c>
      <c r="BY36" t="n">
        <v>4742320.01301607</v>
      </c>
      <c r="BZ36" t="n">
        <v>26333577.0384189</v>
      </c>
      <c r="CA36" t="n">
        <v>595210128.49934</v>
      </c>
      <c r="CB36" t="n">
        <v>0</v>
      </c>
      <c r="CC36" t="n">
        <v>0</v>
      </c>
      <c r="CD36" t="n">
        <v>0</v>
      </c>
      <c r="CE36" t="n">
        <v>62950132.8590927</v>
      </c>
      <c r="CF36" t="n">
        <v>5566780.38075402</v>
      </c>
      <c r="CG36" t="n">
        <v>0</v>
      </c>
      <c r="CH36" t="n">
        <v>0</v>
      </c>
      <c r="CI36" t="n">
        <v>65299.6751650546</v>
      </c>
      <c r="CJ36" t="n">
        <v>0</v>
      </c>
      <c r="CK36" t="n">
        <v>0</v>
      </c>
      <c r="CL36" t="n">
        <v>0</v>
      </c>
      <c r="CM36" t="n">
        <v>7372873.10884856</v>
      </c>
      <c r="CN36" t="n">
        <v>1675046.95650644</v>
      </c>
    </row>
    <row r="37">
      <c r="A37" t="s">
        <v>148</v>
      </c>
      <c r="B37" t="n">
        <v>37209.4920957773</v>
      </c>
      <c r="C37" t="n">
        <v>13387.0386166121</v>
      </c>
      <c r="D37" t="n">
        <v>0</v>
      </c>
      <c r="E37" t="n">
        <v>117305.953630949</v>
      </c>
      <c r="F37" t="n">
        <v>1576.00481318586</v>
      </c>
      <c r="G37" t="n">
        <v>43051.78590826</v>
      </c>
      <c r="H37" t="n">
        <v>5409054.8491593</v>
      </c>
      <c r="I37" t="n">
        <v>2420921.13854359</v>
      </c>
      <c r="J37" t="n">
        <v>283595.633968517</v>
      </c>
      <c r="K37" t="n">
        <v>33925.4470404236</v>
      </c>
      <c r="L37" t="n">
        <v>1205712.34229606</v>
      </c>
      <c r="M37" t="n">
        <v>3064031.80759134</v>
      </c>
      <c r="N37" t="n">
        <v>242995.335982998</v>
      </c>
      <c r="O37" t="n">
        <v>1777.86656022883</v>
      </c>
      <c r="P37" t="n">
        <v>1879102.96436947</v>
      </c>
      <c r="Q37" t="n">
        <v>3265877.59243411</v>
      </c>
      <c r="R37" t="n">
        <v>243585.439769388</v>
      </c>
      <c r="S37" t="n">
        <v>495757.20452415</v>
      </c>
      <c r="T37" t="n">
        <v>4741011.4852221</v>
      </c>
      <c r="U37" t="n">
        <v>108556.182996316</v>
      </c>
      <c r="V37" t="n">
        <v>0</v>
      </c>
      <c r="W37" t="n">
        <v>4050956.69358427</v>
      </c>
      <c r="X37" t="n">
        <v>81641.4530780275</v>
      </c>
      <c r="Y37" t="n">
        <v>2142.93188244013</v>
      </c>
      <c r="Z37" t="n">
        <v>956868.557727493</v>
      </c>
      <c r="AA37" t="n">
        <v>441418.14365042</v>
      </c>
      <c r="AB37" t="n">
        <v>287177.897457726</v>
      </c>
      <c r="AC37" t="n">
        <v>5380810.44639472</v>
      </c>
      <c r="AD37" t="n">
        <v>3607934.22882206</v>
      </c>
      <c r="AE37" t="n">
        <v>502933.37870274</v>
      </c>
      <c r="AF37" t="n">
        <v>5045221.43459751</v>
      </c>
      <c r="AG37" t="n">
        <v>0</v>
      </c>
      <c r="AH37" t="n">
        <v>12367.3840557745</v>
      </c>
      <c r="AI37" t="n">
        <v>0</v>
      </c>
      <c r="AJ37" t="n">
        <v>4036016.412553</v>
      </c>
      <c r="AK37" t="n">
        <v>13228.7985865724</v>
      </c>
      <c r="AL37" t="n">
        <v>565.421881826827</v>
      </c>
      <c r="AM37" t="n">
        <v>25045.6556005361</v>
      </c>
      <c r="AN37" t="n">
        <v>161024.942074417</v>
      </c>
      <c r="AO37" t="n">
        <v>57486.1615355812</v>
      </c>
      <c r="AP37" t="n">
        <v>25448.0772488567</v>
      </c>
      <c r="AQ37" t="n">
        <v>103283.89513706</v>
      </c>
      <c r="AR37" t="n">
        <v>8190.27472104724</v>
      </c>
      <c r="AS37" t="n">
        <v>118553.849604575</v>
      </c>
      <c r="AT37" t="n">
        <v>7621.40271655378</v>
      </c>
      <c r="AU37" t="n">
        <v>53190.9400899909</v>
      </c>
      <c r="AV37" t="n">
        <v>0</v>
      </c>
      <c r="AW37" t="n">
        <v>333422.690705409</v>
      </c>
      <c r="AX37" t="n">
        <v>588770.833756128</v>
      </c>
      <c r="AY37" t="n">
        <v>1050467.28971963</v>
      </c>
      <c r="AZ37" t="n">
        <v>0</v>
      </c>
      <c r="BA37" t="n">
        <v>54450.5949743308</v>
      </c>
      <c r="BB37" t="n">
        <v>1212905.36250362</v>
      </c>
      <c r="BC37" t="n">
        <v>0</v>
      </c>
      <c r="BD37" t="n">
        <v>7753006.46216769</v>
      </c>
      <c r="BE37" t="n">
        <v>263234.719799103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11525.9520742444</v>
      </c>
      <c r="BL37" t="n">
        <v>74398.3355243409</v>
      </c>
      <c r="BM37" t="n">
        <v>190317.200465973</v>
      </c>
      <c r="BN37" t="n">
        <v>543388.374114105</v>
      </c>
      <c r="BO37" t="n">
        <v>10162056.9869251</v>
      </c>
      <c r="BP37" t="n">
        <v>0</v>
      </c>
      <c r="BQ37" t="n">
        <v>0</v>
      </c>
      <c r="BR37" t="n">
        <v>0</v>
      </c>
      <c r="BS37" t="n">
        <v>0</v>
      </c>
      <c r="BT37" t="n">
        <v>6391.82081318184</v>
      </c>
      <c r="BU37" t="n">
        <v>1235417185.97579</v>
      </c>
      <c r="BV37" t="n">
        <v>0</v>
      </c>
      <c r="BW37" t="n">
        <v>132946895.462873</v>
      </c>
      <c r="BX37" t="n">
        <v>0</v>
      </c>
      <c r="BY37" t="n">
        <v>28288.2176650247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143113.431137605</v>
      </c>
      <c r="C38" t="n">
        <v>0</v>
      </c>
      <c r="D38" t="n">
        <v>0</v>
      </c>
      <c r="E38" t="n">
        <v>0</v>
      </c>
      <c r="F38" t="n">
        <v>0</v>
      </c>
      <c r="G38" t="n">
        <v>249085.332754933</v>
      </c>
      <c r="H38" t="n">
        <v>541164.415258159</v>
      </c>
      <c r="I38" t="n">
        <v>0</v>
      </c>
      <c r="J38" t="n">
        <v>4232.77065624653</v>
      </c>
      <c r="K38" t="n">
        <v>0</v>
      </c>
      <c r="L38" t="n">
        <v>6969.43550460152</v>
      </c>
      <c r="M38" t="n">
        <v>25849.5371844039</v>
      </c>
      <c r="N38" t="n">
        <v>1760.83576799274</v>
      </c>
      <c r="O38" t="n">
        <v>1185.24437348589</v>
      </c>
      <c r="P38" t="n">
        <v>4644.06046183371</v>
      </c>
      <c r="Q38" t="n">
        <v>0</v>
      </c>
      <c r="R38" t="n">
        <v>12555.9505035767</v>
      </c>
      <c r="S38" t="n">
        <v>22168.0050803482</v>
      </c>
      <c r="T38" t="n">
        <v>49202.4913218009</v>
      </c>
      <c r="U38" t="n">
        <v>0</v>
      </c>
      <c r="V38" t="n">
        <v>0</v>
      </c>
      <c r="W38" t="n">
        <v>13109.8922122468</v>
      </c>
      <c r="X38" t="n">
        <v>34635.7679724965</v>
      </c>
      <c r="Y38" t="n">
        <v>2857.24250992017</v>
      </c>
      <c r="Z38" t="n">
        <v>110158.682718064</v>
      </c>
      <c r="AA38" t="n">
        <v>3175.67009820446</v>
      </c>
      <c r="AB38" t="n">
        <v>22974.2317966181</v>
      </c>
      <c r="AC38" t="n">
        <v>54301.7567984788</v>
      </c>
      <c r="AD38" t="n">
        <v>150046.414053092</v>
      </c>
      <c r="AE38" t="n">
        <v>40056.6407816342</v>
      </c>
      <c r="AF38" t="n">
        <v>182023.67528744</v>
      </c>
      <c r="AG38" t="n">
        <v>0</v>
      </c>
      <c r="AH38" t="n">
        <v>6183.69202788724</v>
      </c>
      <c r="AI38" t="n">
        <v>0</v>
      </c>
      <c r="AJ38" t="n">
        <v>674821.944178862</v>
      </c>
      <c r="AK38" t="n">
        <v>61734.3934040047</v>
      </c>
      <c r="AL38" t="n">
        <v>0</v>
      </c>
      <c r="AM38" t="n">
        <v>77413.8445834751</v>
      </c>
      <c r="AN38" t="n">
        <v>0</v>
      </c>
      <c r="AO38" t="n">
        <v>1173.1869701139</v>
      </c>
      <c r="AP38" t="n">
        <v>0</v>
      </c>
      <c r="AQ38" t="n">
        <v>0</v>
      </c>
      <c r="AR38" t="n">
        <v>1365.04578684121</v>
      </c>
      <c r="AS38" t="n">
        <v>10777.622691325</v>
      </c>
      <c r="AT38" t="n">
        <v>3266.31544995162</v>
      </c>
      <c r="AU38" t="n">
        <v>3799.35286357078</v>
      </c>
      <c r="AV38" t="n">
        <v>0</v>
      </c>
      <c r="AW38" t="n">
        <v>262696.665404262</v>
      </c>
      <c r="AX38" t="n">
        <v>51605.4117236446</v>
      </c>
      <c r="AY38" t="n">
        <v>5607.47663551402</v>
      </c>
      <c r="AZ38" t="n">
        <v>0</v>
      </c>
      <c r="BA38" t="n">
        <v>2178.02379897323</v>
      </c>
      <c r="BB38" t="n">
        <v>12177.7646837713</v>
      </c>
      <c r="BC38" t="n">
        <v>0</v>
      </c>
      <c r="BD38" t="n">
        <v>218846.625766871</v>
      </c>
      <c r="BE38" t="n">
        <v>0</v>
      </c>
      <c r="BF38" t="n">
        <v>38769.9377310113</v>
      </c>
      <c r="BG38" t="n">
        <v>7531.05817991982</v>
      </c>
      <c r="BH38" t="n">
        <v>31706.4529155841</v>
      </c>
      <c r="BI38" t="n">
        <v>6690.07868455563</v>
      </c>
      <c r="BJ38" t="n">
        <v>5547.16005010075</v>
      </c>
      <c r="BK38" t="n">
        <v>18441.523318791</v>
      </c>
      <c r="BL38" t="n">
        <v>70265.0946618775</v>
      </c>
      <c r="BM38" t="n">
        <v>213385.952037606</v>
      </c>
      <c r="BN38" t="n">
        <v>5593951.63429094</v>
      </c>
      <c r="BO38" t="n">
        <v>85895.1500845429</v>
      </c>
      <c r="BP38" t="n">
        <v>0</v>
      </c>
      <c r="BQ38" t="n">
        <v>0</v>
      </c>
      <c r="BR38" t="n">
        <v>0</v>
      </c>
      <c r="BS38" t="n">
        <v>71563.3063657066</v>
      </c>
      <c r="BT38" t="n">
        <v>0</v>
      </c>
      <c r="BU38" t="n">
        <v>1249358401.73391</v>
      </c>
      <c r="BV38" t="n">
        <v>0</v>
      </c>
      <c r="BW38" t="n">
        <v>1598522.35446366</v>
      </c>
      <c r="BX38" t="n">
        <v>6773.3998070494</v>
      </c>
      <c r="BY38" t="n">
        <v>40428.3856497399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1670.10941379842</v>
      </c>
      <c r="C39" t="n">
        <v>0</v>
      </c>
      <c r="D39" t="n">
        <v>0</v>
      </c>
      <c r="E39" t="n">
        <v>22.2685066179009</v>
      </c>
      <c r="F39" t="n">
        <v>0.272435157175645</v>
      </c>
      <c r="G39" t="n">
        <v>2800.21230496061</v>
      </c>
      <c r="H39" t="n">
        <v>17798.1122630217</v>
      </c>
      <c r="I39" t="n">
        <v>600.781247401736</v>
      </c>
      <c r="J39" t="n">
        <v>102.90773757883</v>
      </c>
      <c r="K39" t="n">
        <v>6.81653236983687</v>
      </c>
      <c r="L39" t="n">
        <v>338.883865073905</v>
      </c>
      <c r="M39" t="n">
        <v>1089.32671188174</v>
      </c>
      <c r="N39" t="n">
        <v>93.4029731426511</v>
      </c>
      <c r="O39" t="n">
        <v>28.8158340857594</v>
      </c>
      <c r="P39" t="n">
        <v>433.665812033159</v>
      </c>
      <c r="Q39" t="n">
        <v>559.780836831653</v>
      </c>
      <c r="R39" t="n">
        <v>344.113640034797</v>
      </c>
      <c r="S39" t="n">
        <v>579.039094849078</v>
      </c>
      <c r="T39" t="n">
        <v>1910.84197284279</v>
      </c>
      <c r="U39" t="n">
        <v>84.6812969458455</v>
      </c>
      <c r="V39" t="n">
        <v>0</v>
      </c>
      <c r="W39" t="n">
        <v>985.164254187752</v>
      </c>
      <c r="X39" t="n">
        <v>513.99068330228</v>
      </c>
      <c r="Y39" t="n">
        <v>25.2602533284841</v>
      </c>
      <c r="Z39" t="n">
        <v>1403.54549868946</v>
      </c>
      <c r="AA39" t="n">
        <v>168.452410090828</v>
      </c>
      <c r="AB39" t="n">
        <v>380.831505285472</v>
      </c>
      <c r="AC39" t="n">
        <v>1920.27960965712</v>
      </c>
      <c r="AD39" t="n">
        <v>1386.82408249473</v>
      </c>
      <c r="AE39" t="n">
        <v>216.4139762825</v>
      </c>
      <c r="AF39" t="n">
        <v>2029.03080084747</v>
      </c>
      <c r="AG39" t="n">
        <v>0</v>
      </c>
      <c r="AH39" t="n">
        <v>82.002994103985</v>
      </c>
      <c r="AI39" t="n">
        <v>2.96230798522545</v>
      </c>
      <c r="AJ39" t="n">
        <v>8477.93258276604</v>
      </c>
      <c r="AK39" t="n">
        <v>701.717412578288</v>
      </c>
      <c r="AL39" t="n">
        <v>2.49938532043136</v>
      </c>
      <c r="AM39" t="n">
        <v>905.821932010349</v>
      </c>
      <c r="AN39" t="n">
        <v>27.3766564931186</v>
      </c>
      <c r="AO39" t="n">
        <v>25.9297206693718</v>
      </c>
      <c r="AP39" t="n">
        <v>6.08056379247252</v>
      </c>
      <c r="AQ39" t="n">
        <v>19.023129722513</v>
      </c>
      <c r="AR39" t="n">
        <v>15.0850873967083</v>
      </c>
      <c r="AS39" t="n">
        <v>178.654864688026</v>
      </c>
      <c r="AT39" t="n">
        <v>38.502369763881</v>
      </c>
      <c r="AU39" t="n">
        <v>50.38386599224</v>
      </c>
      <c r="AV39" t="n">
        <v>0</v>
      </c>
      <c r="AW39" t="n">
        <v>6029.42064460071</v>
      </c>
      <c r="AX39" t="n">
        <v>1627.91911250136</v>
      </c>
      <c r="AY39" t="n">
        <v>388.333340810127</v>
      </c>
      <c r="AZ39" t="n">
        <v>10.5489336013707</v>
      </c>
      <c r="BA39" t="n">
        <v>38.5108598423229</v>
      </c>
      <c r="BB39" t="n">
        <v>409.111580592518</v>
      </c>
      <c r="BC39" t="n">
        <v>0</v>
      </c>
      <c r="BD39" t="n">
        <v>4230.70786976343</v>
      </c>
      <c r="BE39" t="n">
        <v>53.7046229596299</v>
      </c>
      <c r="BF39" t="n">
        <v>971.143422877702</v>
      </c>
      <c r="BG39" t="n">
        <v>166.45107721504</v>
      </c>
      <c r="BH39" t="n">
        <v>224.247827761091</v>
      </c>
      <c r="BI39" t="n">
        <v>29.572757960277</v>
      </c>
      <c r="BJ39" t="n">
        <v>73.5618350381675</v>
      </c>
      <c r="BK39" t="n">
        <v>40.7593640702922</v>
      </c>
      <c r="BL39" t="n">
        <v>127.893760546544</v>
      </c>
      <c r="BM39" t="n">
        <v>1555.08645597708</v>
      </c>
      <c r="BN39" t="n">
        <v>5455.67957838544</v>
      </c>
      <c r="BO39" t="n">
        <v>3753.09036547319</v>
      </c>
      <c r="BP39" t="n">
        <v>0</v>
      </c>
      <c r="BQ39" t="n">
        <v>61.2208816779413</v>
      </c>
      <c r="BR39" t="n">
        <v>0</v>
      </c>
      <c r="BS39" t="n">
        <v>347.971508491135</v>
      </c>
      <c r="BT39" t="n">
        <v>0</v>
      </c>
      <c r="BU39" t="n">
        <v>3384021.53357523</v>
      </c>
      <c r="BV39" t="n">
        <v>0</v>
      </c>
      <c r="BW39" t="n">
        <v>38727.5497408354</v>
      </c>
      <c r="BX39" t="n">
        <v>10375.5443553903</v>
      </c>
      <c r="BY39" t="n">
        <v>2787.09629136312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4493469.52071886</v>
      </c>
      <c r="C40" t="n">
        <v>155676.177095557</v>
      </c>
      <c r="D40" t="n">
        <v>0</v>
      </c>
      <c r="E40" t="n">
        <v>89966.0299664105</v>
      </c>
      <c r="F40" t="n">
        <v>170.643951856437</v>
      </c>
      <c r="G40" t="n">
        <v>8287442.36390564</v>
      </c>
      <c r="H40" t="n">
        <v>197659060.517555</v>
      </c>
      <c r="I40" t="n">
        <v>3160992.04483696</v>
      </c>
      <c r="J40" t="n">
        <v>34865.8341091629</v>
      </c>
      <c r="K40" t="n">
        <v>7098.27636002911</v>
      </c>
      <c r="L40" t="n">
        <v>466018.427594085</v>
      </c>
      <c r="M40" t="n">
        <v>1815296.00882997</v>
      </c>
      <c r="N40" t="n">
        <v>155280.399522543</v>
      </c>
      <c r="O40" t="n">
        <v>73509.6360084044</v>
      </c>
      <c r="P40" t="n">
        <v>475920.746664652</v>
      </c>
      <c r="Q40" t="n">
        <v>368158.7057955</v>
      </c>
      <c r="R40" t="n">
        <v>798196.520652091</v>
      </c>
      <c r="S40" t="n">
        <v>1335815.33508825</v>
      </c>
      <c r="T40" t="n">
        <v>3381930.68511069</v>
      </c>
      <c r="U40" t="n">
        <v>266091.189306693</v>
      </c>
      <c r="V40" t="n">
        <v>10386.8805320941</v>
      </c>
      <c r="W40" t="n">
        <v>1206921.7734761</v>
      </c>
      <c r="X40" t="n">
        <v>2052234.32205628</v>
      </c>
      <c r="Y40" t="n">
        <v>202127.944246476</v>
      </c>
      <c r="Z40" t="n">
        <v>6792343.72205829</v>
      </c>
      <c r="AA40" t="n">
        <v>310823.001207293</v>
      </c>
      <c r="AB40" t="n">
        <v>1555676.22802444</v>
      </c>
      <c r="AC40" t="n">
        <v>5367480.16312538</v>
      </c>
      <c r="AD40" t="n">
        <v>2141432.28550598</v>
      </c>
      <c r="AE40" t="n">
        <v>2333381.10865784</v>
      </c>
      <c r="AF40" t="n">
        <v>5437542.62235642</v>
      </c>
      <c r="AG40" t="n">
        <v>3386.67472526371</v>
      </c>
      <c r="AH40" t="n">
        <v>212731.89114515</v>
      </c>
      <c r="AI40" t="n">
        <v>303279.379387445</v>
      </c>
      <c r="AJ40" t="n">
        <v>24152403.0523124</v>
      </c>
      <c r="AK40" t="n">
        <v>1929360.13209486</v>
      </c>
      <c r="AL40" t="n">
        <v>7671.08938614496</v>
      </c>
      <c r="AM40" t="n">
        <v>3375884.23889831</v>
      </c>
      <c r="AN40" t="n">
        <v>24006.9059421211</v>
      </c>
      <c r="AO40" t="n">
        <v>71624.9243555504</v>
      </c>
      <c r="AP40" t="n">
        <v>9997.7185223692</v>
      </c>
      <c r="AQ40" t="n">
        <v>22242.1359154617</v>
      </c>
      <c r="AR40" t="n">
        <v>62172.9497704246</v>
      </c>
      <c r="AS40" t="n">
        <v>665824.176462893</v>
      </c>
      <c r="AT40" t="n">
        <v>159319.96916914</v>
      </c>
      <c r="AU40" t="n">
        <v>195138.020858358</v>
      </c>
      <c r="AV40" t="n">
        <v>0</v>
      </c>
      <c r="AW40" t="n">
        <v>15416304.2567201</v>
      </c>
      <c r="AX40" t="n">
        <v>2659590.81376426</v>
      </c>
      <c r="AY40" t="n">
        <v>298872.914144373</v>
      </c>
      <c r="AZ40" t="n">
        <v>50877.6487193729</v>
      </c>
      <c r="BA40" t="n">
        <v>113975.833461738</v>
      </c>
      <c r="BB40" t="n">
        <v>837880.961540836</v>
      </c>
      <c r="BC40" t="n">
        <v>0</v>
      </c>
      <c r="BD40" t="n">
        <v>4275498.69961417</v>
      </c>
      <c r="BE40" t="n">
        <v>86339.373084163</v>
      </c>
      <c r="BF40" t="n">
        <v>542690.653898006</v>
      </c>
      <c r="BG40" t="n">
        <v>1061879.87976194</v>
      </c>
      <c r="BH40" t="n">
        <v>940211.33256724</v>
      </c>
      <c r="BI40" t="n">
        <v>486237.987311336</v>
      </c>
      <c r="BJ40" t="n">
        <v>301033.702099332</v>
      </c>
      <c r="BK40" t="n">
        <v>692508.159552056</v>
      </c>
      <c r="BL40" t="n">
        <v>1341812.75943577</v>
      </c>
      <c r="BM40" t="n">
        <v>6533336.2110718</v>
      </c>
      <c r="BN40" t="n">
        <v>23039021.6639828</v>
      </c>
      <c r="BO40" t="n">
        <v>6710315.95166027</v>
      </c>
      <c r="BP40" t="n">
        <v>2449.33207684571</v>
      </c>
      <c r="BQ40" t="n">
        <v>205793.640381337</v>
      </c>
      <c r="BR40" t="n">
        <v>8196.27205476851</v>
      </c>
      <c r="BS40" t="n">
        <v>1272573.46163331</v>
      </c>
      <c r="BT40" t="n">
        <v>0</v>
      </c>
      <c r="BU40" t="n">
        <v>2973730165.78561</v>
      </c>
      <c r="BV40" t="n">
        <v>0</v>
      </c>
      <c r="BW40" t="n">
        <v>131228378.690969</v>
      </c>
      <c r="BX40" t="n">
        <v>45773898.1044093</v>
      </c>
      <c r="BY40" t="n">
        <v>23835825.4278563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234482.939194905</v>
      </c>
      <c r="C41" t="n">
        <v>5638.52837202061</v>
      </c>
      <c r="D41" t="n">
        <v>0</v>
      </c>
      <c r="E41" t="n">
        <v>3637.43255965887</v>
      </c>
      <c r="F41" t="n">
        <v>595.197089929439</v>
      </c>
      <c r="G41" t="n">
        <v>585440.583422188</v>
      </c>
      <c r="H41" t="n">
        <v>290644.033933496</v>
      </c>
      <c r="I41" t="n">
        <v>218246.290819328</v>
      </c>
      <c r="J41" t="n">
        <v>132819.629495019</v>
      </c>
      <c r="K41" t="n">
        <v>15669.3677835586</v>
      </c>
      <c r="L41" t="n">
        <v>317765.513597781</v>
      </c>
      <c r="M41" t="n">
        <v>122667.48783734</v>
      </c>
      <c r="N41" t="n">
        <v>33003.5089214506</v>
      </c>
      <c r="O41" t="n">
        <v>6614.62205366692</v>
      </c>
      <c r="P41" t="n">
        <v>51346.2140444587</v>
      </c>
      <c r="Q41" t="n">
        <v>218967.509889438</v>
      </c>
      <c r="R41" t="n">
        <v>53942.4938429146</v>
      </c>
      <c r="S41" t="n">
        <v>70027.5818142107</v>
      </c>
      <c r="T41" t="n">
        <v>657979.066676695</v>
      </c>
      <c r="U41" t="n">
        <v>57826.2935964651</v>
      </c>
      <c r="V41" t="n">
        <v>11286.2587589851</v>
      </c>
      <c r="W41" t="n">
        <v>477635.372788878</v>
      </c>
      <c r="X41" t="n">
        <v>82840.9686649415</v>
      </c>
      <c r="Y41" t="n">
        <v>23467.291510593</v>
      </c>
      <c r="Z41" t="n">
        <v>208791.349657983</v>
      </c>
      <c r="AA41" t="n">
        <v>274201.922071855</v>
      </c>
      <c r="AB41" t="n">
        <v>4889700.89555096</v>
      </c>
      <c r="AC41" t="n">
        <v>200645.656354622</v>
      </c>
      <c r="AD41" t="n">
        <v>93361.4428278023</v>
      </c>
      <c r="AE41" t="n">
        <v>72172.8740108875</v>
      </c>
      <c r="AF41" t="n">
        <v>318335.203687069</v>
      </c>
      <c r="AG41" t="n">
        <v>59467.5038926258</v>
      </c>
      <c r="AH41" t="n">
        <v>3906.79267554512</v>
      </c>
      <c r="AI41" t="n">
        <v>33447.9272861279</v>
      </c>
      <c r="AJ41" t="n">
        <v>2028371.13774328</v>
      </c>
      <c r="AK41" t="n">
        <v>27859.3938115538</v>
      </c>
      <c r="AL41" t="n">
        <v>952.607193912371</v>
      </c>
      <c r="AM41" t="n">
        <v>671303.65708546</v>
      </c>
      <c r="AN41" t="n">
        <v>279116.065927757</v>
      </c>
      <c r="AO41" t="n">
        <v>109451.625385965</v>
      </c>
      <c r="AP41" t="n">
        <v>48668.0321167155</v>
      </c>
      <c r="AQ41" t="n">
        <v>156790.132717468</v>
      </c>
      <c r="AR41" t="n">
        <v>248377.481775636</v>
      </c>
      <c r="AS41" t="n">
        <v>3188403.48032732</v>
      </c>
      <c r="AT41" t="n">
        <v>765146.040722157</v>
      </c>
      <c r="AU41" t="n">
        <v>81613.3228590881</v>
      </c>
      <c r="AV41" t="n">
        <v>253507.850499697</v>
      </c>
      <c r="AW41" t="n">
        <v>7447.32856387493</v>
      </c>
      <c r="AX41" t="n">
        <v>5467552.66798168</v>
      </c>
      <c r="AY41" t="n">
        <v>591638.540163854</v>
      </c>
      <c r="AZ41" t="n">
        <v>364868.049108753</v>
      </c>
      <c r="BA41" t="n">
        <v>1391648.17884401</v>
      </c>
      <c r="BB41" t="n">
        <v>2589728.29784887</v>
      </c>
      <c r="BC41" t="n">
        <v>313330.432497443</v>
      </c>
      <c r="BD41" t="n">
        <v>3085461.0697483</v>
      </c>
      <c r="BE41" t="n">
        <v>438373.397523944</v>
      </c>
      <c r="BF41" t="n">
        <v>630505.177002265</v>
      </c>
      <c r="BG41" t="n">
        <v>2224385.88641575</v>
      </c>
      <c r="BH41" t="n">
        <v>614308.81132032</v>
      </c>
      <c r="BI41" t="n">
        <v>466348.385645671</v>
      </c>
      <c r="BJ41" t="n">
        <v>835272.141173586</v>
      </c>
      <c r="BK41" t="n">
        <v>72819.773266954</v>
      </c>
      <c r="BL41" t="n">
        <v>198461.751357177</v>
      </c>
      <c r="BM41" t="n">
        <v>253840.927029306</v>
      </c>
      <c r="BN41" t="n">
        <v>1513390.19925808</v>
      </c>
      <c r="BO41" t="n">
        <v>420922.293194057</v>
      </c>
      <c r="BP41" t="n">
        <v>3067812.62155992</v>
      </c>
      <c r="BQ41" t="n">
        <v>3848086.00626339</v>
      </c>
      <c r="BR41" t="n">
        <v>383847.310555017</v>
      </c>
      <c r="BS41" t="n">
        <v>3039817.80232591</v>
      </c>
      <c r="BT41" t="n">
        <v>39036.7674677119</v>
      </c>
      <c r="BU41" t="n">
        <v>101514297.761592</v>
      </c>
      <c r="BV41" t="n">
        <v>0</v>
      </c>
      <c r="BW41" t="n">
        <v>113650.698241077</v>
      </c>
      <c r="BX41" t="n">
        <v>13626.4867789047</v>
      </c>
      <c r="BY41" t="n">
        <v>6257.38245631419</v>
      </c>
      <c r="BZ41" t="n">
        <v>18585.2561671372</v>
      </c>
      <c r="CA41" t="n">
        <v>32039604.9465025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17511.7339392058</v>
      </c>
      <c r="CN41" t="n">
        <v>5003.35255405879</v>
      </c>
    </row>
    <row r="42">
      <c r="A42" t="s">
        <v>153</v>
      </c>
      <c r="B42" t="n">
        <v>3494286.25607785</v>
      </c>
      <c r="C42" t="n">
        <v>154849.090330905</v>
      </c>
      <c r="D42" t="n">
        <v>0</v>
      </c>
      <c r="E42" t="n">
        <v>318064.124401943</v>
      </c>
      <c r="F42" t="n">
        <v>992.963458310253</v>
      </c>
      <c r="G42" t="n">
        <v>3702273.26419625</v>
      </c>
      <c r="H42" t="n">
        <v>3103642.07734059</v>
      </c>
      <c r="I42" t="n">
        <v>3848367.48538558</v>
      </c>
      <c r="J42" t="n">
        <v>2164477.2337968</v>
      </c>
      <c r="K42" t="n">
        <v>548680.157310012</v>
      </c>
      <c r="L42" t="n">
        <v>1827298.10443767</v>
      </c>
      <c r="M42" t="n">
        <v>495017.637361396</v>
      </c>
      <c r="N42" t="n">
        <v>71287.1148329295</v>
      </c>
      <c r="O42" t="n">
        <v>77403.4107450408</v>
      </c>
      <c r="P42" t="n">
        <v>357842.008908886</v>
      </c>
      <c r="Q42" t="n">
        <v>931568.342387142</v>
      </c>
      <c r="R42" t="n">
        <v>332832.084566463</v>
      </c>
      <c r="S42" t="n">
        <v>253505.470165639</v>
      </c>
      <c r="T42" t="n">
        <v>10954052.5292353</v>
      </c>
      <c r="U42" t="n">
        <v>236978.67602124</v>
      </c>
      <c r="V42" t="n">
        <v>10331.6964212405</v>
      </c>
      <c r="W42" t="n">
        <v>15935184.7788684</v>
      </c>
      <c r="X42" t="n">
        <v>125198.45961297</v>
      </c>
      <c r="Y42" t="n">
        <v>1298933.20017185</v>
      </c>
      <c r="Z42" t="n">
        <v>4956323.44047328</v>
      </c>
      <c r="AA42" t="n">
        <v>2777953.10251739</v>
      </c>
      <c r="AB42" t="n">
        <v>435987.929546205</v>
      </c>
      <c r="AC42" t="n">
        <v>78514.1684843971</v>
      </c>
      <c r="AD42" t="n">
        <v>378019.0451558</v>
      </c>
      <c r="AE42" t="n">
        <v>81513.3071258267</v>
      </c>
      <c r="AF42" t="n">
        <v>223135.571575914</v>
      </c>
      <c r="AG42" t="n">
        <v>56930.7219834175</v>
      </c>
      <c r="AH42" t="n">
        <v>181053.545847193</v>
      </c>
      <c r="AI42" t="n">
        <v>8397.61296457041</v>
      </c>
      <c r="AJ42" t="n">
        <v>6900038.27716936</v>
      </c>
      <c r="AK42" t="n">
        <v>34004.1585657264</v>
      </c>
      <c r="AL42" t="n">
        <v>2452.60732866897</v>
      </c>
      <c r="AM42" t="n">
        <v>288608.001981975</v>
      </c>
      <c r="AN42" t="n">
        <v>59698.4011322942</v>
      </c>
      <c r="AO42" t="n">
        <v>18093.8135075198</v>
      </c>
      <c r="AP42" t="n">
        <v>2651.89386063103</v>
      </c>
      <c r="AQ42" t="n">
        <v>219856.916239353</v>
      </c>
      <c r="AR42" t="n">
        <v>17763.3095307098</v>
      </c>
      <c r="AS42" t="n">
        <v>90902.101763762</v>
      </c>
      <c r="AT42" t="n">
        <v>23613.6044835915</v>
      </c>
      <c r="AU42" t="n">
        <v>249035.602708029</v>
      </c>
      <c r="AV42" t="n">
        <v>5767.06802951106</v>
      </c>
      <c r="AW42" t="n">
        <v>138783.863264768</v>
      </c>
      <c r="AX42" t="n">
        <v>354989.179242772</v>
      </c>
      <c r="AY42" t="n">
        <v>68465.6460859978</v>
      </c>
      <c r="AZ42" t="n">
        <v>42556.1744236404</v>
      </c>
      <c r="BA42" t="n">
        <v>46187.8979877232</v>
      </c>
      <c r="BB42" t="n">
        <v>875687.80445807</v>
      </c>
      <c r="BC42" t="n">
        <v>62505.274903777</v>
      </c>
      <c r="BD42" t="n">
        <v>877558.50934633</v>
      </c>
      <c r="BE42" t="n">
        <v>109302.662650371</v>
      </c>
      <c r="BF42" t="n">
        <v>141180.399757765</v>
      </c>
      <c r="BG42" t="n">
        <v>749529.894733541</v>
      </c>
      <c r="BH42" t="n">
        <v>687658.908208613</v>
      </c>
      <c r="BI42" t="n">
        <v>274070.979519163</v>
      </c>
      <c r="BJ42" t="n">
        <v>660359.683013329</v>
      </c>
      <c r="BK42" t="n">
        <v>18887.2455696021</v>
      </c>
      <c r="BL42" t="n">
        <v>169325.567781302</v>
      </c>
      <c r="BM42" t="n">
        <v>400257.513805662</v>
      </c>
      <c r="BN42" t="n">
        <v>1904304.40052541</v>
      </c>
      <c r="BO42" t="n">
        <v>275457.307795951</v>
      </c>
      <c r="BP42" t="n">
        <v>213787.001219453</v>
      </c>
      <c r="BQ42" t="n">
        <v>2483103.47196054</v>
      </c>
      <c r="BR42" t="n">
        <v>2046334.31499686</v>
      </c>
      <c r="BS42" t="n">
        <v>4030250.26199655</v>
      </c>
      <c r="BT42" t="n">
        <v>2173887.65053173</v>
      </c>
      <c r="BU42" t="n">
        <v>15265518.0545912</v>
      </c>
      <c r="BV42" t="n">
        <v>0</v>
      </c>
      <c r="BW42" t="n">
        <v>2857585.99609414</v>
      </c>
      <c r="BX42" t="n">
        <v>0</v>
      </c>
      <c r="BY42" t="n">
        <v>69811.8203716061</v>
      </c>
      <c r="BZ42" t="n">
        <v>903359.12588082</v>
      </c>
      <c r="CA42" t="n">
        <v>19191740.8815126</v>
      </c>
      <c r="CB42" t="n">
        <v>0</v>
      </c>
      <c r="CC42" t="n">
        <v>0</v>
      </c>
      <c r="CD42" t="n">
        <v>0</v>
      </c>
      <c r="CE42" t="n">
        <v>1294682.54124696</v>
      </c>
      <c r="CF42" t="n">
        <v>0</v>
      </c>
      <c r="CG42" t="n">
        <v>0</v>
      </c>
      <c r="CH42" t="n">
        <v>0</v>
      </c>
      <c r="CI42" t="n">
        <v>1899497.74299736</v>
      </c>
      <c r="CJ42" t="n">
        <v>0</v>
      </c>
      <c r="CK42" t="n">
        <v>0</v>
      </c>
      <c r="CL42" t="n">
        <v>0</v>
      </c>
      <c r="CM42" t="n">
        <v>731684.081035473</v>
      </c>
      <c r="CN42" t="n">
        <v>0</v>
      </c>
    </row>
    <row r="43">
      <c r="A43" t="s">
        <v>154</v>
      </c>
      <c r="B43" t="n">
        <v>1640079.92083695</v>
      </c>
      <c r="C43" t="n">
        <v>107096.308932897</v>
      </c>
      <c r="D43" t="n">
        <v>0</v>
      </c>
      <c r="E43" t="n">
        <v>138896.006446461</v>
      </c>
      <c r="F43" t="n">
        <v>765.991166185305</v>
      </c>
      <c r="G43" t="n">
        <v>771857.018783805</v>
      </c>
      <c r="H43" t="n">
        <v>2638500.18731131</v>
      </c>
      <c r="I43" t="n">
        <v>67955.6810819253</v>
      </c>
      <c r="J43" t="n">
        <v>634915.598436979</v>
      </c>
      <c r="K43" t="n">
        <v>159989.324111088</v>
      </c>
      <c r="L43" t="n">
        <v>442559.154542197</v>
      </c>
      <c r="M43" t="n">
        <v>99951.543779695</v>
      </c>
      <c r="N43" t="n">
        <v>29934.2080558765</v>
      </c>
      <c r="O43" t="n">
        <v>32594.2202708619</v>
      </c>
      <c r="P43" t="n">
        <v>41216.0365987742</v>
      </c>
      <c r="Q43" t="n">
        <v>146631.238843981</v>
      </c>
      <c r="R43" t="n">
        <v>30134.2812085841</v>
      </c>
      <c r="S43" t="n">
        <v>104794.205834373</v>
      </c>
      <c r="T43" t="n">
        <v>3170046.22659032</v>
      </c>
      <c r="U43" t="n">
        <v>178798.419052756</v>
      </c>
      <c r="V43" t="n">
        <v>0</v>
      </c>
      <c r="W43" t="n">
        <v>1822275.01750231</v>
      </c>
      <c r="X43" t="n">
        <v>2473.98342660689</v>
      </c>
      <c r="Y43" t="n">
        <v>111432.457886887</v>
      </c>
      <c r="Z43" t="n">
        <v>1563821.29976231</v>
      </c>
      <c r="AA43" t="n">
        <v>441418.14365042</v>
      </c>
      <c r="AB43" t="n">
        <v>68922.6953898542</v>
      </c>
      <c r="AC43" t="n">
        <v>59238.2801437951</v>
      </c>
      <c r="AD43" t="n">
        <v>102304.373218017</v>
      </c>
      <c r="AE43" t="n">
        <v>22253.6893231301</v>
      </c>
      <c r="AF43" t="n">
        <v>83097.7648051355</v>
      </c>
      <c r="AG43" t="n">
        <v>14677.9830235649</v>
      </c>
      <c r="AH43" t="n">
        <v>17005.1530766899</v>
      </c>
      <c r="AI43" t="n">
        <v>2010.43881693408</v>
      </c>
      <c r="AJ43" t="n">
        <v>58118.6363407633</v>
      </c>
      <c r="AK43" t="n">
        <v>4409.59952885748</v>
      </c>
      <c r="AL43" t="n">
        <v>2827.10940913413</v>
      </c>
      <c r="AM43" t="n">
        <v>20491.9000368022</v>
      </c>
      <c r="AN43" t="n">
        <v>12386.5340057244</v>
      </c>
      <c r="AO43" t="n">
        <v>2346.3739402278</v>
      </c>
      <c r="AP43" t="n">
        <v>0</v>
      </c>
      <c r="AQ43" t="n">
        <v>27255.4723278353</v>
      </c>
      <c r="AR43" t="n">
        <v>7507.75182762664</v>
      </c>
      <c r="AS43" t="n">
        <v>13472.0283641562</v>
      </c>
      <c r="AT43" t="n">
        <v>2177.54363330108</v>
      </c>
      <c r="AU43" t="n">
        <v>0</v>
      </c>
      <c r="AV43" t="n">
        <v>2393.16239316239</v>
      </c>
      <c r="AW43" t="n">
        <v>55570.4484509016</v>
      </c>
      <c r="AX43" t="n">
        <v>110247.925045968</v>
      </c>
      <c r="AY43" t="n">
        <v>20560.7476635514</v>
      </c>
      <c r="AZ43" t="n">
        <v>0</v>
      </c>
      <c r="BA43" t="n">
        <v>17424.1903917859</v>
      </c>
      <c r="BB43" t="n">
        <v>3667942.72275191</v>
      </c>
      <c r="BC43" t="n">
        <v>385465.084742419</v>
      </c>
      <c r="BD43" t="n">
        <v>423103.476482617</v>
      </c>
      <c r="BE43" t="n">
        <v>68846.0036397653</v>
      </c>
      <c r="BF43" t="n">
        <v>1473257.63377843</v>
      </c>
      <c r="BG43" t="n">
        <v>621312.299843385</v>
      </c>
      <c r="BH43" t="n">
        <v>1204845.21079219</v>
      </c>
      <c r="BI43" t="n">
        <v>60210.7081610007</v>
      </c>
      <c r="BJ43" t="n">
        <v>83207.4007515112</v>
      </c>
      <c r="BK43" t="n">
        <v>6915.57124454661</v>
      </c>
      <c r="BL43" t="n">
        <v>49598.8903495606</v>
      </c>
      <c r="BM43" t="n">
        <v>51904.6910361745</v>
      </c>
      <c r="BN43" t="n">
        <v>278012.656523495</v>
      </c>
      <c r="BO43" t="n">
        <v>125539.065508178</v>
      </c>
      <c r="BP43" t="n">
        <v>2167331.79841392</v>
      </c>
      <c r="BQ43" t="n">
        <v>1066423.4881554</v>
      </c>
      <c r="BR43" t="n">
        <v>3890610.91627628</v>
      </c>
      <c r="BS43" t="n">
        <v>2451043.24302545</v>
      </c>
      <c r="BT43" t="n">
        <v>536912.948307274</v>
      </c>
      <c r="BU43" t="n">
        <v>100714753.958794</v>
      </c>
      <c r="BV43" t="n">
        <v>0</v>
      </c>
      <c r="BW43" t="n">
        <v>3458.92951967877</v>
      </c>
      <c r="BX43" t="n">
        <v>0</v>
      </c>
      <c r="BY43" t="n">
        <v>0</v>
      </c>
      <c r="BZ43" t="n">
        <v>42890.7260440167</v>
      </c>
      <c r="CA43" t="n">
        <v>4224044.72943171</v>
      </c>
      <c r="CB43" t="n">
        <v>0</v>
      </c>
      <c r="CC43" t="n">
        <v>0</v>
      </c>
      <c r="CD43" t="n">
        <v>0</v>
      </c>
      <c r="CE43" t="n">
        <v>58823.5294117647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13270350.7923594</v>
      </c>
      <c r="C44" t="n">
        <v>2420473.54374428</v>
      </c>
      <c r="D44" t="n">
        <v>0</v>
      </c>
      <c r="E44" t="n">
        <v>405025.343397772</v>
      </c>
      <c r="F44" t="n">
        <v>3385.6256087089</v>
      </c>
      <c r="G44" t="n">
        <v>2529432.72926237</v>
      </c>
      <c r="H44" t="n">
        <v>32917920.836417</v>
      </c>
      <c r="I44" t="n">
        <v>10296750.9964282</v>
      </c>
      <c r="J44" t="n">
        <v>4165041.47784859</v>
      </c>
      <c r="K44" t="n">
        <v>1482047.9989554</v>
      </c>
      <c r="L44" t="n">
        <v>7908611.84414579</v>
      </c>
      <c r="M44" t="n">
        <v>3687242.19616909</v>
      </c>
      <c r="N44" t="n">
        <v>1164075.14074037</v>
      </c>
      <c r="O44" t="n">
        <v>455464.588764067</v>
      </c>
      <c r="P44" t="n">
        <v>2258265.51762171</v>
      </c>
      <c r="Q44" t="n">
        <v>6361519.75832326</v>
      </c>
      <c r="R44" t="n">
        <v>1584668.29125579</v>
      </c>
      <c r="S44" t="n">
        <v>1575541.24885051</v>
      </c>
      <c r="T44" t="n">
        <v>56869238.5303983</v>
      </c>
      <c r="U44" t="n">
        <v>2718938.54401164</v>
      </c>
      <c r="V44" t="n">
        <v>797019.720422043</v>
      </c>
      <c r="W44" t="n">
        <v>23817145.0279148</v>
      </c>
      <c r="X44" t="n">
        <v>932429.43846633</v>
      </c>
      <c r="Y44" t="n">
        <v>2938129.22275824</v>
      </c>
      <c r="Z44" t="n">
        <v>8464244.70854925</v>
      </c>
      <c r="AA44" t="n">
        <v>4840938.52391327</v>
      </c>
      <c r="AB44" t="n">
        <v>10746041.7179262</v>
      </c>
      <c r="AC44" t="n">
        <v>5694778.96737591</v>
      </c>
      <c r="AD44" t="n">
        <v>5245264.07774011</v>
      </c>
      <c r="AE44" t="n">
        <v>2468580.91449381</v>
      </c>
      <c r="AF44" t="n">
        <v>12422818.7333754</v>
      </c>
      <c r="AG44" t="n">
        <v>705566.914018043</v>
      </c>
      <c r="AH44" t="n">
        <v>345652.618826693</v>
      </c>
      <c r="AI44" t="n">
        <v>80891.9720327788</v>
      </c>
      <c r="AJ44" t="n">
        <v>18148555.8925074</v>
      </c>
      <c r="AK44" t="n">
        <v>349234.398430915</v>
      </c>
      <c r="AL44" t="n">
        <v>38301.1420231521</v>
      </c>
      <c r="AM44" t="n">
        <v>4659476.46516603</v>
      </c>
      <c r="AN44" t="n">
        <v>2056623.86110686</v>
      </c>
      <c r="AO44" t="n">
        <v>489371.421321276</v>
      </c>
      <c r="AP44" t="n">
        <v>70060.0941932636</v>
      </c>
      <c r="AQ44" t="n">
        <v>1019205.57393843</v>
      </c>
      <c r="AR44" t="n">
        <v>374734.307224507</v>
      </c>
      <c r="AS44" t="n">
        <v>382872.926920667</v>
      </c>
      <c r="AT44" t="n">
        <v>112569.407235545</v>
      </c>
      <c r="AU44" t="n">
        <v>539885.053667964</v>
      </c>
      <c r="AV44" t="n">
        <v>45098.4239105357</v>
      </c>
      <c r="AW44" t="n">
        <v>326770.173110386</v>
      </c>
      <c r="AX44" t="n">
        <v>1290279.48695621</v>
      </c>
      <c r="AY44" t="n">
        <v>624507.312810133</v>
      </c>
      <c r="AZ44" t="n">
        <v>177455.017031733</v>
      </c>
      <c r="BA44" t="n">
        <v>618990.937574367</v>
      </c>
      <c r="BB44" t="n">
        <v>5278185.00653943</v>
      </c>
      <c r="BC44" t="n">
        <v>642180.011349973</v>
      </c>
      <c r="BD44" t="n">
        <v>3281445.0149195</v>
      </c>
      <c r="BE44" t="n">
        <v>1171562.92774672</v>
      </c>
      <c r="BF44" t="n">
        <v>1110172.79776324</v>
      </c>
      <c r="BG44" t="n">
        <v>3680344.32830173</v>
      </c>
      <c r="BH44" t="n">
        <v>6433605.98371077</v>
      </c>
      <c r="BI44" t="n">
        <v>1802496.24470994</v>
      </c>
      <c r="BJ44" t="n">
        <v>3034327.47001138</v>
      </c>
      <c r="BK44" t="n">
        <v>250077.074051796</v>
      </c>
      <c r="BL44" t="n">
        <v>1553583.30992383</v>
      </c>
      <c r="BM44" t="n">
        <v>2053188.14215364</v>
      </c>
      <c r="BN44" t="n">
        <v>7511042.4018961</v>
      </c>
      <c r="BO44" t="n">
        <v>3636114.34999234</v>
      </c>
      <c r="BP44" t="n">
        <v>4649072.9855969</v>
      </c>
      <c r="BQ44" t="n">
        <v>1970376.46520799</v>
      </c>
      <c r="BR44" t="n">
        <v>2629862.90008101</v>
      </c>
      <c r="BS44" t="n">
        <v>12339588.7699443</v>
      </c>
      <c r="BT44" t="n">
        <v>2001021.35935854</v>
      </c>
      <c r="BU44" t="n">
        <v>181270368.664235</v>
      </c>
      <c r="BV44" t="n">
        <v>19441.7190072724</v>
      </c>
      <c r="BW44" t="n">
        <v>38883433.0081982</v>
      </c>
      <c r="BX44" t="n">
        <v>1495199.28294332</v>
      </c>
      <c r="BY44" t="n">
        <v>1373332.02177084</v>
      </c>
      <c r="BZ44" t="n">
        <v>4921995.19534114</v>
      </c>
      <c r="CA44" t="n">
        <v>106861408.523473</v>
      </c>
      <c r="CB44" t="n">
        <v>0</v>
      </c>
      <c r="CC44" t="n">
        <v>0</v>
      </c>
      <c r="CD44" t="n">
        <v>0</v>
      </c>
      <c r="CE44" t="n">
        <v>8238938.1633062</v>
      </c>
      <c r="CF44" t="n">
        <v>369503.893384642</v>
      </c>
      <c r="CG44" t="n">
        <v>0</v>
      </c>
      <c r="CH44" t="n">
        <v>0</v>
      </c>
      <c r="CI44" t="n">
        <v>136916.731189232</v>
      </c>
      <c r="CJ44" t="n">
        <v>459383.218802527</v>
      </c>
      <c r="CK44" t="n">
        <v>0</v>
      </c>
      <c r="CL44" t="n">
        <v>0</v>
      </c>
      <c r="CM44" t="n">
        <v>1210033.28968881</v>
      </c>
      <c r="CN44" t="n">
        <v>111323.062651371</v>
      </c>
    </row>
    <row r="45">
      <c r="A45" t="s">
        <v>156</v>
      </c>
      <c r="B45" t="n">
        <v>0</v>
      </c>
      <c r="C45" t="n">
        <v>13387.0386166121</v>
      </c>
      <c r="D45" t="n">
        <v>0</v>
      </c>
      <c r="E45" t="n">
        <v>3598.34213591868</v>
      </c>
      <c r="F45" t="n">
        <v>1373.50140143572</v>
      </c>
      <c r="G45" t="n">
        <v>3235034.19824925</v>
      </c>
      <c r="H45" t="n">
        <v>1535456.92941669</v>
      </c>
      <c r="I45" t="n">
        <v>543645.448655402</v>
      </c>
      <c r="J45" t="n">
        <v>241267.927406052</v>
      </c>
      <c r="K45" t="n">
        <v>32768.8977095</v>
      </c>
      <c r="L45" t="n">
        <v>693458.832707852</v>
      </c>
      <c r="M45" t="n">
        <v>241262.347054436</v>
      </c>
      <c r="N45" t="n">
        <v>42260.0584318257</v>
      </c>
      <c r="O45" t="n">
        <v>8296.7106144012</v>
      </c>
      <c r="P45" t="n">
        <v>71982.9371584225</v>
      </c>
      <c r="Q45" t="n">
        <v>253272.139821421</v>
      </c>
      <c r="R45" t="n">
        <v>120537.124834336</v>
      </c>
      <c r="S45" t="n">
        <v>181374.58702103</v>
      </c>
      <c r="T45" t="n">
        <v>783725.397482972</v>
      </c>
      <c r="U45" t="n">
        <v>57470.9204098143</v>
      </c>
      <c r="V45" t="n">
        <v>10718.3698919273</v>
      </c>
      <c r="W45" t="n">
        <v>957022.131494018</v>
      </c>
      <c r="X45" t="n">
        <v>190496.723848731</v>
      </c>
      <c r="Y45" t="n">
        <v>42858.6376488025</v>
      </c>
      <c r="Z45" t="n">
        <v>265676.823025918</v>
      </c>
      <c r="AA45" t="n">
        <v>511282.885810919</v>
      </c>
      <c r="AB45" t="n">
        <v>4560385.01162869</v>
      </c>
      <c r="AC45" t="n">
        <v>597319.324783267</v>
      </c>
      <c r="AD45" t="n">
        <v>40921.7492872068</v>
      </c>
      <c r="AE45" t="n">
        <v>129071.398074155</v>
      </c>
      <c r="AF45" t="n">
        <v>589598.426474533</v>
      </c>
      <c r="AG45" t="n">
        <v>698.95157255071</v>
      </c>
      <c r="AH45" t="n">
        <v>485419.824189148</v>
      </c>
      <c r="AI45" t="n">
        <v>0</v>
      </c>
      <c r="AJ45" t="n">
        <v>0</v>
      </c>
      <c r="AK45" t="n">
        <v>0</v>
      </c>
      <c r="AL45" t="n">
        <v>2261.68752730731</v>
      </c>
      <c r="AM45" t="n">
        <v>393899.856262976</v>
      </c>
      <c r="AN45" t="n">
        <v>18579.8010085866</v>
      </c>
      <c r="AO45" t="n">
        <v>295643.116468703</v>
      </c>
      <c r="AP45" t="n">
        <v>107982.381839743</v>
      </c>
      <c r="AQ45" t="n">
        <v>824836.662552909</v>
      </c>
      <c r="AR45" t="n">
        <v>986245.580992772</v>
      </c>
      <c r="AS45" t="n">
        <v>12502042.321937</v>
      </c>
      <c r="AT45" t="n">
        <v>1988097.33720389</v>
      </c>
      <c r="AU45" t="n">
        <v>4733993.66800919</v>
      </c>
      <c r="AV45" t="n">
        <v>622222.222222222</v>
      </c>
      <c r="AW45" t="n">
        <v>30311.1537004918</v>
      </c>
      <c r="AX45" t="n">
        <v>18136956.5203282</v>
      </c>
      <c r="AY45" t="n">
        <v>1861682.24299065</v>
      </c>
      <c r="AZ45" t="n">
        <v>1546403.98978428</v>
      </c>
      <c r="BA45" t="n">
        <v>5318734.11709263</v>
      </c>
      <c r="BB45" t="n">
        <v>11678476.3317367</v>
      </c>
      <c r="BC45" t="n">
        <v>947451.563432302</v>
      </c>
      <c r="BD45" t="n">
        <v>10329560.7361963</v>
      </c>
      <c r="BE45" t="n">
        <v>1008391.46507656</v>
      </c>
      <c r="BF45" t="n">
        <v>2261579.70097566</v>
      </c>
      <c r="BG45" t="n">
        <v>9459009.07397929</v>
      </c>
      <c r="BH45" t="n">
        <v>21528681.5296816</v>
      </c>
      <c r="BI45" t="n">
        <v>4562633.66286694</v>
      </c>
      <c r="BJ45" t="n">
        <v>1841657.13663345</v>
      </c>
      <c r="BK45" t="n">
        <v>5703041.08633611</v>
      </c>
      <c r="BL45" t="n">
        <v>376124.918484168</v>
      </c>
      <c r="BM45" t="n">
        <v>767035.989756801</v>
      </c>
      <c r="BN45" t="n">
        <v>5383335.9854095</v>
      </c>
      <c r="BO45" t="n">
        <v>1169495.50499724</v>
      </c>
      <c r="BP45" t="n">
        <v>72033.7682271681</v>
      </c>
      <c r="BQ45" t="n">
        <v>32315.8632774363</v>
      </c>
      <c r="BR45" t="n">
        <v>88807.423088915</v>
      </c>
      <c r="BS45" t="n">
        <v>64535789.6805942</v>
      </c>
      <c r="BT45" t="n">
        <v>2160435.43485546</v>
      </c>
      <c r="BU45" t="n">
        <v>220857869.386721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119674.270725377</v>
      </c>
      <c r="C46" t="n">
        <v>10889.5967329348</v>
      </c>
      <c r="D46" t="n">
        <v>0</v>
      </c>
      <c r="E46" t="n">
        <v>8429.89612278653</v>
      </c>
      <c r="F46" t="n">
        <v>71.61958323875</v>
      </c>
      <c r="G46" t="n">
        <v>3620586.98133491</v>
      </c>
      <c r="H46" t="n">
        <v>196723.889549701</v>
      </c>
      <c r="I46" t="n">
        <v>17965.3801533924</v>
      </c>
      <c r="J46" t="n">
        <v>3787.43077633017</v>
      </c>
      <c r="K46" t="n">
        <v>1003.50644539607</v>
      </c>
      <c r="L46" t="n">
        <v>11338.4810897805</v>
      </c>
      <c r="M46" t="n">
        <v>4485.78828096178</v>
      </c>
      <c r="N46" t="n">
        <v>859.40402394482</v>
      </c>
      <c r="O46" t="n">
        <v>674.890357667123</v>
      </c>
      <c r="P46" t="n">
        <v>661.093968515688</v>
      </c>
      <c r="Q46" t="n">
        <v>3252.98719942473</v>
      </c>
      <c r="R46" t="n">
        <v>2042.71073683125</v>
      </c>
      <c r="S46" t="n">
        <v>5573.65553951766</v>
      </c>
      <c r="T46" t="n">
        <v>30303.4589938777</v>
      </c>
      <c r="U46" t="n">
        <v>8310.99281170029</v>
      </c>
      <c r="V46" t="n">
        <v>0</v>
      </c>
      <c r="W46" t="n">
        <v>61852.092330073</v>
      </c>
      <c r="X46" t="n">
        <v>3622.40139139574</v>
      </c>
      <c r="Y46" t="n">
        <v>2650058.25254874</v>
      </c>
      <c r="Z46" t="n">
        <v>145480.965826381</v>
      </c>
      <c r="AA46" t="n">
        <v>10332.9101279721</v>
      </c>
      <c r="AB46" t="n">
        <v>43450.1456616834</v>
      </c>
      <c r="AC46" t="n">
        <v>12849.8617285541</v>
      </c>
      <c r="AD46" t="n">
        <v>9986.25670932862</v>
      </c>
      <c r="AE46" t="n">
        <v>3620.42285062494</v>
      </c>
      <c r="AF46" t="n">
        <v>21888.0081147346</v>
      </c>
      <c r="AG46" t="n">
        <v>62655.0328175958</v>
      </c>
      <c r="AH46" t="n">
        <v>23641.3890954002</v>
      </c>
      <c r="AI46" t="n">
        <v>8612.99061662631</v>
      </c>
      <c r="AJ46" t="n">
        <v>181750.781125162</v>
      </c>
      <c r="AK46" t="n">
        <v>17934.7957372031</v>
      </c>
      <c r="AL46" t="n">
        <v>459.938635676358</v>
      </c>
      <c r="AM46" t="n">
        <v>75195.7047058984</v>
      </c>
      <c r="AN46" t="n">
        <v>37280.2489919505</v>
      </c>
      <c r="AO46" t="n">
        <v>1526.91370962606</v>
      </c>
      <c r="AP46" t="n">
        <v>223.789920825029</v>
      </c>
      <c r="AQ46" t="n">
        <v>2100.38978608316</v>
      </c>
      <c r="AR46" t="n">
        <v>1443.50353624293</v>
      </c>
      <c r="AS46" t="n">
        <v>40766.4795907272</v>
      </c>
      <c r="AT46" t="n">
        <v>11513.5036688665</v>
      </c>
      <c r="AU46" t="n">
        <v>1236.22323697689</v>
      </c>
      <c r="AV46" t="n">
        <v>6229.44604835903</v>
      </c>
      <c r="AW46" t="n">
        <v>3287.5206111556</v>
      </c>
      <c r="AX46" t="n">
        <v>41596.4570121332</v>
      </c>
      <c r="AY46" t="n">
        <v>10035.0013320737</v>
      </c>
      <c r="AZ46" t="n">
        <v>388.244428643564</v>
      </c>
      <c r="BA46" t="n">
        <v>8504.15445260491</v>
      </c>
      <c r="BB46" t="n">
        <v>11887.105160087</v>
      </c>
      <c r="BC46" t="n">
        <v>9377.31548814079</v>
      </c>
      <c r="BD46" t="n">
        <v>61238.6458133143</v>
      </c>
      <c r="BE46" t="n">
        <v>17788.9721368549</v>
      </c>
      <c r="BF46" t="n">
        <v>18922.2874158805</v>
      </c>
      <c r="BG46" t="n">
        <v>12252.1774830514</v>
      </c>
      <c r="BH46" t="n">
        <v>29918.0255862335</v>
      </c>
      <c r="BI46" t="n">
        <v>16325.9988424948</v>
      </c>
      <c r="BJ46" t="n">
        <v>16244.2804326616</v>
      </c>
      <c r="BK46" t="n">
        <v>1875.14167466291</v>
      </c>
      <c r="BL46" t="n">
        <v>10758.9025429924</v>
      </c>
      <c r="BM46" t="n">
        <v>15950.3529944458</v>
      </c>
      <c r="BN46" t="n">
        <v>47970.6881664697</v>
      </c>
      <c r="BO46" t="n">
        <v>25260.9936363944</v>
      </c>
      <c r="BP46" t="n">
        <v>53866.6350022159</v>
      </c>
      <c r="BQ46" t="n">
        <v>15772.2732822144</v>
      </c>
      <c r="BR46" t="n">
        <v>348127.047736098</v>
      </c>
      <c r="BS46" t="n">
        <v>829530.851863791</v>
      </c>
      <c r="BT46" t="n">
        <v>2289461.97794609</v>
      </c>
      <c r="BU46" t="n">
        <v>2123899.98068746</v>
      </c>
      <c r="BV46" t="n">
        <v>0</v>
      </c>
      <c r="BW46" t="n">
        <v>0</v>
      </c>
      <c r="BX46" t="n">
        <v>0</v>
      </c>
      <c r="BY46" t="n">
        <v>0</v>
      </c>
      <c r="BZ46" t="n">
        <v>1347417.9782683</v>
      </c>
      <c r="CA46" t="n">
        <v>6154459.53516877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495320.428814647</v>
      </c>
      <c r="D47" t="n">
        <v>0</v>
      </c>
      <c r="E47" t="n">
        <v>380704.597980197</v>
      </c>
      <c r="F47" t="n">
        <v>70.4359693043959</v>
      </c>
      <c r="G47" t="n">
        <v>26320016.8277713</v>
      </c>
      <c r="H47" t="n">
        <v>0</v>
      </c>
      <c r="I47" t="n">
        <v>5538388.00817691</v>
      </c>
      <c r="J47" t="n">
        <v>1775647.29029542</v>
      </c>
      <c r="K47" t="n">
        <v>51659.2034479177</v>
      </c>
      <c r="L47" t="n">
        <v>310139.879954768</v>
      </c>
      <c r="M47" t="n">
        <v>32742.7471002449</v>
      </c>
      <c r="N47" t="n">
        <v>0</v>
      </c>
      <c r="O47" t="n">
        <v>2370.48874697177</v>
      </c>
      <c r="P47" t="n">
        <v>6385.58313502135</v>
      </c>
      <c r="Q47" t="n">
        <v>0</v>
      </c>
      <c r="R47" t="n">
        <v>602685.624171681</v>
      </c>
      <c r="S47" t="n">
        <v>360733.900852938</v>
      </c>
      <c r="T47" t="n">
        <v>1785347.54224821</v>
      </c>
      <c r="U47" t="n">
        <v>363982.495928824</v>
      </c>
      <c r="V47" t="n">
        <v>0</v>
      </c>
      <c r="W47" t="n">
        <v>7407089.09991945</v>
      </c>
      <c r="X47" t="n">
        <v>865894.199312413</v>
      </c>
      <c r="Y47" t="n">
        <v>761455.128893725</v>
      </c>
      <c r="Z47" t="n">
        <v>406075.144137175</v>
      </c>
      <c r="AA47" t="n">
        <v>1698983.50253939</v>
      </c>
      <c r="AB47" t="n">
        <v>179239212.919265</v>
      </c>
      <c r="AC47" t="n">
        <v>9369521.30941025</v>
      </c>
      <c r="AD47" t="n">
        <v>10987489.683615</v>
      </c>
      <c r="AE47" t="n">
        <v>2278777.78668852</v>
      </c>
      <c r="AF47" t="n">
        <v>51109082.3915776</v>
      </c>
      <c r="AG47" t="n">
        <v>19706939.5880673</v>
      </c>
      <c r="AH47" t="n">
        <v>1930857.83570779</v>
      </c>
      <c r="AI47" t="n">
        <v>2665841.87125459</v>
      </c>
      <c r="AJ47" t="n">
        <v>158579928.068903</v>
      </c>
      <c r="AK47" t="n">
        <v>2656783.71613663</v>
      </c>
      <c r="AL47" t="n">
        <v>516795.59998972</v>
      </c>
      <c r="AM47" t="n">
        <v>65533096.3176935</v>
      </c>
      <c r="AN47" t="n">
        <v>17585781.6546272</v>
      </c>
      <c r="AO47" t="n">
        <v>1518103.93932739</v>
      </c>
      <c r="AP47" t="n">
        <v>737306.454345254</v>
      </c>
      <c r="AQ47" t="n">
        <v>180746.816489855</v>
      </c>
      <c r="AR47" t="n">
        <v>2930753.30434807</v>
      </c>
      <c r="AS47" t="n">
        <v>2996179.10818834</v>
      </c>
      <c r="AT47" t="n">
        <v>4840679.4968283</v>
      </c>
      <c r="AU47" t="n">
        <v>258355.994722813</v>
      </c>
      <c r="AV47" t="n">
        <v>0</v>
      </c>
      <c r="AW47" t="n">
        <v>0</v>
      </c>
      <c r="AX47" t="n">
        <v>0</v>
      </c>
      <c r="AY47" t="n">
        <v>7958878.5046729</v>
      </c>
      <c r="AZ47" t="n">
        <v>1575041.10070621</v>
      </c>
      <c r="BA47" t="n">
        <v>2132285.29919479</v>
      </c>
      <c r="BB47" t="n">
        <v>21576563.466706</v>
      </c>
      <c r="BC47" t="n">
        <v>2046207.17881957</v>
      </c>
      <c r="BD47" t="n">
        <v>8167356.07361963</v>
      </c>
      <c r="BE47" t="n">
        <v>6876500.83413656</v>
      </c>
      <c r="BF47" t="n">
        <v>1636952.92642048</v>
      </c>
      <c r="BG47" t="n">
        <v>8265336.352462</v>
      </c>
      <c r="BH47" t="n">
        <v>31427436.1299269</v>
      </c>
      <c r="BI47" t="n">
        <v>2475329.11328558</v>
      </c>
      <c r="BJ47" t="n">
        <v>7250138.18548167</v>
      </c>
      <c r="BK47" t="n">
        <v>1339315.63102719</v>
      </c>
      <c r="BL47" t="n">
        <v>2632874.42938917</v>
      </c>
      <c r="BM47" t="n">
        <v>668993.79557736</v>
      </c>
      <c r="BN47" t="n">
        <v>3984848.07683677</v>
      </c>
      <c r="BO47" t="n">
        <v>3660454.85744898</v>
      </c>
      <c r="BP47" t="n">
        <v>5055.00127909951</v>
      </c>
      <c r="BQ47" t="n">
        <v>1177220.73367804</v>
      </c>
      <c r="BR47" t="n">
        <v>5438397.4329688</v>
      </c>
      <c r="BS47" t="n">
        <v>3062909.51245224</v>
      </c>
      <c r="BT47" t="n">
        <v>7011827.43206048</v>
      </c>
      <c r="BU47" t="n">
        <v>71217516.9509859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25291980.7716219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843675.437313114</v>
      </c>
      <c r="C48" t="n">
        <v>0</v>
      </c>
      <c r="D48" t="n">
        <v>0</v>
      </c>
      <c r="E48" t="n">
        <v>42951.4846025682</v>
      </c>
      <c r="F48" t="n">
        <v>0</v>
      </c>
      <c r="G48" t="n">
        <v>851482.85128843</v>
      </c>
      <c r="H48" t="n">
        <v>0</v>
      </c>
      <c r="I48" t="n">
        <v>4062650.54898642</v>
      </c>
      <c r="J48" t="n">
        <v>1473625.9523662</v>
      </c>
      <c r="K48" t="n">
        <v>10799.9163723569</v>
      </c>
      <c r="L48" t="n">
        <v>843222.647514063</v>
      </c>
      <c r="M48" t="n">
        <v>305753.434833173</v>
      </c>
      <c r="N48" t="n">
        <v>311697.799038173</v>
      </c>
      <c r="O48" t="n">
        <v>20210.8969452886</v>
      </c>
      <c r="P48" t="n">
        <v>21211.8614903741</v>
      </c>
      <c r="Q48" t="n">
        <v>224600.28874467</v>
      </c>
      <c r="R48" t="n">
        <v>101954.872427575</v>
      </c>
      <c r="S48" t="n">
        <v>383738.31545603</v>
      </c>
      <c r="T48" t="n">
        <v>5292297.94380154</v>
      </c>
      <c r="U48" t="n">
        <v>2364443.14926041</v>
      </c>
      <c r="V48" t="n">
        <v>613587.138966069</v>
      </c>
      <c r="W48" t="n">
        <v>13641939.5909843</v>
      </c>
      <c r="X48" t="n">
        <v>646861.119701003</v>
      </c>
      <c r="Y48" t="n">
        <v>377885.234126912</v>
      </c>
      <c r="Z48" t="n">
        <v>2341467.93157329</v>
      </c>
      <c r="AA48" t="n">
        <v>3995630.78817247</v>
      </c>
      <c r="AB48" t="n">
        <v>32442519.8799783</v>
      </c>
      <c r="AC48" t="n">
        <v>14512697.3175778</v>
      </c>
      <c r="AD48" t="n">
        <v>16891225.8866831</v>
      </c>
      <c r="AE48" t="n">
        <v>7325616.09918209</v>
      </c>
      <c r="AF48" t="n">
        <v>37979208.9231823</v>
      </c>
      <c r="AG48" t="n">
        <v>43701.4857313779</v>
      </c>
      <c r="AH48" t="n">
        <v>627.648153414452</v>
      </c>
      <c r="AI48" t="n">
        <v>244328.61756785</v>
      </c>
      <c r="AJ48" t="n">
        <v>8262635.84316747</v>
      </c>
      <c r="AK48" t="n">
        <v>241691.464276616</v>
      </c>
      <c r="AL48" t="n">
        <v>135441.893983515</v>
      </c>
      <c r="AM48" t="n">
        <v>1004841.71987098</v>
      </c>
      <c r="AN48" t="n">
        <v>8685014.17778634</v>
      </c>
      <c r="AO48" t="n">
        <v>203863.461848171</v>
      </c>
      <c r="AP48" t="n">
        <v>79584.1359084297</v>
      </c>
      <c r="AQ48" t="n">
        <v>220733.229041312</v>
      </c>
      <c r="AR48" t="n">
        <v>381297.582698726</v>
      </c>
      <c r="AS48" t="n">
        <v>0</v>
      </c>
      <c r="AT48" t="n">
        <v>0</v>
      </c>
      <c r="AU48" t="n">
        <v>27765.8216924413</v>
      </c>
      <c r="AV48" t="n">
        <v>0</v>
      </c>
      <c r="AW48" t="n">
        <v>2051.06588557746</v>
      </c>
      <c r="AX48" t="n">
        <v>421895.300330733</v>
      </c>
      <c r="AY48" t="n">
        <v>544877.728908209</v>
      </c>
      <c r="AZ48" t="n">
        <v>172463.16537447</v>
      </c>
      <c r="BA48" t="n">
        <v>220186.335107864</v>
      </c>
      <c r="BB48" t="n">
        <v>1255826.63330046</v>
      </c>
      <c r="BC48" t="n">
        <v>16088.7516673152</v>
      </c>
      <c r="BD48" t="n">
        <v>15489902.4941311</v>
      </c>
      <c r="BE48" t="n">
        <v>529436.746118583</v>
      </c>
      <c r="BF48" t="n">
        <v>325307.392916191</v>
      </c>
      <c r="BG48" t="n">
        <v>1080870.87784009</v>
      </c>
      <c r="BH48" t="n">
        <v>3944253.45766266</v>
      </c>
      <c r="BI48" t="n">
        <v>486197.421823943</v>
      </c>
      <c r="BJ48" t="n">
        <v>565291.965612821</v>
      </c>
      <c r="BK48" t="n">
        <v>235849.924062934</v>
      </c>
      <c r="BL48" t="n">
        <v>208085.009358238</v>
      </c>
      <c r="BM48" t="n">
        <v>1376796.71707552</v>
      </c>
      <c r="BN48" t="n">
        <v>1758094.20177567</v>
      </c>
      <c r="BO48" t="n">
        <v>955000.685709793</v>
      </c>
      <c r="BP48" t="n">
        <v>223705.242912377</v>
      </c>
      <c r="BQ48" t="n">
        <v>2401017.06434966</v>
      </c>
      <c r="BR48" t="n">
        <v>0</v>
      </c>
      <c r="BS48" t="n">
        <v>8977951.8507985</v>
      </c>
      <c r="BT48" t="n">
        <v>96018.4543172682</v>
      </c>
      <c r="BU48" t="n">
        <v>384448.680213539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523114.435552892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121327.278373523</v>
      </c>
      <c r="C49" t="n">
        <v>0</v>
      </c>
      <c r="D49" t="n">
        <v>0</v>
      </c>
      <c r="E49" t="n">
        <v>469.317943802116</v>
      </c>
      <c r="F49" t="n">
        <v>57.4168308539822</v>
      </c>
      <c r="G49" t="n">
        <v>521400.200012021</v>
      </c>
      <c r="H49" t="n">
        <v>1222520.69811531</v>
      </c>
      <c r="I49" t="n">
        <v>110789.980879969</v>
      </c>
      <c r="J49" t="n">
        <v>1380.16004727993</v>
      </c>
      <c r="K49" t="n">
        <v>3268.29288512063</v>
      </c>
      <c r="L49" t="n">
        <v>172709.373710717</v>
      </c>
      <c r="M49" t="n">
        <v>41581.2888001332</v>
      </c>
      <c r="N49" t="n">
        <v>48228.399653632</v>
      </c>
      <c r="O49" t="n">
        <v>772.934355956409</v>
      </c>
      <c r="P49" t="n">
        <v>10599.8719490777</v>
      </c>
      <c r="Q49" t="n">
        <v>565043.501509859</v>
      </c>
      <c r="R49" t="n">
        <v>13100.9951810829</v>
      </c>
      <c r="S49" t="n">
        <v>35483.986106675</v>
      </c>
      <c r="T49" t="n">
        <v>18335.1198848638</v>
      </c>
      <c r="U49" t="n">
        <v>0</v>
      </c>
      <c r="V49" t="n">
        <v>0</v>
      </c>
      <c r="W49" t="n">
        <v>59845.551046576</v>
      </c>
      <c r="X49" t="n">
        <v>64534.4311862789</v>
      </c>
      <c r="Y49" t="n">
        <v>4658.23957620061</v>
      </c>
      <c r="Z49" t="n">
        <v>46483.3272425161</v>
      </c>
      <c r="AA49" t="n">
        <v>16567.6181350962</v>
      </c>
      <c r="AB49" t="n">
        <v>6013482.15213745</v>
      </c>
      <c r="AC49" t="n">
        <v>1245853.19252259</v>
      </c>
      <c r="AD49" t="n">
        <v>342474.605671491</v>
      </c>
      <c r="AE49" t="n">
        <v>595004.96082138</v>
      </c>
      <c r="AF49" t="n">
        <v>1979247.57070806</v>
      </c>
      <c r="AG49" t="n">
        <v>8204.54120843919</v>
      </c>
      <c r="AH49" t="n">
        <v>62504.928004624</v>
      </c>
      <c r="AI49" t="n">
        <v>0</v>
      </c>
      <c r="AJ49" t="n">
        <v>71590.6881332179</v>
      </c>
      <c r="AK49" t="n">
        <v>30194.1743028988</v>
      </c>
      <c r="AL49" t="n">
        <v>0</v>
      </c>
      <c r="AM49" t="n">
        <v>592444.025395702</v>
      </c>
      <c r="AN49" t="n">
        <v>244348.61824882</v>
      </c>
      <c r="AO49" t="n">
        <v>25843345.1960217</v>
      </c>
      <c r="AP49" t="n">
        <v>29154.2125852703</v>
      </c>
      <c r="AQ49" t="n">
        <v>498611.200380457</v>
      </c>
      <c r="AR49" t="n">
        <v>1084694.55888285</v>
      </c>
      <c r="AS49" t="n">
        <v>1056020.05355344</v>
      </c>
      <c r="AT49" t="n">
        <v>653929.921910309</v>
      </c>
      <c r="AU49" t="n">
        <v>1352810.55256985</v>
      </c>
      <c r="AV49" t="n">
        <v>120170.426902404</v>
      </c>
      <c r="AW49" t="n">
        <v>0</v>
      </c>
      <c r="AX49" t="n">
        <v>1209995.51133302</v>
      </c>
      <c r="AY49" t="n">
        <v>854474.182308402</v>
      </c>
      <c r="AZ49" t="n">
        <v>1668312.67834982</v>
      </c>
      <c r="BA49" t="n">
        <v>1458706.01489108</v>
      </c>
      <c r="BB49" t="n">
        <v>7512654.618809</v>
      </c>
      <c r="BC49" t="n">
        <v>1181691.09440899</v>
      </c>
      <c r="BD49" t="n">
        <v>4595475.2966428</v>
      </c>
      <c r="BE49" t="n">
        <v>63383.4340372846</v>
      </c>
      <c r="BF49" t="n">
        <v>1767005.69291644</v>
      </c>
      <c r="BG49" t="n">
        <v>4218750.83119036</v>
      </c>
      <c r="BH49" t="n">
        <v>7389872.00730794</v>
      </c>
      <c r="BI49" t="n">
        <v>519173.953682007</v>
      </c>
      <c r="BJ49" t="n">
        <v>3776642.74675957</v>
      </c>
      <c r="BK49" t="n">
        <v>76667.5685912</v>
      </c>
      <c r="BL49" t="n">
        <v>183288.128266626</v>
      </c>
      <c r="BM49" t="n">
        <v>485163.946746353</v>
      </c>
      <c r="BN49" t="n">
        <v>447757.57901011</v>
      </c>
      <c r="BO49" t="n">
        <v>1077209.08732085</v>
      </c>
      <c r="BP49" t="n">
        <v>49447.8300689373</v>
      </c>
      <c r="BQ49" t="n">
        <v>3128008.8909314</v>
      </c>
      <c r="BR49" t="n">
        <v>77218.7406017063</v>
      </c>
      <c r="BS49" t="n">
        <v>20982218.6995597</v>
      </c>
      <c r="BT49" t="n">
        <v>400157.106296268</v>
      </c>
      <c r="BU49" t="n">
        <v>240395420.078999</v>
      </c>
      <c r="BV49" t="n">
        <v>0</v>
      </c>
      <c r="BW49" t="n">
        <v>0</v>
      </c>
      <c r="BX49" t="n">
        <v>143592631.138193</v>
      </c>
      <c r="BY49" t="n">
        <v>0</v>
      </c>
      <c r="BZ49" t="n">
        <v>504504.374724505</v>
      </c>
      <c r="CA49" t="n">
        <v>70890936.7187885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10576266.935633</v>
      </c>
      <c r="CK49" t="n">
        <v>0</v>
      </c>
      <c r="CL49" t="n">
        <v>0</v>
      </c>
      <c r="CM49" t="n">
        <v>0</v>
      </c>
      <c r="CN49" t="n">
        <v>15642058.2483709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21005.2210168179</v>
      </c>
      <c r="AC50" t="n">
        <v>208962.562458429</v>
      </c>
      <c r="AD50" t="n">
        <v>246246.071595035</v>
      </c>
      <c r="AE50" t="n">
        <v>0</v>
      </c>
      <c r="AF50" t="n">
        <v>41875.2435710219</v>
      </c>
      <c r="AG50" t="n">
        <v>761.418654030964</v>
      </c>
      <c r="AH50" t="n">
        <v>0</v>
      </c>
      <c r="AI50" t="n">
        <v>0</v>
      </c>
      <c r="AJ50" t="n">
        <v>1004.96582274856</v>
      </c>
      <c r="AK50" t="n">
        <v>0</v>
      </c>
      <c r="AL50" t="n">
        <v>3519.74328512889</v>
      </c>
      <c r="AM50" t="n">
        <v>4606.39798519136</v>
      </c>
      <c r="AN50" t="n">
        <v>0</v>
      </c>
      <c r="AO50" t="n">
        <v>17527.373848006</v>
      </c>
      <c r="AP50" t="n">
        <v>3264825.3445084</v>
      </c>
      <c r="AQ50" t="n">
        <v>8481237.46106768</v>
      </c>
      <c r="AR50" t="n">
        <v>19968.8685685823</v>
      </c>
      <c r="AS50" t="n">
        <v>17191.9534663449</v>
      </c>
      <c r="AT50" t="n">
        <v>5083.19196762227</v>
      </c>
      <c r="AU50" t="n">
        <v>0</v>
      </c>
      <c r="AV50" t="n">
        <v>0</v>
      </c>
      <c r="AW50" t="n">
        <v>0</v>
      </c>
      <c r="AX50" t="n">
        <v>24458.271144555</v>
      </c>
      <c r="AY50" t="n">
        <v>68358.4908624762</v>
      </c>
      <c r="AZ50" t="n">
        <v>2599.70686928745</v>
      </c>
      <c r="BA50" t="n">
        <v>13558.1676049015</v>
      </c>
      <c r="BB50" t="n">
        <v>1173862.32668251</v>
      </c>
      <c r="BC50" t="n">
        <v>167069.01742562</v>
      </c>
      <c r="BD50" t="n">
        <v>27246.3435276803</v>
      </c>
      <c r="BE50" t="n">
        <v>0</v>
      </c>
      <c r="BF50" t="n">
        <v>216537.691484074</v>
      </c>
      <c r="BG50" t="n">
        <v>29300.4572234683</v>
      </c>
      <c r="BH50" t="n">
        <v>14802.9168570976</v>
      </c>
      <c r="BI50" t="n">
        <v>581997.90274458</v>
      </c>
      <c r="BJ50" t="n">
        <v>881403.609618269</v>
      </c>
      <c r="BK50" t="n">
        <v>132376.702099771</v>
      </c>
      <c r="BL50" t="n">
        <v>25086.1322458213</v>
      </c>
      <c r="BM50" t="n">
        <v>384137.102196597</v>
      </c>
      <c r="BN50" t="n">
        <v>1899098.59882396</v>
      </c>
      <c r="BO50" t="n">
        <v>168120.794464263</v>
      </c>
      <c r="BP50" t="n">
        <v>3933.41400914286</v>
      </c>
      <c r="BQ50" t="n">
        <v>534526.257192777</v>
      </c>
      <c r="BR50" t="n">
        <v>39487.4973807034</v>
      </c>
      <c r="BS50" t="n">
        <v>187101.842991946</v>
      </c>
      <c r="BT50" t="n">
        <v>0</v>
      </c>
      <c r="BU50" t="n">
        <v>12531878.4355582</v>
      </c>
      <c r="BV50" t="n">
        <v>0</v>
      </c>
      <c r="BW50" t="n">
        <v>0</v>
      </c>
      <c r="BX50" t="n">
        <v>4597012.40387877</v>
      </c>
      <c r="BY50" t="n">
        <v>0</v>
      </c>
      <c r="BZ50" t="n">
        <v>-62648.4625970858</v>
      </c>
      <c r="CA50" t="n">
        <v>14196563.9736857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1086461.49633374</v>
      </c>
      <c r="C51" t="n">
        <v>44855.2538585682</v>
      </c>
      <c r="D51" t="n">
        <v>0</v>
      </c>
      <c r="E51" t="n">
        <v>54083.2604091358</v>
      </c>
      <c r="F51" t="n">
        <v>2933.21914441942</v>
      </c>
      <c r="G51" t="n">
        <v>2109308.43491408</v>
      </c>
      <c r="H51" t="n">
        <v>7223260.06100808</v>
      </c>
      <c r="I51" t="n">
        <v>1553209.03500996</v>
      </c>
      <c r="J51" t="n">
        <v>881342.589975845</v>
      </c>
      <c r="K51" t="n">
        <v>56097.9838803034</v>
      </c>
      <c r="L51" t="n">
        <v>1971586.55139477</v>
      </c>
      <c r="M51" t="n">
        <v>912320.434448042</v>
      </c>
      <c r="N51" t="n">
        <v>279825.763838666</v>
      </c>
      <c r="O51" t="n">
        <v>41131.7011447639</v>
      </c>
      <c r="P51" t="n">
        <v>134488.144768858</v>
      </c>
      <c r="Q51" t="n">
        <v>2003522.52508755</v>
      </c>
      <c r="R51" t="n">
        <v>241605.27431257</v>
      </c>
      <c r="S51" t="n">
        <v>455309.475449261</v>
      </c>
      <c r="T51" t="n">
        <v>2506548.36464188</v>
      </c>
      <c r="U51" t="n">
        <v>287318.942562224</v>
      </c>
      <c r="V51" t="n">
        <v>87218.4621020475</v>
      </c>
      <c r="W51" t="n">
        <v>2183781.2241671</v>
      </c>
      <c r="X51" t="n">
        <v>530524.64406107</v>
      </c>
      <c r="Y51" t="n">
        <v>43081.262260285</v>
      </c>
      <c r="Z51" t="n">
        <v>572781.635679857</v>
      </c>
      <c r="AA51" t="n">
        <v>696196.155182124</v>
      </c>
      <c r="AB51" t="n">
        <v>16506403.3573526</v>
      </c>
      <c r="AC51" t="n">
        <v>4435230.86136062</v>
      </c>
      <c r="AD51" t="n">
        <v>2526822.08054823</v>
      </c>
      <c r="AE51" t="n">
        <v>937379.508823916</v>
      </c>
      <c r="AF51" t="n">
        <v>11432732.476796</v>
      </c>
      <c r="AG51" t="n">
        <v>655408.825368435</v>
      </c>
      <c r="AH51" t="n">
        <v>76957.6792531382</v>
      </c>
      <c r="AI51" t="n">
        <v>81156.0479508282</v>
      </c>
      <c r="AJ51" t="n">
        <v>2426461.05801633</v>
      </c>
      <c r="AK51" t="n">
        <v>1675908.92829991</v>
      </c>
      <c r="AL51" t="n">
        <v>456852.301058904</v>
      </c>
      <c r="AM51" t="n">
        <v>1411367.94772598</v>
      </c>
      <c r="AN51" t="n">
        <v>524715.426724259</v>
      </c>
      <c r="AO51" t="n">
        <v>1269692.50501596</v>
      </c>
      <c r="AP51" t="n">
        <v>353580.490906889</v>
      </c>
      <c r="AQ51" t="n">
        <v>64461339.9979033</v>
      </c>
      <c r="AR51" t="n">
        <v>5147798.28614454</v>
      </c>
      <c r="AS51" t="n">
        <v>11564874.2984826</v>
      </c>
      <c r="AT51" t="n">
        <v>2415036.2981761</v>
      </c>
      <c r="AU51" t="n">
        <v>5870484.14105314</v>
      </c>
      <c r="AV51" t="n">
        <v>1311621.1738966</v>
      </c>
      <c r="AW51" t="n">
        <v>31435.8589463369</v>
      </c>
      <c r="AX51" t="n">
        <v>13981135.3872294</v>
      </c>
      <c r="AY51" t="n">
        <v>1930760.56991539</v>
      </c>
      <c r="AZ51" t="n">
        <v>3999178.87021638</v>
      </c>
      <c r="BA51" t="n">
        <v>2541716.36363041</v>
      </c>
      <c r="BB51" t="n">
        <v>12011355.914489</v>
      </c>
      <c r="BC51" t="n">
        <v>3391848.070988</v>
      </c>
      <c r="BD51" t="n">
        <v>18410166.4178083</v>
      </c>
      <c r="BE51" t="n">
        <v>2122631.94526787</v>
      </c>
      <c r="BF51" t="n">
        <v>4528096.69657174</v>
      </c>
      <c r="BG51" t="n">
        <v>10616272.6711826</v>
      </c>
      <c r="BH51" t="n">
        <v>8392735.8231982</v>
      </c>
      <c r="BI51" t="n">
        <v>4207821.93912881</v>
      </c>
      <c r="BJ51" t="n">
        <v>2110904.51098646</v>
      </c>
      <c r="BK51" t="n">
        <v>932382.850295135</v>
      </c>
      <c r="BL51" t="n">
        <v>2809375.69865275</v>
      </c>
      <c r="BM51" t="n">
        <v>11387248.9772628</v>
      </c>
      <c r="BN51" t="n">
        <v>11623868.9888049</v>
      </c>
      <c r="BO51" t="n">
        <v>9089559.08595515</v>
      </c>
      <c r="BP51" t="n">
        <v>4025082.97686481</v>
      </c>
      <c r="BQ51" t="n">
        <v>20217251.4375687</v>
      </c>
      <c r="BR51" t="n">
        <v>4135510.26371642</v>
      </c>
      <c r="BS51" t="n">
        <v>128619841.3466</v>
      </c>
      <c r="BT51" t="n">
        <v>1912209.06044079</v>
      </c>
      <c r="BU51" t="n">
        <v>599773426.635682</v>
      </c>
      <c r="BV51" t="n">
        <v>0</v>
      </c>
      <c r="BW51" t="n">
        <v>5006380.22514325</v>
      </c>
      <c r="BX51" t="n">
        <v>22294851.3341345</v>
      </c>
      <c r="BY51" t="n">
        <v>0</v>
      </c>
      <c r="BZ51" t="n">
        <v>0</v>
      </c>
      <c r="CA51" t="n">
        <v>15456499.5401087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0</v>
      </c>
      <c r="E52" t="n">
        <v>2341.46554442406</v>
      </c>
      <c r="F52" t="n">
        <v>83.0726046981905</v>
      </c>
      <c r="G52" t="n">
        <v>4965497.10195932</v>
      </c>
      <c r="H52" t="n">
        <v>1646125.05826799</v>
      </c>
      <c r="I52" t="n">
        <v>1672039.29048334</v>
      </c>
      <c r="J52" t="n">
        <v>748478.978692737</v>
      </c>
      <c r="K52" t="n">
        <v>83410.3365670131</v>
      </c>
      <c r="L52" t="n">
        <v>2126942.56797226</v>
      </c>
      <c r="M52" t="n">
        <v>1031655.40315964</v>
      </c>
      <c r="N52" t="n">
        <v>119734.818147052</v>
      </c>
      <c r="O52" t="n">
        <v>77703.0872299927</v>
      </c>
      <c r="P52" t="n">
        <v>104256.292638948</v>
      </c>
      <c r="Q52" t="n">
        <v>2825553.66420195</v>
      </c>
      <c r="R52" t="n">
        <v>393805.656796512</v>
      </c>
      <c r="S52" t="n">
        <v>487822.900405375</v>
      </c>
      <c r="T52" t="n">
        <v>1977012.30477912</v>
      </c>
      <c r="U52" t="n">
        <v>253466.632584405</v>
      </c>
      <c r="V52" t="n">
        <v>69745.1572039929</v>
      </c>
      <c r="W52" t="n">
        <v>3459197.007191</v>
      </c>
      <c r="X52" t="n">
        <v>239865.822392176</v>
      </c>
      <c r="Y52" t="n">
        <v>61586.894694473</v>
      </c>
      <c r="Z52" t="n">
        <v>422355.691753397</v>
      </c>
      <c r="AA52" t="n">
        <v>465979.963463203</v>
      </c>
      <c r="AB52" t="n">
        <v>3950402.17319937</v>
      </c>
      <c r="AC52" t="n">
        <v>7539101.69871022</v>
      </c>
      <c r="AD52" t="n">
        <v>3446114.60954873</v>
      </c>
      <c r="AE52" t="n">
        <v>1901306.19730831</v>
      </c>
      <c r="AF52" t="n">
        <v>12830578.8970945</v>
      </c>
      <c r="AG52" t="n">
        <v>186927.942257916</v>
      </c>
      <c r="AH52" t="n">
        <v>0</v>
      </c>
      <c r="AI52" t="n">
        <v>0</v>
      </c>
      <c r="AJ52" t="n">
        <v>191191.957604603</v>
      </c>
      <c r="AK52" t="n">
        <v>197985.578645809</v>
      </c>
      <c r="AL52" t="n">
        <v>19316.0015719859</v>
      </c>
      <c r="AM52" t="n">
        <v>676341.160056079</v>
      </c>
      <c r="AN52" t="n">
        <v>224672.538529658</v>
      </c>
      <c r="AO52" t="n">
        <v>1478707.13560011</v>
      </c>
      <c r="AP52" t="n">
        <v>52586.7624545859</v>
      </c>
      <c r="AQ52" t="n">
        <v>1781932.94391824</v>
      </c>
      <c r="AR52" t="n">
        <v>3799021.80388029</v>
      </c>
      <c r="AS52" t="n">
        <v>18061290.0892252</v>
      </c>
      <c r="AT52" t="n">
        <v>1661719.14965847</v>
      </c>
      <c r="AU52" t="n">
        <v>3171915.46034966</v>
      </c>
      <c r="AV52" t="n">
        <v>2481473.00135607</v>
      </c>
      <c r="AW52" t="n">
        <v>1643.63937892849</v>
      </c>
      <c r="AX52" t="n">
        <v>1146298.75444062</v>
      </c>
      <c r="AY52" t="n">
        <v>759563.308775609</v>
      </c>
      <c r="AZ52" t="n">
        <v>3351079.36078311</v>
      </c>
      <c r="BA52" t="n">
        <v>3149140.17551617</v>
      </c>
      <c r="BB52" t="n">
        <v>14261099.5464033</v>
      </c>
      <c r="BC52" t="n">
        <v>1899938.76754984</v>
      </c>
      <c r="BD52" t="n">
        <v>34687004.6119528</v>
      </c>
      <c r="BE52" t="n">
        <v>2271550.50332125</v>
      </c>
      <c r="BF52" t="n">
        <v>6944669.37043831</v>
      </c>
      <c r="BG52" t="n">
        <v>2515186.98868934</v>
      </c>
      <c r="BH52" t="n">
        <v>7666703.73999394</v>
      </c>
      <c r="BI52" t="n">
        <v>790120.212861664</v>
      </c>
      <c r="BJ52" t="n">
        <v>1624308.53883498</v>
      </c>
      <c r="BK52" t="n">
        <v>893251.775048024</v>
      </c>
      <c r="BL52" t="n">
        <v>1974113.37619342</v>
      </c>
      <c r="BM52" t="n">
        <v>2033989.48914041</v>
      </c>
      <c r="BN52" t="n">
        <v>15737339.6565368</v>
      </c>
      <c r="BO52" t="n">
        <v>8368835.19680999</v>
      </c>
      <c r="BP52" t="n">
        <v>742153.613014192</v>
      </c>
      <c r="BQ52" t="n">
        <v>6753040.3692917</v>
      </c>
      <c r="BR52" t="n">
        <v>789763.734639657</v>
      </c>
      <c r="BS52" t="n">
        <v>40423411.5898453</v>
      </c>
      <c r="BT52" t="n">
        <v>2065043.29513989</v>
      </c>
      <c r="BU52" t="n">
        <v>79566283.6839577</v>
      </c>
      <c r="BV52" t="n">
        <v>0</v>
      </c>
      <c r="BW52" t="n">
        <v>0</v>
      </c>
      <c r="BX52" t="n">
        <v>13954945.9090917</v>
      </c>
      <c r="BY52" t="n">
        <v>0</v>
      </c>
      <c r="BZ52" t="n">
        <v>0</v>
      </c>
      <c r="CA52" t="n">
        <v>6477974.94465444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4592241.52537074</v>
      </c>
    </row>
    <row r="53">
      <c r="A53" t="s">
        <v>164</v>
      </c>
      <c r="B53" t="n">
        <v>1994413.2438275</v>
      </c>
      <c r="C53" t="n">
        <v>913052.968560953</v>
      </c>
      <c r="D53" t="n">
        <v>0</v>
      </c>
      <c r="E53" t="n">
        <v>107820.331250741</v>
      </c>
      <c r="F53" t="n">
        <v>1324.14524081392</v>
      </c>
      <c r="G53" t="n">
        <v>3959076.26649575</v>
      </c>
      <c r="H53" t="n">
        <v>4103504.64872125</v>
      </c>
      <c r="I53" t="n">
        <v>1204284.12348773</v>
      </c>
      <c r="J53" t="n">
        <v>439121.455636108</v>
      </c>
      <c r="K53" t="n">
        <v>87523.1049093892</v>
      </c>
      <c r="L53" t="n">
        <v>1370623.00170749</v>
      </c>
      <c r="M53" t="n">
        <v>786108.273008097</v>
      </c>
      <c r="N53" t="n">
        <v>1120338.30696</v>
      </c>
      <c r="O53" t="n">
        <v>135223.174378639</v>
      </c>
      <c r="P53" t="n">
        <v>388924.201957438</v>
      </c>
      <c r="Q53" t="n">
        <v>1075170.58230448</v>
      </c>
      <c r="R53" t="n">
        <v>252580.810639552</v>
      </c>
      <c r="S53" t="n">
        <v>637444.618572177</v>
      </c>
      <c r="T53" t="n">
        <v>3104671.38305996</v>
      </c>
      <c r="U53" t="n">
        <v>497922.224215906</v>
      </c>
      <c r="V53" t="n">
        <v>885049.313068778</v>
      </c>
      <c r="W53" t="n">
        <v>2752777.65160399</v>
      </c>
      <c r="X53" t="n">
        <v>303345.962274515</v>
      </c>
      <c r="Y53" t="n">
        <v>210477.126367718</v>
      </c>
      <c r="Z53" t="n">
        <v>1967293.66715182</v>
      </c>
      <c r="AA53" t="n">
        <v>1159022.37056528</v>
      </c>
      <c r="AB53" t="n">
        <v>21590544.9245888</v>
      </c>
      <c r="AC53" t="n">
        <v>4180275.67719745</v>
      </c>
      <c r="AD53" t="n">
        <v>3388183.43886244</v>
      </c>
      <c r="AE53" t="n">
        <v>2435295.56660927</v>
      </c>
      <c r="AF53" t="n">
        <v>8653053.20908775</v>
      </c>
      <c r="AG53" t="n">
        <v>225769.938814965</v>
      </c>
      <c r="AH53" t="n">
        <v>1990300.22579866</v>
      </c>
      <c r="AI53" t="n">
        <v>111570.875570414</v>
      </c>
      <c r="AJ53" t="n">
        <v>1257597.73913325</v>
      </c>
      <c r="AK53" t="n">
        <v>2419966.94985979</v>
      </c>
      <c r="AL53" t="n">
        <v>418356.325435715</v>
      </c>
      <c r="AM53" t="n">
        <v>954439.699955955</v>
      </c>
      <c r="AN53" t="n">
        <v>217729.527893316</v>
      </c>
      <c r="AO53" t="n">
        <v>1126522.19282983</v>
      </c>
      <c r="AP53" t="n">
        <v>190011.536316723</v>
      </c>
      <c r="AQ53" t="n">
        <v>4746560.86830621</v>
      </c>
      <c r="AR53" t="n">
        <v>504214.936913376</v>
      </c>
      <c r="AS53" t="n">
        <v>49057278.5470832</v>
      </c>
      <c r="AT53" t="n">
        <v>12723506.1728465</v>
      </c>
      <c r="AU53" t="n">
        <v>472406.414349357</v>
      </c>
      <c r="AV53" t="n">
        <v>1524033.95612536</v>
      </c>
      <c r="AW53" t="n">
        <v>122746946.502218</v>
      </c>
      <c r="AX53" t="n">
        <v>26334448.6357851</v>
      </c>
      <c r="AY53" t="n">
        <v>4938595.25858829</v>
      </c>
      <c r="AZ53" t="n">
        <v>1004475.78409577</v>
      </c>
      <c r="BA53" t="n">
        <v>1513045.120657</v>
      </c>
      <c r="BB53" t="n">
        <v>7144814.41394846</v>
      </c>
      <c r="BC53" t="n">
        <v>20379651.7819569</v>
      </c>
      <c r="BD53" t="n">
        <v>4408001.64463536</v>
      </c>
      <c r="BE53" t="n">
        <v>834840.56648741</v>
      </c>
      <c r="BF53" t="n">
        <v>1779355.84478057</v>
      </c>
      <c r="BG53" t="n">
        <v>4410033.22542672</v>
      </c>
      <c r="BH53" t="n">
        <v>8616042.6550833</v>
      </c>
      <c r="BI53" t="n">
        <v>1559851.52768021</v>
      </c>
      <c r="BJ53" t="n">
        <v>1295495.35714632</v>
      </c>
      <c r="BK53" t="n">
        <v>489778.604985262</v>
      </c>
      <c r="BL53" t="n">
        <v>1643915.62049745</v>
      </c>
      <c r="BM53" t="n">
        <v>7021681.30865978</v>
      </c>
      <c r="BN53" t="n">
        <v>7028301.46303947</v>
      </c>
      <c r="BO53" t="n">
        <v>7168582.88209523</v>
      </c>
      <c r="BP53" t="n">
        <v>0</v>
      </c>
      <c r="BQ53" t="n">
        <v>4518716.37949387</v>
      </c>
      <c r="BR53" t="n">
        <v>1265530.04979697</v>
      </c>
      <c r="BS53" t="n">
        <v>16471054.6822675</v>
      </c>
      <c r="BT53" t="n">
        <v>1561335.50234879</v>
      </c>
      <c r="BU53" t="n">
        <v>198526671.60127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186205361.399472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305449.336719973</v>
      </c>
      <c r="C54" t="n">
        <v>32103.5679399843</v>
      </c>
      <c r="D54" t="n">
        <v>0</v>
      </c>
      <c r="E54" t="n">
        <v>478633.737290581</v>
      </c>
      <c r="F54" t="n">
        <v>27789.7206968964</v>
      </c>
      <c r="G54" t="n">
        <v>747281.534456334</v>
      </c>
      <c r="H54" t="n">
        <v>1231536.93722181</v>
      </c>
      <c r="I54" t="n">
        <v>84877.6460435108</v>
      </c>
      <c r="J54" t="n">
        <v>49907.3245989407</v>
      </c>
      <c r="K54" t="n">
        <v>213870.019208729</v>
      </c>
      <c r="L54" t="n">
        <v>2668582.587263</v>
      </c>
      <c r="M54" t="n">
        <v>1137860.68235744</v>
      </c>
      <c r="N54" t="n">
        <v>96417.7414302614</v>
      </c>
      <c r="O54" t="n">
        <v>74374.6765612516</v>
      </c>
      <c r="P54" t="n">
        <v>390489.652043607</v>
      </c>
      <c r="Q54" t="n">
        <v>1222739.7865175</v>
      </c>
      <c r="R54" t="n">
        <v>519908.461664285</v>
      </c>
      <c r="S54" t="n">
        <v>635518.892569779</v>
      </c>
      <c r="T54" t="n">
        <v>150300.481111155</v>
      </c>
      <c r="U54" t="n">
        <v>15313.4987985933</v>
      </c>
      <c r="V54" t="n">
        <v>4283.96856947357</v>
      </c>
      <c r="W54" t="n">
        <v>99556.6460480405</v>
      </c>
      <c r="X54" t="n">
        <v>23731.5204035976</v>
      </c>
      <c r="Y54" t="n">
        <v>10277.9653138978</v>
      </c>
      <c r="Z54" t="n">
        <v>20719.4076393903</v>
      </c>
      <c r="AA54" t="n">
        <v>90117.9416989486</v>
      </c>
      <c r="AB54" t="n">
        <v>3221891.859288</v>
      </c>
      <c r="AC54" t="n">
        <v>161790.338222819</v>
      </c>
      <c r="AD54" t="n">
        <v>646054.002251696</v>
      </c>
      <c r="AE54" t="n">
        <v>1024641.72048525</v>
      </c>
      <c r="AF54" t="n">
        <v>925216.669546668</v>
      </c>
      <c r="AG54" t="n">
        <v>581069.334707774</v>
      </c>
      <c r="AH54" t="n">
        <v>252713.652033192</v>
      </c>
      <c r="AI54" t="n">
        <v>264365.205131423</v>
      </c>
      <c r="AJ54" t="n">
        <v>496845.288092352</v>
      </c>
      <c r="AK54" t="n">
        <v>2172219.02355473</v>
      </c>
      <c r="AL54" t="n">
        <v>43616.162883889</v>
      </c>
      <c r="AM54" t="n">
        <v>1380520.42136922</v>
      </c>
      <c r="AN54" t="n">
        <v>28466.5724990444</v>
      </c>
      <c r="AO54" t="n">
        <v>130355.56074097</v>
      </c>
      <c r="AP54" t="n">
        <v>174834.808163897</v>
      </c>
      <c r="AQ54" t="n">
        <v>92308.8887981464</v>
      </c>
      <c r="AR54" t="n">
        <v>34099.2456507099</v>
      </c>
      <c r="AS54" t="n">
        <v>52872108.4655545</v>
      </c>
      <c r="AT54" t="n">
        <v>16560656.3104242</v>
      </c>
      <c r="AU54" t="n">
        <v>3904174.69610673</v>
      </c>
      <c r="AV54" t="n">
        <v>90262062.1784834</v>
      </c>
      <c r="AW54" t="n">
        <v>4038.30156596197</v>
      </c>
      <c r="AX54" t="n">
        <v>6428716.16085202</v>
      </c>
      <c r="AY54" t="n">
        <v>1818378.66514685</v>
      </c>
      <c r="AZ54" t="n">
        <v>440663.892677884</v>
      </c>
      <c r="BA54" t="n">
        <v>424815.132255547</v>
      </c>
      <c r="BB54" t="n">
        <v>2209738.92501322</v>
      </c>
      <c r="BC54" t="n">
        <v>12400032.53826</v>
      </c>
      <c r="BD54" t="n">
        <v>1391350.57090214</v>
      </c>
      <c r="BE54" t="n">
        <v>58270.6483367019</v>
      </c>
      <c r="BF54" t="n">
        <v>1814724.65763528</v>
      </c>
      <c r="BG54" t="n">
        <v>1976097.04372321</v>
      </c>
      <c r="BH54" t="n">
        <v>26870948.0911375</v>
      </c>
      <c r="BI54" t="n">
        <v>874372.54750495</v>
      </c>
      <c r="BJ54" t="n">
        <v>4979640.42443068</v>
      </c>
      <c r="BK54" t="n">
        <v>827371.728940728</v>
      </c>
      <c r="BL54" t="n">
        <v>125551.48155716</v>
      </c>
      <c r="BM54" t="n">
        <v>11059662.644204</v>
      </c>
      <c r="BN54" t="n">
        <v>8788376.82994029</v>
      </c>
      <c r="BO54" t="n">
        <v>4402287.74462317</v>
      </c>
      <c r="BP54" t="n">
        <v>0</v>
      </c>
      <c r="BQ54" t="n">
        <v>7380.66083725289</v>
      </c>
      <c r="BR54" t="n">
        <v>28734.0226902977</v>
      </c>
      <c r="BS54" t="n">
        <v>32255331.7774099</v>
      </c>
      <c r="BT54" t="n">
        <v>2207272.07743644</v>
      </c>
      <c r="BU54" t="n">
        <v>320650681.721057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85362013.0476599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1812381.93245234</v>
      </c>
      <c r="C55" t="n">
        <v>728287.438396841</v>
      </c>
      <c r="D55" t="n">
        <v>0</v>
      </c>
      <c r="E55" t="n">
        <v>110750.254575242</v>
      </c>
      <c r="F55" t="n">
        <v>7274.14199020608</v>
      </c>
      <c r="G55" t="n">
        <v>1162363.6330212</v>
      </c>
      <c r="H55" t="n">
        <v>204619.540649014</v>
      </c>
      <c r="I55" t="n">
        <v>382979.584660489</v>
      </c>
      <c r="J55" t="n">
        <v>462658.61962264</v>
      </c>
      <c r="K55" t="n">
        <v>53683.2642296625</v>
      </c>
      <c r="L55" t="n">
        <v>699754.062227873</v>
      </c>
      <c r="M55" t="n">
        <v>543301.967108532</v>
      </c>
      <c r="N55" t="n">
        <v>106046.898743525</v>
      </c>
      <c r="O55" t="n">
        <v>100368.222995314</v>
      </c>
      <c r="P55" t="n">
        <v>413064.316368924</v>
      </c>
      <c r="Q55" t="n">
        <v>1471449.2781671</v>
      </c>
      <c r="R55" t="n">
        <v>218082.413138346</v>
      </c>
      <c r="S55" t="n">
        <v>253134.552162591</v>
      </c>
      <c r="T55" t="n">
        <v>3102393.29985799</v>
      </c>
      <c r="U55" t="n">
        <v>364393.241615926</v>
      </c>
      <c r="V55" t="n">
        <v>133739.764560504</v>
      </c>
      <c r="W55" t="n">
        <v>1031646.26967091</v>
      </c>
      <c r="X55" t="n">
        <v>36220.1303141776</v>
      </c>
      <c r="Y55" t="n">
        <v>57755.5775704287</v>
      </c>
      <c r="Z55" t="n">
        <v>1062242.16880529</v>
      </c>
      <c r="AA55" t="n">
        <v>463874.443250124</v>
      </c>
      <c r="AB55" t="n">
        <v>22768270.1542867</v>
      </c>
      <c r="AC55" t="n">
        <v>3156182.66409318</v>
      </c>
      <c r="AD55" t="n">
        <v>1780313.29020159</v>
      </c>
      <c r="AE55" t="n">
        <v>1257303.87108396</v>
      </c>
      <c r="AF55" t="n">
        <v>6040135.35199491</v>
      </c>
      <c r="AG55" t="n">
        <v>118143.91132205</v>
      </c>
      <c r="AH55" t="n">
        <v>12602.4357213782</v>
      </c>
      <c r="AI55" t="n">
        <v>110264.68679135</v>
      </c>
      <c r="AJ55" t="n">
        <v>7672429.3364337</v>
      </c>
      <c r="AK55" t="n">
        <v>4282492.32676274</v>
      </c>
      <c r="AL55" t="n">
        <v>58698.6011641368</v>
      </c>
      <c r="AM55" t="n">
        <v>1715586.38228409</v>
      </c>
      <c r="AN55" t="n">
        <v>1448175.52703756</v>
      </c>
      <c r="AO55" t="n">
        <v>105983.342190438</v>
      </c>
      <c r="AP55" t="n">
        <v>264209.076884996</v>
      </c>
      <c r="AQ55" t="n">
        <v>504278.159535489</v>
      </c>
      <c r="AR55" t="n">
        <v>156245.028480007</v>
      </c>
      <c r="AS55" t="n">
        <v>2678375.37995196</v>
      </c>
      <c r="AT55" t="n">
        <v>2357318.2760232</v>
      </c>
      <c r="AU55" t="n">
        <v>198717663.361554</v>
      </c>
      <c r="AV55" t="n">
        <v>6207897.62221491</v>
      </c>
      <c r="AW55" t="n">
        <v>5000791.325131</v>
      </c>
      <c r="AX55" t="n">
        <v>21638201.9736781</v>
      </c>
      <c r="AY55" t="n">
        <v>3435582.91200177</v>
      </c>
      <c r="AZ55" t="n">
        <v>1300258.82600042</v>
      </c>
      <c r="BA55" t="n">
        <v>997923.172241104</v>
      </c>
      <c r="BB55" t="n">
        <v>5631452.57617265</v>
      </c>
      <c r="BC55" t="n">
        <v>228347.780330275</v>
      </c>
      <c r="BD55" t="n">
        <v>4582211.46957275</v>
      </c>
      <c r="BE55" t="n">
        <v>1080698.94740362</v>
      </c>
      <c r="BF55" t="n">
        <v>1851891.99234325</v>
      </c>
      <c r="BG55" t="n">
        <v>8239889.30777213</v>
      </c>
      <c r="BH55" t="n">
        <v>18008673.5809871</v>
      </c>
      <c r="BI55" t="n">
        <v>3900011.37408891</v>
      </c>
      <c r="BJ55" t="n">
        <v>10790213.8921768</v>
      </c>
      <c r="BK55" t="n">
        <v>1078431.7660224</v>
      </c>
      <c r="BL55" t="n">
        <v>1238440.01948033</v>
      </c>
      <c r="BM55" t="n">
        <v>1673328.20651061</v>
      </c>
      <c r="BN55" t="n">
        <v>5984791.88950325</v>
      </c>
      <c r="BO55" t="n">
        <v>2065487.73798018</v>
      </c>
      <c r="BP55" t="n">
        <v>0</v>
      </c>
      <c r="BQ55" t="n">
        <v>750382.740251296</v>
      </c>
      <c r="BR55" t="n">
        <v>2895848.8514938</v>
      </c>
      <c r="BS55" t="n">
        <v>2390697.66028162</v>
      </c>
      <c r="BT55" t="n">
        <v>4391826.68963784</v>
      </c>
      <c r="BU55" t="n">
        <v>246621550.378625</v>
      </c>
      <c r="BV55" t="n">
        <v>0</v>
      </c>
      <c r="BW55" t="n">
        <v>0</v>
      </c>
      <c r="BX55" t="n">
        <v>0</v>
      </c>
      <c r="BY55" t="n">
        <v>3165951.74582562</v>
      </c>
      <c r="BZ55" t="n">
        <v>0</v>
      </c>
      <c r="CA55" t="n">
        <v>72505668.0246383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10897039.1451279</v>
      </c>
      <c r="AV56" t="n">
        <v>17419156.533504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224738.982873943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223201.221624195</v>
      </c>
      <c r="BR56" t="n">
        <v>0</v>
      </c>
      <c r="BS56" t="n">
        <v>3136273.06976911</v>
      </c>
      <c r="BT56" t="n">
        <v>0</v>
      </c>
      <c r="BU56" t="n">
        <v>439205361.410407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8792716362.97892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9808994.57017145</v>
      </c>
      <c r="C58" t="n">
        <v>174031.502015957</v>
      </c>
      <c r="D58" t="n">
        <v>0</v>
      </c>
      <c r="E58" t="n">
        <v>150410.701281401</v>
      </c>
      <c r="F58" t="n">
        <v>9772.99074098493</v>
      </c>
      <c r="G58" t="n">
        <v>26735159.0490295</v>
      </c>
      <c r="H58" t="n">
        <v>42371361.2023183</v>
      </c>
      <c r="I58" t="n">
        <v>6226439.2791314</v>
      </c>
      <c r="J58" t="n">
        <v>2323791.09027934</v>
      </c>
      <c r="K58" t="n">
        <v>172325.850307606</v>
      </c>
      <c r="L58" t="n">
        <v>17611763.520128</v>
      </c>
      <c r="M58" t="n">
        <v>3632721.62564823</v>
      </c>
      <c r="N58" t="n">
        <v>5502611.7749773</v>
      </c>
      <c r="O58" t="n">
        <v>408316.686665888</v>
      </c>
      <c r="P58" t="n">
        <v>1017629.74869931</v>
      </c>
      <c r="Q58" t="n">
        <v>7804780.94028642</v>
      </c>
      <c r="R58" t="n">
        <v>3033517.64166413</v>
      </c>
      <c r="S58" t="n">
        <v>3579125.18388167</v>
      </c>
      <c r="T58" t="n">
        <v>18422818.5363486</v>
      </c>
      <c r="U58" t="n">
        <v>3492954.82935205</v>
      </c>
      <c r="V58" t="n">
        <v>1618473.85368103</v>
      </c>
      <c r="W58" t="n">
        <v>20281003.2523458</v>
      </c>
      <c r="X58" t="n">
        <v>4517493.73698419</v>
      </c>
      <c r="Y58" t="n">
        <v>124290.049181527</v>
      </c>
      <c r="Z58" t="n">
        <v>9840842.32281367</v>
      </c>
      <c r="AA58" t="n">
        <v>8942686.99654377</v>
      </c>
      <c r="AB58" t="n">
        <v>262905621.564599</v>
      </c>
      <c r="AC58" t="n">
        <v>97525955.2100679</v>
      </c>
      <c r="AD58" t="n">
        <v>179748783.744056</v>
      </c>
      <c r="AE58" t="n">
        <v>80874357.7381194</v>
      </c>
      <c r="AF58" t="n">
        <v>426418158.615762</v>
      </c>
      <c r="AG58" t="n">
        <v>275386.91958498</v>
      </c>
      <c r="AH58" t="n">
        <v>333919.369505911</v>
      </c>
      <c r="AI58" t="n">
        <v>694941.684386881</v>
      </c>
      <c r="AJ58" t="n">
        <v>24639072.9953536</v>
      </c>
      <c r="AK58" t="n">
        <v>6832674.46996466</v>
      </c>
      <c r="AL58" t="n">
        <v>283841.784677067</v>
      </c>
      <c r="AM58" t="n">
        <v>17076583.3640019</v>
      </c>
      <c r="AN58" t="n">
        <v>28978296.3063923</v>
      </c>
      <c r="AO58" t="n">
        <v>9189573.53690219</v>
      </c>
      <c r="AP58" t="n">
        <v>2670672.53938678</v>
      </c>
      <c r="AQ58" t="n">
        <v>38230820.6846914</v>
      </c>
      <c r="AR58" t="n">
        <v>8526758.5075036</v>
      </c>
      <c r="AS58" t="n">
        <v>70601511.845197</v>
      </c>
      <c r="AT58" t="n">
        <v>31908635.6305774</v>
      </c>
      <c r="AU58" t="n">
        <v>84056882.7536399</v>
      </c>
      <c r="AV58" t="n">
        <v>1945641.02564103</v>
      </c>
      <c r="AW58" t="n">
        <v>25900880.8370702</v>
      </c>
      <c r="AX58" t="n">
        <v>464110924.636065</v>
      </c>
      <c r="AY58" t="n">
        <v>21000000</v>
      </c>
      <c r="AZ58" t="n">
        <v>48940822.5655802</v>
      </c>
      <c r="BA58" t="n">
        <v>19203635.835547</v>
      </c>
      <c r="BB58" t="n">
        <v>150755855.679215</v>
      </c>
      <c r="BC58" t="n">
        <v>141343201.867933</v>
      </c>
      <c r="BD58" t="n">
        <v>122133924.907975</v>
      </c>
      <c r="BE58" t="n">
        <v>13040243.0423556</v>
      </c>
      <c r="BF58" t="n">
        <v>151517224.423651</v>
      </c>
      <c r="BG58" t="n">
        <v>195223855.668971</v>
      </c>
      <c r="BH58" t="n">
        <v>493923123.518969</v>
      </c>
      <c r="BI58" t="n">
        <v>190198937.001917</v>
      </c>
      <c r="BJ58" t="n">
        <v>70654177.5581332</v>
      </c>
      <c r="BK58" t="n">
        <v>34930550.3562049</v>
      </c>
      <c r="BL58" t="n">
        <v>82482954.6513193</v>
      </c>
      <c r="BM58" t="n">
        <v>17376537.1213326</v>
      </c>
      <c r="BN58" t="n">
        <v>244832267.198714</v>
      </c>
      <c r="BO58" t="n">
        <v>209151386.796243</v>
      </c>
      <c r="BP58" t="n">
        <v>365223.84241494</v>
      </c>
      <c r="BQ58" t="n">
        <v>58422464.253708</v>
      </c>
      <c r="BR58" t="n">
        <v>2651535.91794046</v>
      </c>
      <c r="BS58" t="n">
        <v>84999317.135868</v>
      </c>
      <c r="BT58" t="n">
        <v>5087889.36729274</v>
      </c>
      <c r="BU58" t="n">
        <v>25540381.5681807</v>
      </c>
      <c r="BV58" t="n">
        <v>85376687.3975986</v>
      </c>
      <c r="BW58" t="n">
        <v>0</v>
      </c>
      <c r="BX58" t="n">
        <v>0</v>
      </c>
      <c r="BY58" t="n">
        <v>542105947.410682</v>
      </c>
      <c r="BZ58" t="n">
        <v>0</v>
      </c>
      <c r="CA58" t="n">
        <v>7597276.95376015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2089447.35506258</v>
      </c>
      <c r="C59" t="n">
        <v>237422.928251366</v>
      </c>
      <c r="D59" t="n">
        <v>0</v>
      </c>
      <c r="E59" t="n">
        <v>637948.267532806</v>
      </c>
      <c r="F59" t="n">
        <v>17232.294078534</v>
      </c>
      <c r="G59" t="n">
        <v>2390918.35757626</v>
      </c>
      <c r="H59" t="n">
        <v>21773602.9239536</v>
      </c>
      <c r="I59" t="n">
        <v>667171.640168653</v>
      </c>
      <c r="J59" t="n">
        <v>491302.337748733</v>
      </c>
      <c r="K59" t="n">
        <v>73744.5550319672</v>
      </c>
      <c r="L59" t="n">
        <v>1942362.96813996</v>
      </c>
      <c r="M59" t="n">
        <v>797373.581472933</v>
      </c>
      <c r="N59" t="n">
        <v>303924.32976958</v>
      </c>
      <c r="O59" t="n">
        <v>70944.6777536977</v>
      </c>
      <c r="P59" t="n">
        <v>976046.969762722</v>
      </c>
      <c r="Q59" t="n">
        <v>1665447.47361656</v>
      </c>
      <c r="R59" t="n">
        <v>192462.033682841</v>
      </c>
      <c r="S59" t="n">
        <v>478041.784272776</v>
      </c>
      <c r="T59" t="n">
        <v>3753157.04840762</v>
      </c>
      <c r="U59" t="n">
        <v>153698.400958602</v>
      </c>
      <c r="V59" t="n">
        <v>5953994.69575915</v>
      </c>
      <c r="W59" t="n">
        <v>3524982.17420277</v>
      </c>
      <c r="X59" t="n">
        <v>336127.613473789</v>
      </c>
      <c r="Y59" t="n">
        <v>256537.158494514</v>
      </c>
      <c r="Z59" t="n">
        <v>2448275.97094343</v>
      </c>
      <c r="AA59" t="n">
        <v>921257.353273835</v>
      </c>
      <c r="AB59" t="n">
        <v>21463212.5143287</v>
      </c>
      <c r="AC59" t="n">
        <v>1241343.03403478</v>
      </c>
      <c r="AD59" t="n">
        <v>2211836.44825907</v>
      </c>
      <c r="AE59" t="n">
        <v>3922792.50247447</v>
      </c>
      <c r="AF59" t="n">
        <v>7500398.11510618</v>
      </c>
      <c r="AG59" t="n">
        <v>3070470.80218747</v>
      </c>
      <c r="AH59" t="n">
        <v>3245043.13576457</v>
      </c>
      <c r="AI59" t="n">
        <v>1778964.88873989</v>
      </c>
      <c r="AJ59" t="n">
        <v>24413857.4675954</v>
      </c>
      <c r="AK59" t="n">
        <v>1177970.32577646</v>
      </c>
      <c r="AL59" t="n">
        <v>14862.8063017311</v>
      </c>
      <c r="AM59" t="n">
        <v>1944060.25248567</v>
      </c>
      <c r="AN59" t="n">
        <v>4608349.05475723</v>
      </c>
      <c r="AO59" t="n">
        <v>610456.761208581</v>
      </c>
      <c r="AP59" t="n">
        <v>288833.051324289</v>
      </c>
      <c r="AQ59" t="n">
        <v>3749402.55182095</v>
      </c>
      <c r="AR59" t="n">
        <v>2026246.54004702</v>
      </c>
      <c r="AS59" t="n">
        <v>3405609.32123223</v>
      </c>
      <c r="AT59" t="n">
        <v>2165442.35961808</v>
      </c>
      <c r="AU59" t="n">
        <v>4009264.76240865</v>
      </c>
      <c r="AV59" t="n">
        <v>22737.5432513742</v>
      </c>
      <c r="AW59" t="n">
        <v>7802864.86948298</v>
      </c>
      <c r="AX59" t="n">
        <v>2213802.86146285</v>
      </c>
      <c r="AY59" t="n">
        <v>6156440.28221452</v>
      </c>
      <c r="AZ59" t="n">
        <v>1413317.30324105</v>
      </c>
      <c r="BA59" t="n">
        <v>2046587.32971758</v>
      </c>
      <c r="BB59" t="n">
        <v>12437910.0178464</v>
      </c>
      <c r="BC59" t="n">
        <v>19735460.9728853</v>
      </c>
      <c r="BD59" t="n">
        <v>8974136.26257283</v>
      </c>
      <c r="BE59" t="n">
        <v>3230785.27980982</v>
      </c>
      <c r="BF59" t="n">
        <v>2124180.02452594</v>
      </c>
      <c r="BG59" t="n">
        <v>4728455.56908116</v>
      </c>
      <c r="BH59" t="n">
        <v>7964902.76775923</v>
      </c>
      <c r="BI59" t="n">
        <v>1086922.81449204</v>
      </c>
      <c r="BJ59" t="n">
        <v>811638.773697998</v>
      </c>
      <c r="BK59" t="n">
        <v>1550641.60176946</v>
      </c>
      <c r="BL59" t="n">
        <v>3157316.59039461</v>
      </c>
      <c r="BM59" t="n">
        <v>3768022.1114152</v>
      </c>
      <c r="BN59" t="n">
        <v>13371141.2401469</v>
      </c>
      <c r="BO59" t="n">
        <v>2879345.88602107</v>
      </c>
      <c r="BP59" t="n">
        <v>156090.330217429</v>
      </c>
      <c r="BQ59" t="n">
        <v>466399.975520557</v>
      </c>
      <c r="BR59" t="n">
        <v>270539.98211136</v>
      </c>
      <c r="BS59" t="n">
        <v>10014179.4801757</v>
      </c>
      <c r="BT59" t="n">
        <v>407558.907440436</v>
      </c>
      <c r="BU59" t="n">
        <v>114451572.578385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173281738.686308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707178.286314259</v>
      </c>
      <c r="C60" t="n">
        <v>401182.192927409</v>
      </c>
      <c r="D60" t="n">
        <v>0</v>
      </c>
      <c r="E60" t="n">
        <v>254490.508288445</v>
      </c>
      <c r="F60" t="n">
        <v>2961.01429920041</v>
      </c>
      <c r="G60" t="n">
        <v>14153004.5804451</v>
      </c>
      <c r="H60" t="n">
        <v>10265106.1784719</v>
      </c>
      <c r="I60" t="n">
        <v>2296711.44257728</v>
      </c>
      <c r="J60" t="n">
        <v>663835.184758879</v>
      </c>
      <c r="K60" t="n">
        <v>110910.144678687</v>
      </c>
      <c r="L60" t="n">
        <v>4165591.50251497</v>
      </c>
      <c r="M60" t="n">
        <v>1720314.1582472</v>
      </c>
      <c r="N60" t="n">
        <v>3520255.27080113</v>
      </c>
      <c r="O60" t="n">
        <v>106558.056010959</v>
      </c>
      <c r="P60" t="n">
        <v>885294.933191239</v>
      </c>
      <c r="Q60" t="n">
        <v>4793714.84632851</v>
      </c>
      <c r="R60" t="n">
        <v>463237.786517283</v>
      </c>
      <c r="S60" t="n">
        <v>2194301.51098751</v>
      </c>
      <c r="T60" t="n">
        <v>3040274.70943486</v>
      </c>
      <c r="U60" t="n">
        <v>612368.373847624</v>
      </c>
      <c r="V60" t="n">
        <v>542484.021440973</v>
      </c>
      <c r="W60" t="n">
        <v>6495561.13406446</v>
      </c>
      <c r="X60" t="n">
        <v>517334.035936433</v>
      </c>
      <c r="Y60" t="n">
        <v>343454.275582509</v>
      </c>
      <c r="Z60" t="n">
        <v>5963791.80163665</v>
      </c>
      <c r="AA60" t="n">
        <v>2243858.06244456</v>
      </c>
      <c r="AB60" t="n">
        <v>34290665.9190807</v>
      </c>
      <c r="AC60" t="n">
        <v>2064550.24577873</v>
      </c>
      <c r="AD60" t="n">
        <v>3161235.11565556</v>
      </c>
      <c r="AE60" t="n">
        <v>1979944.86554129</v>
      </c>
      <c r="AF60" t="n">
        <v>12417093.3812661</v>
      </c>
      <c r="AG60" t="n">
        <v>220632.784490133</v>
      </c>
      <c r="AH60" t="n">
        <v>1109816.65870099</v>
      </c>
      <c r="AI60" t="n">
        <v>116480.903737098</v>
      </c>
      <c r="AJ60" t="n">
        <v>509607.574727841</v>
      </c>
      <c r="AK60" t="n">
        <v>425805.993127486</v>
      </c>
      <c r="AL60" t="n">
        <v>41043.437562534</v>
      </c>
      <c r="AM60" t="n">
        <v>1059891.7531006</v>
      </c>
      <c r="AN60" t="n">
        <v>709402.751430733</v>
      </c>
      <c r="AO60" t="n">
        <v>3369700.53640935</v>
      </c>
      <c r="AP60" t="n">
        <v>528113.386068727</v>
      </c>
      <c r="AQ60" t="n">
        <v>3142017.52579368</v>
      </c>
      <c r="AR60" t="n">
        <v>2942622.39792013</v>
      </c>
      <c r="AS60" t="n">
        <v>10032221.0876791</v>
      </c>
      <c r="AT60" t="n">
        <v>8399965.96867815</v>
      </c>
      <c r="AU60" t="n">
        <v>33385942.644947</v>
      </c>
      <c r="AV60" t="n">
        <v>3866407.1401428</v>
      </c>
      <c r="AW60" t="n">
        <v>4999362.67917165</v>
      </c>
      <c r="AX60" t="n">
        <v>20115548.5486517</v>
      </c>
      <c r="AY60" t="n">
        <v>1197473.49104008</v>
      </c>
      <c r="AZ60" t="n">
        <v>4163838.38986511</v>
      </c>
      <c r="BA60" t="n">
        <v>6078898.60909555</v>
      </c>
      <c r="BB60" t="n">
        <v>24569566.1561417</v>
      </c>
      <c r="BC60" t="n">
        <v>26944139.2031604</v>
      </c>
      <c r="BD60" t="n">
        <v>17077066.0360533</v>
      </c>
      <c r="BE60" t="n">
        <v>1345782.81337294</v>
      </c>
      <c r="BF60" t="n">
        <v>1250787.9865836</v>
      </c>
      <c r="BG60" t="n">
        <v>12039330.3412814</v>
      </c>
      <c r="BH60" t="n">
        <v>75477886.0473996</v>
      </c>
      <c r="BI60" t="n">
        <v>7244299.29974436</v>
      </c>
      <c r="BJ60" t="n">
        <v>3051373.44170907</v>
      </c>
      <c r="BK60" t="n">
        <v>3547736.60175219</v>
      </c>
      <c r="BL60" t="n">
        <v>5546389.7271347</v>
      </c>
      <c r="BM60" t="n">
        <v>4950643.30197388</v>
      </c>
      <c r="BN60" t="n">
        <v>6499669.64985455</v>
      </c>
      <c r="BO60" t="n">
        <v>10265607.3144153</v>
      </c>
      <c r="BP60" t="n">
        <v>0</v>
      </c>
      <c r="BQ60" t="n">
        <v>372004.08623618</v>
      </c>
      <c r="BR60" t="n">
        <v>239383.116877013</v>
      </c>
      <c r="BS60" t="n">
        <v>33265222.9305874</v>
      </c>
      <c r="BT60" t="n">
        <v>1853067.04153363</v>
      </c>
      <c r="BU60" t="n">
        <v>251307358.477653</v>
      </c>
      <c r="BV60" t="n">
        <v>0</v>
      </c>
      <c r="BW60" t="n">
        <v>0</v>
      </c>
      <c r="BX60" t="n">
        <v>0</v>
      </c>
      <c r="BY60" t="n">
        <v>53214278.0679719</v>
      </c>
      <c r="BZ60" t="n">
        <v>0</v>
      </c>
      <c r="CA60" t="n">
        <v>38273925.0136955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939072.980800679</v>
      </c>
      <c r="C61" t="n">
        <v>149974.578675727</v>
      </c>
      <c r="D61" t="n">
        <v>0</v>
      </c>
      <c r="E61" t="n">
        <v>305220.302420839</v>
      </c>
      <c r="F61" t="n">
        <v>951.137655519933</v>
      </c>
      <c r="G61" t="n">
        <v>5425963.00978684</v>
      </c>
      <c r="H61" t="n">
        <v>9562242.41463107</v>
      </c>
      <c r="I61" t="n">
        <v>1876073.9938255</v>
      </c>
      <c r="J61" t="n">
        <v>602906.323308764</v>
      </c>
      <c r="K61" t="n">
        <v>91622.9888767367</v>
      </c>
      <c r="L61" t="n">
        <v>4096325.90825129</v>
      </c>
      <c r="M61" t="n">
        <v>2640799.26074665</v>
      </c>
      <c r="N61" t="n">
        <v>598842.86608188</v>
      </c>
      <c r="O61" t="n">
        <v>51216.1302015992</v>
      </c>
      <c r="P61" t="n">
        <v>284756.372267285</v>
      </c>
      <c r="Q61" t="n">
        <v>9845564.42558545</v>
      </c>
      <c r="R61" t="n">
        <v>448115.073145918</v>
      </c>
      <c r="S61" t="n">
        <v>748267.713246812</v>
      </c>
      <c r="T61" t="n">
        <v>3512582.99747411</v>
      </c>
      <c r="U61" t="n">
        <v>454779.362363954</v>
      </c>
      <c r="V61" t="n">
        <v>77192.7207887856</v>
      </c>
      <c r="W61" t="n">
        <v>3147208.20210181</v>
      </c>
      <c r="X61" t="n">
        <v>724574.373560851</v>
      </c>
      <c r="Y61" t="n">
        <v>360107.99184623</v>
      </c>
      <c r="Z61" t="n">
        <v>617052.153999676</v>
      </c>
      <c r="AA61" t="n">
        <v>1374794.36565161</v>
      </c>
      <c r="AB61" t="n">
        <v>42235533.8539483</v>
      </c>
      <c r="AC61" t="n">
        <v>14631783.6830631</v>
      </c>
      <c r="AD61" t="n">
        <v>4398889.78110221</v>
      </c>
      <c r="AE61" t="n">
        <v>5296001.30673538</v>
      </c>
      <c r="AF61" t="n">
        <v>16962770.7414826</v>
      </c>
      <c r="AG61" t="n">
        <v>254485.816081342</v>
      </c>
      <c r="AH61" t="n">
        <v>1550044.01389017</v>
      </c>
      <c r="AI61" t="n">
        <v>42364.4718160805</v>
      </c>
      <c r="AJ61" t="n">
        <v>1710432.73149038</v>
      </c>
      <c r="AK61" t="n">
        <v>645736.503711797</v>
      </c>
      <c r="AL61" t="n">
        <v>8596.69089344781</v>
      </c>
      <c r="AM61" t="n">
        <v>440920.391017548</v>
      </c>
      <c r="AN61" t="n">
        <v>763212.760924392</v>
      </c>
      <c r="AO61" t="n">
        <v>6238315.20754636</v>
      </c>
      <c r="AP61" t="n">
        <v>384161.440922679</v>
      </c>
      <c r="AQ61" t="n">
        <v>4118676.14845833</v>
      </c>
      <c r="AR61" t="n">
        <v>6286882.96674989</v>
      </c>
      <c r="AS61" t="n">
        <v>15383744.57095</v>
      </c>
      <c r="AT61" t="n">
        <v>6854110.77745209</v>
      </c>
      <c r="AU61" t="n">
        <v>19357513.8621824</v>
      </c>
      <c r="AV61" t="n">
        <v>2518274.2290786</v>
      </c>
      <c r="AW61" t="n">
        <v>2457875.57797863</v>
      </c>
      <c r="AX61" t="n">
        <v>7151590.53433829</v>
      </c>
      <c r="AY61" t="n">
        <v>916878.504590384</v>
      </c>
      <c r="AZ61" t="n">
        <v>6742962.92686851</v>
      </c>
      <c r="BA61" t="n">
        <v>11241582.0397904</v>
      </c>
      <c r="BB61" t="n">
        <v>19173857.2771749</v>
      </c>
      <c r="BC61" t="n">
        <v>5981697.79548249</v>
      </c>
      <c r="BD61" t="n">
        <v>36883388.6859671</v>
      </c>
      <c r="BE61" t="n">
        <v>1646260.75448483</v>
      </c>
      <c r="BF61" t="n">
        <v>5181036.75600556</v>
      </c>
      <c r="BG61" t="n">
        <v>11516533.8501079</v>
      </c>
      <c r="BH61" t="n">
        <v>23007226.5639725</v>
      </c>
      <c r="BI61" t="n">
        <v>5091161.11956704</v>
      </c>
      <c r="BJ61" t="n">
        <v>7057858.05288476</v>
      </c>
      <c r="BK61" t="n">
        <v>887272.416018337</v>
      </c>
      <c r="BL61" t="n">
        <v>3509224.85665039</v>
      </c>
      <c r="BM61" t="n">
        <v>4624203.31844603</v>
      </c>
      <c r="BN61" t="n">
        <v>16233501.6327259</v>
      </c>
      <c r="BO61" t="n">
        <v>8213753.15183996</v>
      </c>
      <c r="BP61" t="n">
        <v>4991620.13879527</v>
      </c>
      <c r="BQ61" t="n">
        <v>40311334.7229867</v>
      </c>
      <c r="BR61" t="n">
        <v>412852.48502711</v>
      </c>
      <c r="BS61" t="n">
        <v>92083441.205228</v>
      </c>
      <c r="BT61" t="n">
        <v>8052419.3006694</v>
      </c>
      <c r="BU61" t="n">
        <v>0</v>
      </c>
      <c r="BV61" t="n">
        <v>0</v>
      </c>
      <c r="BW61" t="n">
        <v>69416861.8826363</v>
      </c>
      <c r="BX61" t="n">
        <v>395762988.900521</v>
      </c>
      <c r="BY61" t="n">
        <v>0</v>
      </c>
      <c r="BZ61" t="n">
        <v>0</v>
      </c>
      <c r="CA61" t="n">
        <v>80728515.5982049</v>
      </c>
      <c r="CB61" t="n">
        <v>0</v>
      </c>
      <c r="CC61" t="n">
        <v>0</v>
      </c>
      <c r="CD61" t="n">
        <v>0</v>
      </c>
      <c r="CE61" t="n">
        <v>2017968.6443605</v>
      </c>
      <c r="CF61" t="n">
        <v>5295612.53681904</v>
      </c>
      <c r="CG61" t="n">
        <v>0</v>
      </c>
      <c r="CH61" t="n">
        <v>0</v>
      </c>
      <c r="CI61" t="n">
        <v>0</v>
      </c>
      <c r="CJ61" t="n">
        <v>14378479.8842811</v>
      </c>
      <c r="CK61" t="n">
        <v>0</v>
      </c>
      <c r="CL61" t="n">
        <v>0</v>
      </c>
      <c r="CM61" t="n">
        <v>2393539.92735713</v>
      </c>
      <c r="CN61" t="n">
        <v>16635007.4379467</v>
      </c>
    </row>
    <row r="62">
      <c r="A62" t="s">
        <v>173</v>
      </c>
      <c r="B62" t="n">
        <v>1080568.3254408</v>
      </c>
      <c r="C62" t="n">
        <v>592194.203305152</v>
      </c>
      <c r="D62" t="n">
        <v>0</v>
      </c>
      <c r="E62" t="n">
        <v>230467.470067711</v>
      </c>
      <c r="F62" t="n">
        <v>4109.50371006086</v>
      </c>
      <c r="G62" t="n">
        <v>8981053.5895283</v>
      </c>
      <c r="H62" t="n">
        <v>22395785.512066</v>
      </c>
      <c r="I62" t="n">
        <v>2501883.10439684</v>
      </c>
      <c r="J62" t="n">
        <v>969019.818381604</v>
      </c>
      <c r="K62" t="n">
        <v>175129.963107612</v>
      </c>
      <c r="L62" t="n">
        <v>3378153.67982364</v>
      </c>
      <c r="M62" t="n">
        <v>1520092.53275735</v>
      </c>
      <c r="N62" t="n">
        <v>1713646.22319395</v>
      </c>
      <c r="O62" t="n">
        <v>168047.843672873</v>
      </c>
      <c r="P62" t="n">
        <v>575156.214123781</v>
      </c>
      <c r="Q62" t="n">
        <v>4374690.34749129</v>
      </c>
      <c r="R62" t="n">
        <v>859729.481000048</v>
      </c>
      <c r="S62" t="n">
        <v>1581812.67203594</v>
      </c>
      <c r="T62" t="n">
        <v>8148074.25182052</v>
      </c>
      <c r="U62" t="n">
        <v>818463.120929191</v>
      </c>
      <c r="V62" t="n">
        <v>316094.629572187</v>
      </c>
      <c r="W62" t="n">
        <v>6017437.4116283</v>
      </c>
      <c r="X62" t="n">
        <v>688443.611722287</v>
      </c>
      <c r="Y62" t="n">
        <v>378236.990032785</v>
      </c>
      <c r="Z62" t="n">
        <v>4182534.27875093</v>
      </c>
      <c r="AA62" t="n">
        <v>2546653.28824736</v>
      </c>
      <c r="AB62" t="n">
        <v>71171733.4257413</v>
      </c>
      <c r="AC62" t="n">
        <v>22209750.6426803</v>
      </c>
      <c r="AD62" t="n">
        <v>12902403.4558968</v>
      </c>
      <c r="AE62" t="n">
        <v>4330618.8609064</v>
      </c>
      <c r="AF62" t="n">
        <v>47830669.2651719</v>
      </c>
      <c r="AG62" t="n">
        <v>230571.856302554</v>
      </c>
      <c r="AH62" t="n">
        <v>654051.16135911</v>
      </c>
      <c r="AI62" t="n">
        <v>314691.473589809</v>
      </c>
      <c r="AJ62" t="n">
        <v>2092413.44653617</v>
      </c>
      <c r="AK62" t="n">
        <v>899048.410052729</v>
      </c>
      <c r="AL62" t="n">
        <v>212069.424536052</v>
      </c>
      <c r="AM62" t="n">
        <v>1075646.95895839</v>
      </c>
      <c r="AN62" t="n">
        <v>1369253.33749768</v>
      </c>
      <c r="AO62" t="n">
        <v>4605796.78390715</v>
      </c>
      <c r="AP62" t="n">
        <v>978806.036739674</v>
      </c>
      <c r="AQ62" t="n">
        <v>9741196.59944735</v>
      </c>
      <c r="AR62" t="n">
        <v>5596680.33230191</v>
      </c>
      <c r="AS62" t="n">
        <v>24307276.342407</v>
      </c>
      <c r="AT62" t="n">
        <v>8048215.93781719</v>
      </c>
      <c r="AU62" t="n">
        <v>26886832.6968827</v>
      </c>
      <c r="AV62" t="n">
        <v>1569876.26279817</v>
      </c>
      <c r="AW62" t="n">
        <v>2020834.08366715</v>
      </c>
      <c r="AX62" t="n">
        <v>24213236.7970521</v>
      </c>
      <c r="AY62" t="n">
        <v>3721170.84076121</v>
      </c>
      <c r="AZ62" t="n">
        <v>4468996.94418664</v>
      </c>
      <c r="BA62" t="n">
        <v>11115830.2454737</v>
      </c>
      <c r="BB62" t="n">
        <v>62368602.214058</v>
      </c>
      <c r="BC62" t="n">
        <v>31470990.6097783</v>
      </c>
      <c r="BD62" t="n">
        <v>29557063.8648525</v>
      </c>
      <c r="BE62" t="n">
        <v>2118374.55700334</v>
      </c>
      <c r="BF62" t="n">
        <v>6395168.17801239</v>
      </c>
      <c r="BG62" t="n">
        <v>18135144.7199515</v>
      </c>
      <c r="BH62" t="n">
        <v>45954238.2652796</v>
      </c>
      <c r="BI62" t="n">
        <v>9838270.87200707</v>
      </c>
      <c r="BJ62" t="n">
        <v>6514272.50561006</v>
      </c>
      <c r="BK62" t="n">
        <v>3329384.41356975</v>
      </c>
      <c r="BL62" t="n">
        <v>6089185.00101626</v>
      </c>
      <c r="BM62" t="n">
        <v>9233365.17581655</v>
      </c>
      <c r="BN62" t="n">
        <v>19507306.7240671</v>
      </c>
      <c r="BO62" t="n">
        <v>16845671.431325</v>
      </c>
      <c r="BP62" t="n">
        <v>15215853.0657151</v>
      </c>
      <c r="BQ62" t="n">
        <v>7751616.33552087</v>
      </c>
      <c r="BR62" t="n">
        <v>1365468.2879676</v>
      </c>
      <c r="BS62" t="n">
        <v>48561733.7103526</v>
      </c>
      <c r="BT62" t="n">
        <v>8936060.98296243</v>
      </c>
      <c r="BU62" t="n">
        <v>53408429.918689</v>
      </c>
      <c r="BV62" t="n">
        <v>0</v>
      </c>
      <c r="BW62" t="n">
        <v>22673069.3904636</v>
      </c>
      <c r="BX62" t="n">
        <v>220908173.210266</v>
      </c>
      <c r="BY62" t="n">
        <v>2132131.49417478</v>
      </c>
      <c r="BZ62" t="n">
        <v>0</v>
      </c>
      <c r="CA62" t="n">
        <v>387916019.20545</v>
      </c>
      <c r="CB62" t="n">
        <v>0</v>
      </c>
      <c r="CC62" t="n">
        <v>0</v>
      </c>
      <c r="CD62" t="n">
        <v>0</v>
      </c>
      <c r="CE62" t="n">
        <v>0</v>
      </c>
      <c r="CF62" t="n">
        <v>9556163.58498293</v>
      </c>
      <c r="CG62" t="n">
        <v>0</v>
      </c>
      <c r="CH62" t="n">
        <v>0</v>
      </c>
      <c r="CI62" t="n">
        <v>0</v>
      </c>
      <c r="CJ62" t="n">
        <v>10913191.6500287</v>
      </c>
      <c r="CK62" t="n">
        <v>0</v>
      </c>
      <c r="CL62" t="n">
        <v>0</v>
      </c>
      <c r="CM62" t="n">
        <v>0</v>
      </c>
      <c r="CN62" t="n">
        <v>10137798.7983332</v>
      </c>
    </row>
    <row r="63">
      <c r="A63" t="s">
        <v>174</v>
      </c>
      <c r="B63" t="n">
        <v>0</v>
      </c>
      <c r="C63" t="n">
        <v>0</v>
      </c>
      <c r="D63" t="n">
        <v>0</v>
      </c>
      <c r="E63" t="n">
        <v>3659891.82963633</v>
      </c>
      <c r="F63" t="n">
        <v>45883.0566898158</v>
      </c>
      <c r="G63" t="n">
        <v>160156.214181141</v>
      </c>
      <c r="H63" t="n">
        <v>21964592.9769324</v>
      </c>
      <c r="I63" t="n">
        <v>3103615.60328388</v>
      </c>
      <c r="J63" t="n">
        <v>3981622.99663363</v>
      </c>
      <c r="K63" t="n">
        <v>315999.097374872</v>
      </c>
      <c r="L63" t="n">
        <v>13363111.8497733</v>
      </c>
      <c r="M63" t="n">
        <v>18272043.7590995</v>
      </c>
      <c r="N63" t="n">
        <v>6092124.79178329</v>
      </c>
      <c r="O63" t="n">
        <v>1132962.79232261</v>
      </c>
      <c r="P63" t="n">
        <v>3851283.74339397</v>
      </c>
      <c r="Q63" t="n">
        <v>17938293.6125974</v>
      </c>
      <c r="R63" t="n">
        <v>951717.451149151</v>
      </c>
      <c r="S63" t="n">
        <v>7439083.62549026</v>
      </c>
      <c r="T63" t="n">
        <v>77528988.8820063</v>
      </c>
      <c r="U63" t="n">
        <v>4604849.63964715</v>
      </c>
      <c r="V63" t="n">
        <v>2842654.2219275</v>
      </c>
      <c r="W63" t="n">
        <v>25157758.2866881</v>
      </c>
      <c r="X63" t="n">
        <v>820662.196853062</v>
      </c>
      <c r="Y63" t="n">
        <v>3176489.29530137</v>
      </c>
      <c r="Z63" t="n">
        <v>36491310.8621722</v>
      </c>
      <c r="AA63" t="n">
        <v>5101725.15459486</v>
      </c>
      <c r="AB63" t="n">
        <v>225333207.07043</v>
      </c>
      <c r="AC63" t="n">
        <v>7202751.67920494</v>
      </c>
      <c r="AD63" t="n">
        <v>26012206.5590847</v>
      </c>
      <c r="AE63" t="n">
        <v>40386621.8915209</v>
      </c>
      <c r="AF63" t="n">
        <v>86112681.7532749</v>
      </c>
      <c r="AG63" t="n">
        <v>3819431.82412122</v>
      </c>
      <c r="AH63" t="n">
        <v>18580.0304331668</v>
      </c>
      <c r="AI63" t="n">
        <v>1036857.75763062</v>
      </c>
      <c r="AJ63" t="n">
        <v>10775196.9697548</v>
      </c>
      <c r="AK63" t="n">
        <v>602408.14362451</v>
      </c>
      <c r="AL63" t="n">
        <v>1812.17403877475</v>
      </c>
      <c r="AM63" t="n">
        <v>13414410.3252365</v>
      </c>
      <c r="AN63" t="n">
        <v>3994689.10781638</v>
      </c>
      <c r="AO63" t="n">
        <v>3767577.93831084</v>
      </c>
      <c r="AP63" t="n">
        <v>330652.493507804</v>
      </c>
      <c r="AQ63" t="n">
        <v>4742383.12596472</v>
      </c>
      <c r="AR63" t="n">
        <v>2046389.54240822</v>
      </c>
      <c r="AS63" t="n">
        <v>15494345.3568751</v>
      </c>
      <c r="AT63" t="n">
        <v>13400582.0121677</v>
      </c>
      <c r="AU63" t="n">
        <v>17912227.472444</v>
      </c>
      <c r="AV63" t="n">
        <v>2331702.00384978</v>
      </c>
      <c r="AW63" t="n">
        <v>80955.9015235835</v>
      </c>
      <c r="AX63" t="n">
        <v>42634336.2935068</v>
      </c>
      <c r="AY63" t="n">
        <v>18593461.2608588</v>
      </c>
      <c r="AZ63" t="n">
        <v>8115039.39129359</v>
      </c>
      <c r="BA63" t="n">
        <v>8018911.82492475</v>
      </c>
      <c r="BB63" t="n">
        <v>34820319.3832424</v>
      </c>
      <c r="BC63" t="n">
        <v>155869.926101844</v>
      </c>
      <c r="BD63" t="n">
        <v>50225076.3013961</v>
      </c>
      <c r="BE63" t="n">
        <v>12093625.2899453</v>
      </c>
      <c r="BF63" t="n">
        <v>24637488.7547844</v>
      </c>
      <c r="BG63" t="n">
        <v>142157880.255144</v>
      </c>
      <c r="BH63" t="n">
        <v>56169906.7722223</v>
      </c>
      <c r="BI63" t="n">
        <v>33899273.3036974</v>
      </c>
      <c r="BJ63" t="n">
        <v>9853798.81661137</v>
      </c>
      <c r="BK63" t="n">
        <v>7105526.97954397</v>
      </c>
      <c r="BL63" t="n">
        <v>9819349.39296153</v>
      </c>
      <c r="BM63" t="n">
        <v>94170368.8562426</v>
      </c>
      <c r="BN63" t="n">
        <v>165451267.981098</v>
      </c>
      <c r="BO63" t="n">
        <v>28680816.5704027</v>
      </c>
      <c r="BP63" t="n">
        <v>0</v>
      </c>
      <c r="BQ63" t="n">
        <v>0</v>
      </c>
      <c r="BR63" t="n">
        <v>704791.422604666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15994999.7780967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762970.869662873</v>
      </c>
      <c r="C64" t="n">
        <v>126120.571002615</v>
      </c>
      <c r="D64" t="n">
        <v>0</v>
      </c>
      <c r="E64" t="n">
        <v>231718.694588357</v>
      </c>
      <c r="F64" t="n">
        <v>12451.9586364921</v>
      </c>
      <c r="G64" t="n">
        <v>20564347.7697748</v>
      </c>
      <c r="H64" t="n">
        <v>11287282.0688282</v>
      </c>
      <c r="I64" t="n">
        <v>3012785.74136054</v>
      </c>
      <c r="J64" t="n">
        <v>1407435.42812281</v>
      </c>
      <c r="K64" t="n">
        <v>789423.118119034</v>
      </c>
      <c r="L64" t="n">
        <v>18923517.0685427</v>
      </c>
      <c r="M64" t="n">
        <v>3240394.32690312</v>
      </c>
      <c r="N64" t="n">
        <v>2309774.59459641</v>
      </c>
      <c r="O64" t="n">
        <v>185229.221500525</v>
      </c>
      <c r="P64" t="n">
        <v>1129834.61524032</v>
      </c>
      <c r="Q64" t="n">
        <v>19797990.1324069</v>
      </c>
      <c r="R64" t="n">
        <v>506562.999887056</v>
      </c>
      <c r="S64" t="n">
        <v>2184516.193258</v>
      </c>
      <c r="T64" t="n">
        <v>7911365.83661317</v>
      </c>
      <c r="U64" t="n">
        <v>902398.395158282</v>
      </c>
      <c r="V64" t="n">
        <v>2049275.39833337</v>
      </c>
      <c r="W64" t="n">
        <v>10839779.1735174</v>
      </c>
      <c r="X64" t="n">
        <v>3834791.38532444</v>
      </c>
      <c r="Y64" t="n">
        <v>997958.422938114</v>
      </c>
      <c r="Z64" t="n">
        <v>6770339.53774447</v>
      </c>
      <c r="AA64" t="n">
        <v>3537398.01662021</v>
      </c>
      <c r="AB64" t="n">
        <v>115586626.120999</v>
      </c>
      <c r="AC64" t="n">
        <v>17174930.8557037</v>
      </c>
      <c r="AD64" t="n">
        <v>10987539.8307683</v>
      </c>
      <c r="AE64" t="n">
        <v>11883689.6882248</v>
      </c>
      <c r="AF64" t="n">
        <v>44799136.8619235</v>
      </c>
      <c r="AG64" t="n">
        <v>1935182.85108525</v>
      </c>
      <c r="AH64" t="n">
        <v>822453.937947746</v>
      </c>
      <c r="AI64" t="n">
        <v>2696241.05710303</v>
      </c>
      <c r="AJ64" t="n">
        <v>17857717.2666514</v>
      </c>
      <c r="AK64" t="n">
        <v>12642591.1562145</v>
      </c>
      <c r="AL64" t="n">
        <v>1041877.72267463</v>
      </c>
      <c r="AM64" t="n">
        <v>12952427.3103359</v>
      </c>
      <c r="AN64" t="n">
        <v>9675365.28195038</v>
      </c>
      <c r="AO64" t="n">
        <v>12158627.4595844</v>
      </c>
      <c r="AP64" t="n">
        <v>740591.190529111</v>
      </c>
      <c r="AQ64" t="n">
        <v>28353521.6186581</v>
      </c>
      <c r="AR64" t="n">
        <v>9006319.48915573</v>
      </c>
      <c r="AS64" t="n">
        <v>36115819.9768516</v>
      </c>
      <c r="AT64" t="n">
        <v>9132123.71821336</v>
      </c>
      <c r="AU64" t="n">
        <v>25057952.1938143</v>
      </c>
      <c r="AV64" t="n">
        <v>193632.171610384</v>
      </c>
      <c r="AW64" t="n">
        <v>6839544.41474669</v>
      </c>
      <c r="AX64" t="n">
        <v>188280168.37232</v>
      </c>
      <c r="AY64" t="n">
        <v>25432296.8548587</v>
      </c>
      <c r="AZ64" t="n">
        <v>12960642.2223788</v>
      </c>
      <c r="BA64" t="n">
        <v>37790645.3398841</v>
      </c>
      <c r="BB64" t="n">
        <v>82560885.9855491</v>
      </c>
      <c r="BC64" t="n">
        <v>36247155.6831361</v>
      </c>
      <c r="BD64" t="n">
        <v>148769597.852963</v>
      </c>
      <c r="BE64" t="n">
        <v>11558182.1369816</v>
      </c>
      <c r="BF64" t="n">
        <v>11922123.6785511</v>
      </c>
      <c r="BG64" t="n">
        <v>59930487.6352033</v>
      </c>
      <c r="BH64" t="n">
        <v>145826475.870048</v>
      </c>
      <c r="BI64" t="n">
        <v>35651529.8866954</v>
      </c>
      <c r="BJ64" t="n">
        <v>11377380.232363</v>
      </c>
      <c r="BK64" t="n">
        <v>6740064.96769116</v>
      </c>
      <c r="BL64" t="n">
        <v>7373338.66181524</v>
      </c>
      <c r="BM64" t="n">
        <v>17997082.9729913</v>
      </c>
      <c r="BN64" t="n">
        <v>26138147.2991407</v>
      </c>
      <c r="BO64" t="n">
        <v>31027059.2568104</v>
      </c>
      <c r="BP64" t="n">
        <v>5425594.4131541</v>
      </c>
      <c r="BQ64" t="n">
        <v>28045294.8679796</v>
      </c>
      <c r="BR64" t="n">
        <v>1647546.9118944</v>
      </c>
      <c r="BS64" t="n">
        <v>87444356.4424324</v>
      </c>
      <c r="BT64" t="n">
        <v>9360940.16177656</v>
      </c>
      <c r="BU64" t="n">
        <v>149506481.051982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9174214.39910491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425.86765478435</v>
      </c>
      <c r="C65" t="n">
        <v>12.5271321317356</v>
      </c>
      <c r="D65" t="n">
        <v>0</v>
      </c>
      <c r="E65" t="n">
        <v>63.3034596550045</v>
      </c>
      <c r="F65" t="n">
        <v>1.25231977526039</v>
      </c>
      <c r="G65" t="n">
        <v>1530.88268353896</v>
      </c>
      <c r="H65" t="n">
        <v>3823.46471179437</v>
      </c>
      <c r="I65" t="n">
        <v>850.524253181473</v>
      </c>
      <c r="J65" t="n">
        <v>417.873027391537</v>
      </c>
      <c r="K65" t="n">
        <v>80.8086901781522</v>
      </c>
      <c r="L65" t="n">
        <v>1010.87264347763</v>
      </c>
      <c r="M65" t="n">
        <v>374.124922339569</v>
      </c>
      <c r="N65" t="n">
        <v>135.113842776687</v>
      </c>
      <c r="O65" t="n">
        <v>29.3914436536155</v>
      </c>
      <c r="P65" t="n">
        <v>90.1743682460204</v>
      </c>
      <c r="Q65" t="n">
        <v>979.198224798379</v>
      </c>
      <c r="R65" t="n">
        <v>187.99085354415</v>
      </c>
      <c r="S65" t="n">
        <v>192.354008452342</v>
      </c>
      <c r="T65" t="n">
        <v>3571.5441663318</v>
      </c>
      <c r="U65" t="n">
        <v>310.724951407406</v>
      </c>
      <c r="V65" t="n">
        <v>10.0298833609379</v>
      </c>
      <c r="W65" t="n">
        <v>3030.14364115176</v>
      </c>
      <c r="X65" t="n">
        <v>155.109618864536</v>
      </c>
      <c r="Y65" t="n">
        <v>299.455481804153</v>
      </c>
      <c r="Z65" t="n">
        <v>2785.25471122374</v>
      </c>
      <c r="AA65" t="n">
        <v>742.920821891919</v>
      </c>
      <c r="AB65" t="n">
        <v>5377.31208160396</v>
      </c>
      <c r="AC65" t="n">
        <v>2859.42681957673</v>
      </c>
      <c r="AD65" t="n">
        <v>1895.51196987288</v>
      </c>
      <c r="AE65" t="n">
        <v>749.672644108639</v>
      </c>
      <c r="AF65" t="n">
        <v>3443.6589846045</v>
      </c>
      <c r="AG65" t="n">
        <v>75.2163177895539</v>
      </c>
      <c r="AH65" t="n">
        <v>215.54664679307</v>
      </c>
      <c r="AI65" t="n">
        <v>6.27099924132368</v>
      </c>
      <c r="AJ65" t="n">
        <v>2060.60347246022</v>
      </c>
      <c r="AK65" t="n">
        <v>111.411508792708</v>
      </c>
      <c r="AL65" t="n">
        <v>134.392016485077</v>
      </c>
      <c r="AM65" t="n">
        <v>504.957942098578</v>
      </c>
      <c r="AN65" t="n">
        <v>544.772027004964</v>
      </c>
      <c r="AO65" t="n">
        <v>47.2066115786982</v>
      </c>
      <c r="AP65" t="n">
        <v>29.605897015121</v>
      </c>
      <c r="AQ65" t="n">
        <v>92.622467042813</v>
      </c>
      <c r="AR65" t="n">
        <v>44.7077079522518</v>
      </c>
      <c r="AS65" t="n">
        <v>983.31968482458</v>
      </c>
      <c r="AT65" t="n">
        <v>122.260244098194</v>
      </c>
      <c r="AU65" t="n">
        <v>4277.03101710695</v>
      </c>
      <c r="AV65" t="n">
        <v>765.888269294176</v>
      </c>
      <c r="AW65" t="n">
        <v>9.45471308345026</v>
      </c>
      <c r="AX65" t="n">
        <v>103117.940869772</v>
      </c>
      <c r="AY65" t="n">
        <v>1145.65712406716</v>
      </c>
      <c r="AZ65" t="n">
        <v>591.780937678994</v>
      </c>
      <c r="BA65" t="n">
        <v>552.330535597852</v>
      </c>
      <c r="BB65" t="n">
        <v>4403.23472864222</v>
      </c>
      <c r="BC65" t="n">
        <v>1948.48132976693</v>
      </c>
      <c r="BD65" t="n">
        <v>5955.26921677007</v>
      </c>
      <c r="BE65" t="n">
        <v>42830.4126987452</v>
      </c>
      <c r="BF65" t="n">
        <v>979.54864838496</v>
      </c>
      <c r="BG65" t="n">
        <v>5155.10452186421</v>
      </c>
      <c r="BH65" t="n">
        <v>10841.349471588</v>
      </c>
      <c r="BI65" t="n">
        <v>4319.63904914012</v>
      </c>
      <c r="BJ65" t="n">
        <v>2117.86367609673</v>
      </c>
      <c r="BK65" t="n">
        <v>243.754358892792</v>
      </c>
      <c r="BL65" t="n">
        <v>1844.9144627072</v>
      </c>
      <c r="BM65" t="n">
        <v>4522.46548958731</v>
      </c>
      <c r="BN65" t="n">
        <v>6523.57669021746</v>
      </c>
      <c r="BO65" t="n">
        <v>4256.92871025951</v>
      </c>
      <c r="BP65" t="n">
        <v>122.987722664862</v>
      </c>
      <c r="BQ65" t="n">
        <v>3974.410224648</v>
      </c>
      <c r="BR65" t="n">
        <v>941.833367730571</v>
      </c>
      <c r="BS65" t="n">
        <v>71299.2224579848</v>
      </c>
      <c r="BT65" t="n">
        <v>8030.82090426125</v>
      </c>
      <c r="BU65" t="n">
        <v>99245.2108918959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905821.238796797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1556.64578449719</v>
      </c>
      <c r="C66" t="n">
        <v>0</v>
      </c>
      <c r="D66" t="n">
        <v>0</v>
      </c>
      <c r="E66" t="n">
        <v>0</v>
      </c>
      <c r="F66" t="n">
        <v>0</v>
      </c>
      <c r="G66" t="n">
        <v>97835.9378544478</v>
      </c>
      <c r="H66" t="n">
        <v>2816.38713085777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12782.0290844281</v>
      </c>
      <c r="Y66" t="n">
        <v>1165.43424846605</v>
      </c>
      <c r="Z66" t="n">
        <v>0</v>
      </c>
      <c r="AA66" t="n">
        <v>863.544642880271</v>
      </c>
      <c r="AB66" t="n">
        <v>1256482.57507893</v>
      </c>
      <c r="AC66" t="n">
        <v>93965.5477500027</v>
      </c>
      <c r="AD66" t="n">
        <v>791918.027386789</v>
      </c>
      <c r="AE66" t="n">
        <v>0</v>
      </c>
      <c r="AF66" t="n">
        <v>2941832.70735595</v>
      </c>
      <c r="AG66" t="n">
        <v>28509.3791598585</v>
      </c>
      <c r="AH66" t="n">
        <v>4203.75382106178</v>
      </c>
      <c r="AI66" t="n">
        <v>0</v>
      </c>
      <c r="AJ66" t="n">
        <v>0</v>
      </c>
      <c r="AK66" t="n">
        <v>0</v>
      </c>
      <c r="AL66" t="n">
        <v>1537.5244339609</v>
      </c>
      <c r="AM66" t="n">
        <v>18574.2115857939</v>
      </c>
      <c r="AN66" t="n">
        <v>0</v>
      </c>
      <c r="AO66" t="n">
        <v>0</v>
      </c>
      <c r="AP66" t="n">
        <v>0</v>
      </c>
      <c r="AQ66" t="n">
        <v>5851.14398321819</v>
      </c>
      <c r="AR66" t="n">
        <v>20601.0623501043</v>
      </c>
      <c r="AS66" t="n">
        <v>27109.0390264095</v>
      </c>
      <c r="AT66" t="n">
        <v>2368.5157223836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49749.7979772929</v>
      </c>
      <c r="BB66" t="n">
        <v>24504.6617438193</v>
      </c>
      <c r="BC66" t="n">
        <v>0</v>
      </c>
      <c r="BD66" t="n">
        <v>203920.613667715</v>
      </c>
      <c r="BE66" t="n">
        <v>0</v>
      </c>
      <c r="BF66" t="n">
        <v>2627430.77301558</v>
      </c>
      <c r="BG66" t="n">
        <v>0</v>
      </c>
      <c r="BH66" t="n">
        <v>8621.78271460531</v>
      </c>
      <c r="BI66" t="n">
        <v>0</v>
      </c>
      <c r="BJ66" t="n">
        <v>0</v>
      </c>
      <c r="BK66" t="n">
        <v>1807804.55225431</v>
      </c>
      <c r="BL66" t="n">
        <v>291098.449959215</v>
      </c>
      <c r="BM66" t="n">
        <v>0</v>
      </c>
      <c r="BN66" t="n">
        <v>0</v>
      </c>
      <c r="BO66" t="n">
        <v>1755372.41298519</v>
      </c>
      <c r="BP66" t="n">
        <v>0</v>
      </c>
      <c r="BQ66" t="n">
        <v>23851.7768469056</v>
      </c>
      <c r="BR66" t="n">
        <v>140294.039103521</v>
      </c>
      <c r="BS66" t="n">
        <v>8313254.11858971</v>
      </c>
      <c r="BT66" t="n">
        <v>4634.92529201495</v>
      </c>
      <c r="BU66" t="n">
        <v>365585205.697032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9987114.03736893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211893.10549762</v>
      </c>
      <c r="BC67" t="n">
        <v>0</v>
      </c>
      <c r="BD67" t="n">
        <v>277205.72597137</v>
      </c>
      <c r="BE67" t="n">
        <v>0</v>
      </c>
      <c r="BF67" t="n">
        <v>0</v>
      </c>
      <c r="BG67" t="n">
        <v>57386663.330989</v>
      </c>
      <c r="BH67" t="n">
        <v>82075324.0172809</v>
      </c>
      <c r="BI67" t="n">
        <v>615487.238979118</v>
      </c>
      <c r="BJ67" t="n">
        <v>5547.16005010075</v>
      </c>
      <c r="BK67" t="n">
        <v>313505.896419446</v>
      </c>
      <c r="BL67" t="n">
        <v>12399.7225873901</v>
      </c>
      <c r="BM67" t="n">
        <v>0</v>
      </c>
      <c r="BN67" t="n">
        <v>0</v>
      </c>
      <c r="BO67" t="n">
        <v>175093.959787722</v>
      </c>
      <c r="BP67" t="n">
        <v>0</v>
      </c>
      <c r="BQ67" t="n">
        <v>2793013.89754985</v>
      </c>
      <c r="BR67" t="n">
        <v>0</v>
      </c>
      <c r="BS67" t="n">
        <v>36801430.2985646</v>
      </c>
      <c r="BT67" t="n">
        <v>0</v>
      </c>
      <c r="BU67" t="n">
        <v>4050745040.87968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3839513.23973389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5916424.11404799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4009950348.52627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25719337.6572654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8785298.25956589</v>
      </c>
      <c r="BR69" t="n">
        <v>0</v>
      </c>
      <c r="BS69" t="n">
        <v>4408299.67212753</v>
      </c>
      <c r="BT69" t="n">
        <v>0</v>
      </c>
      <c r="BU69" t="n">
        <v>908290005.916281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1770669.63526954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881871491.280653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174030.280458399</v>
      </c>
      <c r="C71" t="n">
        <v>0</v>
      </c>
      <c r="D71" t="n">
        <v>0</v>
      </c>
      <c r="E71" t="n">
        <v>0</v>
      </c>
      <c r="F71" t="n">
        <v>195.851247073643</v>
      </c>
      <c r="G71" t="n">
        <v>273618.186589269</v>
      </c>
      <c r="H71" t="n">
        <v>341746.067369151</v>
      </c>
      <c r="I71" t="n">
        <v>157462.219671183</v>
      </c>
      <c r="J71" t="n">
        <v>58062.6755187937</v>
      </c>
      <c r="K71" t="n">
        <v>13149.2601181204</v>
      </c>
      <c r="L71" t="n">
        <v>188621.435586122</v>
      </c>
      <c r="M71" t="n">
        <v>70278.8716645551</v>
      </c>
      <c r="N71" t="n">
        <v>7833.76753574071</v>
      </c>
      <c r="O71" t="n">
        <v>2197.09324583912</v>
      </c>
      <c r="P71" t="n">
        <v>16356.5630803319</v>
      </c>
      <c r="Q71" t="n">
        <v>74130.2833330396</v>
      </c>
      <c r="R71" t="n">
        <v>27930.0316427046</v>
      </c>
      <c r="S71" t="n">
        <v>44828.6602633973</v>
      </c>
      <c r="T71" t="n">
        <v>286650.247367529</v>
      </c>
      <c r="U71" t="n">
        <v>23674.2497795238</v>
      </c>
      <c r="V71" t="n">
        <v>7947.47770932635</v>
      </c>
      <c r="W71" t="n">
        <v>379109.184510606</v>
      </c>
      <c r="X71" t="n">
        <v>56866.8350101727</v>
      </c>
      <c r="Y71" t="n">
        <v>24893.4762276012</v>
      </c>
      <c r="Z71" t="n">
        <v>64063.2736110912</v>
      </c>
      <c r="AA71" t="n">
        <v>214277.884516406</v>
      </c>
      <c r="AB71" t="n">
        <v>6975823.482888</v>
      </c>
      <c r="AC71" t="n">
        <v>1478778.53593386</v>
      </c>
      <c r="AD71" t="n">
        <v>1921706.74513408</v>
      </c>
      <c r="AE71" t="n">
        <v>237610.205979026</v>
      </c>
      <c r="AF71" t="n">
        <v>1780981.12362484</v>
      </c>
      <c r="AG71" t="n">
        <v>0</v>
      </c>
      <c r="AH71" t="n">
        <v>175379.920697362</v>
      </c>
      <c r="AI71" t="n">
        <v>0</v>
      </c>
      <c r="AJ71" t="n">
        <v>158011.037318525</v>
      </c>
      <c r="AK71" t="n">
        <v>44140.1186249519</v>
      </c>
      <c r="AL71" t="n">
        <v>0</v>
      </c>
      <c r="AM71" t="n">
        <v>538556.138351655</v>
      </c>
      <c r="AN71" t="n">
        <v>16072.6847293997</v>
      </c>
      <c r="AO71" t="n">
        <v>157451.348218382</v>
      </c>
      <c r="AP71" t="n">
        <v>5904047.75516528</v>
      </c>
      <c r="AQ71" t="n">
        <v>31695848.3158367</v>
      </c>
      <c r="AR71" t="n">
        <v>250508.807817598</v>
      </c>
      <c r="AS71" t="n">
        <v>5659917.96688137</v>
      </c>
      <c r="AT71" t="n">
        <v>629697.618936833</v>
      </c>
      <c r="AU71" t="n">
        <v>588784.670802387</v>
      </c>
      <c r="AV71" t="n">
        <v>557188.822497837</v>
      </c>
      <c r="AW71" t="n">
        <v>0</v>
      </c>
      <c r="AX71" t="n">
        <v>9355665.56511968</v>
      </c>
      <c r="AY71" t="n">
        <v>392223.157452524</v>
      </c>
      <c r="AZ71" t="n">
        <v>951986.542865351</v>
      </c>
      <c r="BA71" t="n">
        <v>1495457.88030071</v>
      </c>
      <c r="BB71" t="n">
        <v>9739318.56965382</v>
      </c>
      <c r="BC71" t="n">
        <v>11002557.2806347</v>
      </c>
      <c r="BD71" t="n">
        <v>4885433.5116712</v>
      </c>
      <c r="BE71" t="n">
        <v>318299.720567336</v>
      </c>
      <c r="BF71" t="n">
        <v>4490952.8214588</v>
      </c>
      <c r="BG71" t="n">
        <v>2825576.67945025</v>
      </c>
      <c r="BH71" t="n">
        <v>6512204.14122491</v>
      </c>
      <c r="BI71" t="n">
        <v>1016917.36801638</v>
      </c>
      <c r="BJ71" t="n">
        <v>3492038.03074075</v>
      </c>
      <c r="BK71" t="n">
        <v>40707666.203833</v>
      </c>
      <c r="BL71" t="n">
        <v>2142241.69599382</v>
      </c>
      <c r="BM71" t="n">
        <v>1205906.91939187</v>
      </c>
      <c r="BN71" t="n">
        <v>10085310.0717177</v>
      </c>
      <c r="BO71" t="n">
        <v>3434344.73181594</v>
      </c>
      <c r="BP71" t="n">
        <v>0</v>
      </c>
      <c r="BQ71" t="n">
        <v>58192.5276212604</v>
      </c>
      <c r="BR71" t="n">
        <v>97205.8149153053</v>
      </c>
      <c r="BS71" t="n">
        <v>4138906.14475708</v>
      </c>
      <c r="BT71" t="n">
        <v>47394.1970159386</v>
      </c>
      <c r="BU71" t="n">
        <v>300599453.171335</v>
      </c>
      <c r="BV71" t="n">
        <v>0</v>
      </c>
      <c r="BW71" t="n">
        <v>0</v>
      </c>
      <c r="BX71" t="n">
        <v>10960261.464297</v>
      </c>
      <c r="BY71" t="n">
        <v>0</v>
      </c>
      <c r="BZ71" t="n">
        <v>0</v>
      </c>
      <c r="CA71" t="n">
        <v>3628737.86746426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20009.7857477325</v>
      </c>
      <c r="C72" t="n">
        <v>0</v>
      </c>
      <c r="D72" t="n">
        <v>0</v>
      </c>
      <c r="E72" t="n">
        <v>0</v>
      </c>
      <c r="F72" t="n">
        <v>49.8271656908434</v>
      </c>
      <c r="G72" t="n">
        <v>50161.668104444</v>
      </c>
      <c r="H72" t="n">
        <v>82749.7961246585</v>
      </c>
      <c r="I72" t="n">
        <v>16966.7940016645</v>
      </c>
      <c r="J72" t="n">
        <v>9863.60181541882</v>
      </c>
      <c r="K72" t="n">
        <v>1026.70493150829</v>
      </c>
      <c r="L72" t="n">
        <v>23201.1951773693</v>
      </c>
      <c r="M72" t="n">
        <v>7457.9182602212</v>
      </c>
      <c r="N72" t="n">
        <v>1172.36164396727</v>
      </c>
      <c r="O72" t="n">
        <v>197.283453042709</v>
      </c>
      <c r="P72" t="n">
        <v>1932.50502711747</v>
      </c>
      <c r="Q72" t="n">
        <v>8875.16770846984</v>
      </c>
      <c r="R72" t="n">
        <v>4179.86590274827</v>
      </c>
      <c r="S72" t="n">
        <v>5367.06269145398</v>
      </c>
      <c r="T72" t="n">
        <v>25739.1672944743</v>
      </c>
      <c r="U72" t="n">
        <v>0</v>
      </c>
      <c r="V72" t="n">
        <v>0</v>
      </c>
      <c r="W72" t="n">
        <v>30549.9085885582</v>
      </c>
      <c r="X72" t="n">
        <v>6588.69686744481</v>
      </c>
      <c r="Y72" t="n">
        <v>1426.76062712609</v>
      </c>
      <c r="Z72" t="n">
        <v>7909.59045585923</v>
      </c>
      <c r="AA72" t="n">
        <v>17972.0267045792</v>
      </c>
      <c r="AB72" t="n">
        <v>463666.27051716</v>
      </c>
      <c r="AC72" t="n">
        <v>11503.5527754998</v>
      </c>
      <c r="AD72" t="n">
        <v>70384.5580203614</v>
      </c>
      <c r="AE72" t="n">
        <v>2963.29416671745</v>
      </c>
      <c r="AF72" t="n">
        <v>417582.282382366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3789.85398295398</v>
      </c>
      <c r="AN72" t="n">
        <v>1030.86682145273</v>
      </c>
      <c r="AO72" t="n">
        <v>10544.931165373</v>
      </c>
      <c r="AP72" t="n">
        <v>3663.41388457704</v>
      </c>
      <c r="AQ72" t="n">
        <v>16714.0197138894</v>
      </c>
      <c r="AR72" t="n">
        <v>34990.5442891914</v>
      </c>
      <c r="AS72" t="n">
        <v>441307.025162346</v>
      </c>
      <c r="AT72" t="n">
        <v>69590.6436291657</v>
      </c>
      <c r="AU72" t="n">
        <v>39208.847626085</v>
      </c>
      <c r="AV72" t="n">
        <v>21510.4099741294</v>
      </c>
      <c r="AW72" t="n">
        <v>0</v>
      </c>
      <c r="AX72" t="n">
        <v>0</v>
      </c>
      <c r="AY72" t="n">
        <v>46045.8709281542</v>
      </c>
      <c r="AZ72" t="n">
        <v>63555.1424862669</v>
      </c>
      <c r="BA72" t="n">
        <v>192866.594296388</v>
      </c>
      <c r="BB72" t="n">
        <v>343776.498707421</v>
      </c>
      <c r="BC72" t="n">
        <v>1010977.74862703</v>
      </c>
      <c r="BD72" t="n">
        <v>494434.911208424</v>
      </c>
      <c r="BE72" t="n">
        <v>37748.5782820252</v>
      </c>
      <c r="BF72" t="n">
        <v>73136.7275451112</v>
      </c>
      <c r="BG72" t="n">
        <v>393612.071531839</v>
      </c>
      <c r="BH72" t="n">
        <v>29554.1480450512</v>
      </c>
      <c r="BI72" t="n">
        <v>64586.5338029988</v>
      </c>
      <c r="BJ72" t="n">
        <v>116338.644698035</v>
      </c>
      <c r="BK72" t="n">
        <v>122015.971873117</v>
      </c>
      <c r="BL72" t="n">
        <v>345364.098761598</v>
      </c>
      <c r="BM72" t="n">
        <v>677721.963269082</v>
      </c>
      <c r="BN72" t="n">
        <v>1145659.18868468</v>
      </c>
      <c r="BO72" t="n">
        <v>47290.7829783568</v>
      </c>
      <c r="BP72" t="n">
        <v>2524.20883773451</v>
      </c>
      <c r="BQ72" t="n">
        <v>3073.69288467768</v>
      </c>
      <c r="BR72" t="n">
        <v>1407.80572744053</v>
      </c>
      <c r="BS72" t="n">
        <v>827862.023413168</v>
      </c>
      <c r="BT72" t="n">
        <v>74474.1216768871</v>
      </c>
      <c r="BU72" t="n">
        <v>327087040.0195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79154.4103212847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2296.10079034326</v>
      </c>
      <c r="C73" t="n">
        <v>0</v>
      </c>
      <c r="D73" t="n">
        <v>0</v>
      </c>
      <c r="E73" t="n">
        <v>5195.83699508802</v>
      </c>
      <c r="F73" t="n">
        <v>1822.23663179854</v>
      </c>
      <c r="G73" t="n">
        <v>2706140.38293348</v>
      </c>
      <c r="H73" t="n">
        <v>824620.278500956</v>
      </c>
      <c r="I73" t="n">
        <v>626908.514352052</v>
      </c>
      <c r="J73" t="n">
        <v>310689.366968681</v>
      </c>
      <c r="K73" t="n">
        <v>41750.0724866632</v>
      </c>
      <c r="L73" t="n">
        <v>905718.370173796</v>
      </c>
      <c r="M73" t="n">
        <v>322105.389944784</v>
      </c>
      <c r="N73" t="n">
        <v>56501.4250083259</v>
      </c>
      <c r="O73" t="n">
        <v>11884.9805058398</v>
      </c>
      <c r="P73" t="n">
        <v>97327.3105693072</v>
      </c>
      <c r="Q73" t="n">
        <v>331494.304342901</v>
      </c>
      <c r="R73" t="n">
        <v>155113.956021577</v>
      </c>
      <c r="S73" t="n">
        <v>239263.361997869</v>
      </c>
      <c r="T73" t="n">
        <v>1017763.37410241</v>
      </c>
      <c r="U73" t="n">
        <v>87083.349058561</v>
      </c>
      <c r="V73" t="n">
        <v>17196.4695307895</v>
      </c>
      <c r="W73" t="n">
        <v>1240971.15428236</v>
      </c>
      <c r="X73" t="n">
        <v>345323.864622441</v>
      </c>
      <c r="Y73" t="n">
        <v>55582.6699063834</v>
      </c>
      <c r="Z73" t="n">
        <v>353475.472485762</v>
      </c>
      <c r="AA73" t="n">
        <v>756610.540892446</v>
      </c>
      <c r="AB73" t="n">
        <v>7980120.5734719</v>
      </c>
      <c r="AC73" t="n">
        <v>146522.215766637</v>
      </c>
      <c r="AD73" t="n">
        <v>317330.263120327</v>
      </c>
      <c r="AE73" t="n">
        <v>174947.868176981</v>
      </c>
      <c r="AF73" t="n">
        <v>822148.69134945</v>
      </c>
      <c r="AG73" t="n">
        <v>0</v>
      </c>
      <c r="AH73" t="n">
        <v>19842.135066721</v>
      </c>
      <c r="AI73" t="n">
        <v>0</v>
      </c>
      <c r="AJ73" t="n">
        <v>0</v>
      </c>
      <c r="AK73" t="n">
        <v>0</v>
      </c>
      <c r="AL73" t="n">
        <v>5896.53013433501</v>
      </c>
      <c r="AM73" t="n">
        <v>715988.99086477</v>
      </c>
      <c r="AN73" t="n">
        <v>37261.610808577</v>
      </c>
      <c r="AO73" t="n">
        <v>465857.388927</v>
      </c>
      <c r="AP73" t="n">
        <v>193660.444882216</v>
      </c>
      <c r="AQ73" t="n">
        <v>752589.956651945</v>
      </c>
      <c r="AR73" t="n">
        <v>1548378.69399838</v>
      </c>
      <c r="AS73" t="n">
        <v>19422715.86049</v>
      </c>
      <c r="AT73" t="n">
        <v>3097106.64546188</v>
      </c>
      <c r="AU73" t="n">
        <v>1697639.15700497</v>
      </c>
      <c r="AV73" t="n">
        <v>973331.295138113</v>
      </c>
      <c r="AW73" t="n">
        <v>20262.9083024932</v>
      </c>
      <c r="AX73" t="n">
        <v>27311166.106143</v>
      </c>
      <c r="AY73" t="n">
        <v>2232654.2545866</v>
      </c>
      <c r="AZ73" t="n">
        <v>2195795.70832881</v>
      </c>
      <c r="BA73" t="n">
        <v>8667870.34219985</v>
      </c>
      <c r="BB73" t="n">
        <v>14559651.4387802</v>
      </c>
      <c r="BC73" t="n">
        <v>2759848.21920663</v>
      </c>
      <c r="BD73" t="n">
        <v>14327866.602183</v>
      </c>
      <c r="BE73" t="n">
        <v>1936228.60632423</v>
      </c>
      <c r="BF73" t="n">
        <v>2602124.84058831</v>
      </c>
      <c r="BG73" t="n">
        <v>11424260.3005494</v>
      </c>
      <c r="BH73" t="n">
        <v>1409087.56449155</v>
      </c>
      <c r="BI73" t="n">
        <v>1647593.83997689</v>
      </c>
      <c r="BJ73" t="n">
        <v>1828913.12604075</v>
      </c>
      <c r="BK73" t="n">
        <v>262588.503319388</v>
      </c>
      <c r="BL73" t="n">
        <v>848811.466924854</v>
      </c>
      <c r="BM73" t="n">
        <v>2604672.07549822</v>
      </c>
      <c r="BN73" t="n">
        <v>8741734.6410262</v>
      </c>
      <c r="BO73" t="n">
        <v>1751770.92049046</v>
      </c>
      <c r="BP73" t="n">
        <v>3006858.44787925</v>
      </c>
      <c r="BQ73" t="n">
        <v>3840405.0914193</v>
      </c>
      <c r="BR73" t="n">
        <v>176406.212516351</v>
      </c>
      <c r="BS73" t="n">
        <v>10126737.1319211</v>
      </c>
      <c r="BT73" t="n">
        <v>305940.467648055</v>
      </c>
      <c r="BU73" t="n">
        <v>559521011.336425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1124871.56874158</v>
      </c>
      <c r="C74" t="n">
        <v>53548.1544664483</v>
      </c>
      <c r="D74" t="n">
        <v>0</v>
      </c>
      <c r="E74" t="n">
        <v>23749.0580970633</v>
      </c>
      <c r="F74" t="n">
        <v>4437.46606617694</v>
      </c>
      <c r="G74" t="n">
        <v>6574622.73370428</v>
      </c>
      <c r="H74" t="n">
        <v>1248044.24954274</v>
      </c>
      <c r="I74" t="n">
        <v>1104279.81758129</v>
      </c>
      <c r="J74" t="n">
        <v>484652.240140228</v>
      </c>
      <c r="K74" t="n">
        <v>77103.2887282354</v>
      </c>
      <c r="L74" t="n">
        <v>1324192.74587429</v>
      </c>
      <c r="M74" t="n">
        <v>520437.348645998</v>
      </c>
      <c r="N74" t="n">
        <v>73955.102255695</v>
      </c>
      <c r="O74" t="n">
        <v>27853.2427769183</v>
      </c>
      <c r="P74" t="n">
        <v>138741.306297282</v>
      </c>
      <c r="Q74" t="n">
        <v>553199.673820472</v>
      </c>
      <c r="R74" t="n">
        <v>220984.72886295</v>
      </c>
      <c r="S74" t="n">
        <v>338565.89577259</v>
      </c>
      <c r="T74" t="n">
        <v>1915382.69788439</v>
      </c>
      <c r="U74" t="n">
        <v>223498.023815944</v>
      </c>
      <c r="V74" t="n">
        <v>64310.219351564</v>
      </c>
      <c r="W74" t="n">
        <v>2294231.13714319</v>
      </c>
      <c r="X74" t="n">
        <v>388415.397977282</v>
      </c>
      <c r="Y74" t="n">
        <v>149290.921143329</v>
      </c>
      <c r="Z74" t="n">
        <v>522713.749368066</v>
      </c>
      <c r="AA74" t="n">
        <v>1143241.23535361</v>
      </c>
      <c r="AB74" t="n">
        <v>23893201.0684828</v>
      </c>
      <c r="AC74" t="n">
        <v>3939345.62956237</v>
      </c>
      <c r="AD74" t="n">
        <v>5313007.11578901</v>
      </c>
      <c r="AE74" t="n">
        <v>4339469.41801037</v>
      </c>
      <c r="AF74" t="n">
        <v>13881283.7588769</v>
      </c>
      <c r="AG74" t="n">
        <v>5671992.01124901</v>
      </c>
      <c r="AH74" t="n">
        <v>4637.76902091543</v>
      </c>
      <c r="AI74" t="n">
        <v>12732.7791739158</v>
      </c>
      <c r="AJ74" t="n">
        <v>3115804.67049092</v>
      </c>
      <c r="AK74" t="n">
        <v>416707.155477032</v>
      </c>
      <c r="AL74" t="n">
        <v>38448.6879642242</v>
      </c>
      <c r="AM74" t="n">
        <v>3410762.91723664</v>
      </c>
      <c r="AN74" t="n">
        <v>842284.31238926</v>
      </c>
      <c r="AO74" t="n">
        <v>505643.584119091</v>
      </c>
      <c r="AP74" t="n">
        <v>324634.931390821</v>
      </c>
      <c r="AQ74" t="n">
        <v>857830.129055025</v>
      </c>
      <c r="AR74" t="n">
        <v>1668768.47441337</v>
      </c>
      <c r="AS74" t="n">
        <v>34488392.6122399</v>
      </c>
      <c r="AT74" t="n">
        <v>3817233.98917679</v>
      </c>
      <c r="AU74" t="n">
        <v>11983158.9317022</v>
      </c>
      <c r="AV74" t="n">
        <v>2821538.46153846</v>
      </c>
      <c r="AW74" t="n">
        <v>20207.4358003278</v>
      </c>
      <c r="AX74" t="n">
        <v>94824944.042197</v>
      </c>
      <c r="AY74" t="n">
        <v>6489719.62616822</v>
      </c>
      <c r="AZ74" t="n">
        <v>4918423.80084166</v>
      </c>
      <c r="BA74" t="n">
        <v>14035185.3605835</v>
      </c>
      <c r="BB74" t="n">
        <v>44266174.6255086</v>
      </c>
      <c r="BC74" t="n">
        <v>16722700.2184515</v>
      </c>
      <c r="BD74" t="n">
        <v>34157581.3496932</v>
      </c>
      <c r="BE74" t="n">
        <v>2178773.52695257</v>
      </c>
      <c r="BF74" t="n">
        <v>6763200.24863197</v>
      </c>
      <c r="BG74" t="n">
        <v>91197349.029739</v>
      </c>
      <c r="BH74" t="n">
        <v>124650748.992327</v>
      </c>
      <c r="BI74" t="n">
        <v>50617135.3273479</v>
      </c>
      <c r="BJ74" t="n">
        <v>20435737.6245711</v>
      </c>
      <c r="BK74" t="n">
        <v>1247108.01443324</v>
      </c>
      <c r="BL74" t="n">
        <v>5728671.83537425</v>
      </c>
      <c r="BM74" t="n">
        <v>50122629.9772658</v>
      </c>
      <c r="BN74" t="n">
        <v>27236815.7133473</v>
      </c>
      <c r="BO74" t="n">
        <v>5811137.26918119</v>
      </c>
      <c r="BP74" t="n">
        <v>1339575.33896137</v>
      </c>
      <c r="BQ74" t="n">
        <v>1518845.57403951</v>
      </c>
      <c r="BR74" t="n">
        <v>1281364.24742577</v>
      </c>
      <c r="BS74" t="n">
        <v>43156251.9038393</v>
      </c>
      <c r="BT74" t="n">
        <v>1274102.94876091</v>
      </c>
      <c r="BU74" t="n">
        <v>3521271356.2097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12126700.295096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1166568.44583014</v>
      </c>
      <c r="C75" t="n">
        <v>347441.954294242</v>
      </c>
      <c r="D75" t="n">
        <v>0</v>
      </c>
      <c r="E75" t="n">
        <v>96848.8491890461</v>
      </c>
      <c r="F75" t="n">
        <v>5577.29866944411</v>
      </c>
      <c r="G75" t="n">
        <v>3399342.74586868</v>
      </c>
      <c r="H75" t="n">
        <v>16621236.8784983</v>
      </c>
      <c r="I75" t="n">
        <v>3233441.04801017</v>
      </c>
      <c r="J75" t="n">
        <v>2233731.97541244</v>
      </c>
      <c r="K75" t="n">
        <v>465443.023677298</v>
      </c>
      <c r="L75" t="n">
        <v>6093043.59871878</v>
      </c>
      <c r="M75" t="n">
        <v>1822166.99828561</v>
      </c>
      <c r="N75" t="n">
        <v>1046023.17225016</v>
      </c>
      <c r="O75" t="n">
        <v>103677.203290573</v>
      </c>
      <c r="P75" t="n">
        <v>539595.514942155</v>
      </c>
      <c r="Q75" t="n">
        <v>3299476.43446793</v>
      </c>
      <c r="R75" t="n">
        <v>400702.136061222</v>
      </c>
      <c r="S75" t="n">
        <v>943402.162068344</v>
      </c>
      <c r="T75" t="n">
        <v>7901749.51410169</v>
      </c>
      <c r="U75" t="n">
        <v>834792.484064291</v>
      </c>
      <c r="V75" t="n">
        <v>92726.7906604987</v>
      </c>
      <c r="W75" t="n">
        <v>16155526.8357142</v>
      </c>
      <c r="X75" t="n">
        <v>910813.667132782</v>
      </c>
      <c r="Y75" t="n">
        <v>912527.73139702</v>
      </c>
      <c r="Z75" t="n">
        <v>4980956.91007864</v>
      </c>
      <c r="AA75" t="n">
        <v>3119753.31197558</v>
      </c>
      <c r="AB75" t="n">
        <v>56349728.2487569</v>
      </c>
      <c r="AC75" t="n">
        <v>10662480.4149011</v>
      </c>
      <c r="AD75" t="n">
        <v>15570427.357954</v>
      </c>
      <c r="AE75" t="n">
        <v>9797188.80493063</v>
      </c>
      <c r="AF75" t="n">
        <v>25906867.6553448</v>
      </c>
      <c r="AG75" t="n">
        <v>352056.487910121</v>
      </c>
      <c r="AH75" t="n">
        <v>181293.264842321</v>
      </c>
      <c r="AI75" t="n">
        <v>290522.736953481</v>
      </c>
      <c r="AJ75" t="n">
        <v>22514092.2231044</v>
      </c>
      <c r="AK75" t="n">
        <v>5614163.94777648</v>
      </c>
      <c r="AL75" t="n">
        <v>430458.979860812</v>
      </c>
      <c r="AM75" t="n">
        <v>5570080.66669433</v>
      </c>
      <c r="AN75" t="n">
        <v>2705750.01822161</v>
      </c>
      <c r="AO75" t="n">
        <v>1404011.16423819</v>
      </c>
      <c r="AP75" t="n">
        <v>214206.299874192</v>
      </c>
      <c r="AQ75" t="n">
        <v>5271550.70913187</v>
      </c>
      <c r="AR75" t="n">
        <v>1498467.40890563</v>
      </c>
      <c r="AS75" t="n">
        <v>15747098.4368508</v>
      </c>
      <c r="AT75" t="n">
        <v>4524348.86036549</v>
      </c>
      <c r="AU75" t="n">
        <v>23486706.3988199</v>
      </c>
      <c r="AV75" t="n">
        <v>519893.739331812</v>
      </c>
      <c r="AW75" t="n">
        <v>95504385.1598354</v>
      </c>
      <c r="AX75" t="n">
        <v>15282982.2907622</v>
      </c>
      <c r="AY75" t="n">
        <v>15000808.1888746</v>
      </c>
      <c r="AZ75" t="n">
        <v>2291645.42754855</v>
      </c>
      <c r="BA75" t="n">
        <v>5181694.48309469</v>
      </c>
      <c r="BB75" t="n">
        <v>22269137.348964</v>
      </c>
      <c r="BC75" t="n">
        <v>25486667.9877877</v>
      </c>
      <c r="BD75" t="n">
        <v>43439004.9870791</v>
      </c>
      <c r="BE75" t="n">
        <v>18078234.0222455</v>
      </c>
      <c r="BF75" t="n">
        <v>10894502.9542586</v>
      </c>
      <c r="BG75" t="n">
        <v>20675126.937841</v>
      </c>
      <c r="BH75" t="n">
        <v>74103385.60421</v>
      </c>
      <c r="BI75" t="n">
        <v>9954883.01800369</v>
      </c>
      <c r="BJ75" t="n">
        <v>4548348.21885982</v>
      </c>
      <c r="BK75" t="n">
        <v>1887906.05215446</v>
      </c>
      <c r="BL75" t="n">
        <v>6221805.79208777</v>
      </c>
      <c r="BM75" t="n">
        <v>11769230.6421915</v>
      </c>
      <c r="BN75" t="n">
        <v>40118123.3039262</v>
      </c>
      <c r="BO75" t="n">
        <v>21276690.5128444</v>
      </c>
      <c r="BP75" t="n">
        <v>5570950.60437443</v>
      </c>
      <c r="BQ75" t="n">
        <v>44234358.1757329</v>
      </c>
      <c r="BR75" t="n">
        <v>2849587.32567673</v>
      </c>
      <c r="BS75" t="n">
        <v>89478400.277878</v>
      </c>
      <c r="BT75" t="n">
        <v>6295658.74107742</v>
      </c>
      <c r="BU75" t="n">
        <v>2264513252.98532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266316.992900065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7172794029.09566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1290145355.56892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2627.69902948979</v>
      </c>
      <c r="C78" t="n">
        <v>1024.16163007297</v>
      </c>
      <c r="D78" t="n">
        <v>0</v>
      </c>
      <c r="E78" t="n">
        <v>165.172480024504</v>
      </c>
      <c r="F78" t="n">
        <v>0</v>
      </c>
      <c r="G78" t="n">
        <v>65166.8742186181</v>
      </c>
      <c r="H78" t="n">
        <v>1584.73597614523</v>
      </c>
      <c r="I78" t="n">
        <v>0</v>
      </c>
      <c r="J78" t="n">
        <v>0</v>
      </c>
      <c r="K78" t="n">
        <v>1002.78033566618</v>
      </c>
      <c r="L78" t="n">
        <v>32524.559502775</v>
      </c>
      <c r="M78" t="n">
        <v>35201.1424764808</v>
      </c>
      <c r="N78" t="n">
        <v>8756.21049102119</v>
      </c>
      <c r="O78" t="n">
        <v>6437.9890839729</v>
      </c>
      <c r="P78" t="n">
        <v>0</v>
      </c>
      <c r="Q78" t="n">
        <v>0</v>
      </c>
      <c r="R78" t="n">
        <v>0</v>
      </c>
      <c r="S78" t="n">
        <v>2775.17527239762</v>
      </c>
      <c r="T78" t="n">
        <v>0</v>
      </c>
      <c r="U78" t="n">
        <v>977.056377098464</v>
      </c>
      <c r="V78" t="n">
        <v>0</v>
      </c>
      <c r="W78" t="n">
        <v>0</v>
      </c>
      <c r="X78" t="n">
        <v>9084.93884521306</v>
      </c>
      <c r="Y78" t="n">
        <v>2950.97042062551</v>
      </c>
      <c r="Z78" t="n">
        <v>10080.0428386044</v>
      </c>
      <c r="AA78" t="n">
        <v>0</v>
      </c>
      <c r="AB78" t="n">
        <v>4265963.41950498</v>
      </c>
      <c r="AC78" t="n">
        <v>297598.952055561</v>
      </c>
      <c r="AD78" t="n">
        <v>309936.960586501</v>
      </c>
      <c r="AE78" t="n">
        <v>108619.221141056</v>
      </c>
      <c r="AF78" t="n">
        <v>1293863.76390177</v>
      </c>
      <c r="AG78" t="n">
        <v>160.417715012185</v>
      </c>
      <c r="AH78" t="n">
        <v>0</v>
      </c>
      <c r="AI78" t="n">
        <v>140938.073549278</v>
      </c>
      <c r="AJ78" t="n">
        <v>805769.551590599</v>
      </c>
      <c r="AK78" t="n">
        <v>69157.135346357</v>
      </c>
      <c r="AL78" t="n">
        <v>6055.98278944931</v>
      </c>
      <c r="AM78" t="n">
        <v>157816.316226953</v>
      </c>
      <c r="AN78" t="n">
        <v>145459.524657384</v>
      </c>
      <c r="AO78" t="n">
        <v>35632.124945534</v>
      </c>
      <c r="AP78" t="n">
        <v>18942.6064301889</v>
      </c>
      <c r="AQ78" t="n">
        <v>15913.0013198053</v>
      </c>
      <c r="AR78" t="n">
        <v>75556.1359287368</v>
      </c>
      <c r="AS78" t="n">
        <v>385055.952101719</v>
      </c>
      <c r="AT78" t="n">
        <v>251385.422995065</v>
      </c>
      <c r="AU78" t="n">
        <v>25287.9059668893</v>
      </c>
      <c r="AV78" t="n">
        <v>0</v>
      </c>
      <c r="AW78" t="n">
        <v>0</v>
      </c>
      <c r="AX78" t="n">
        <v>107314.334188356</v>
      </c>
      <c r="AY78" t="n">
        <v>214354.120219487</v>
      </c>
      <c r="AZ78" t="n">
        <v>51302.4682735742</v>
      </c>
      <c r="BA78" t="n">
        <v>75648.8723572407</v>
      </c>
      <c r="BB78" t="n">
        <v>435824.640032685</v>
      </c>
      <c r="BC78" t="n">
        <v>62837.6739102282</v>
      </c>
      <c r="BD78" t="n">
        <v>261185.124286599</v>
      </c>
      <c r="BE78" t="n">
        <v>41206.4726760084</v>
      </c>
      <c r="BF78" t="n">
        <v>173349.392137885</v>
      </c>
      <c r="BG78" t="n">
        <v>311412.245346555</v>
      </c>
      <c r="BH78" t="n">
        <v>1577170.3688452</v>
      </c>
      <c r="BI78" t="n">
        <v>135631.66231798</v>
      </c>
      <c r="BJ78" t="n">
        <v>221101.864454426</v>
      </c>
      <c r="BK78" t="n">
        <v>26629.7897329999</v>
      </c>
      <c r="BL78" t="n">
        <v>25929.1662087541</v>
      </c>
      <c r="BM78" t="n">
        <v>339292.629505123</v>
      </c>
      <c r="BN78" t="n">
        <v>1997681.52576122</v>
      </c>
      <c r="BO78" t="n">
        <v>131173.660388165</v>
      </c>
      <c r="BP78" t="n">
        <v>96.681919323052</v>
      </c>
      <c r="BQ78" t="n">
        <v>35318.4557938904</v>
      </c>
      <c r="BR78" t="n">
        <v>26529.4233988445</v>
      </c>
      <c r="BS78" t="n">
        <v>593202.944646742</v>
      </c>
      <c r="BT78" t="n">
        <v>16788.9890735817</v>
      </c>
      <c r="BU78" t="n">
        <v>1802985.63147238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3587624.10264972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7424108041.92429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1897353.70752832</v>
      </c>
      <c r="H80" t="n">
        <v>0</v>
      </c>
      <c r="I80" t="n">
        <v>569128.829061124</v>
      </c>
      <c r="J80" t="n">
        <v>368251.047093448</v>
      </c>
      <c r="K80" t="n">
        <v>73248.1242918236</v>
      </c>
      <c r="L80" t="n">
        <v>926934.922112003</v>
      </c>
      <c r="M80" t="n">
        <v>396359.57016086</v>
      </c>
      <c r="N80" t="n">
        <v>110932.653383542</v>
      </c>
      <c r="O80" t="n">
        <v>26075.3762166895</v>
      </c>
      <c r="P80" t="n">
        <v>89398.1638902989</v>
      </c>
      <c r="Q80" t="n">
        <v>1053078.89715222</v>
      </c>
      <c r="R80" t="n">
        <v>118025.934733621</v>
      </c>
      <c r="S80" t="n">
        <v>187420.406588398</v>
      </c>
      <c r="T80" t="n">
        <v>3577724.0118281</v>
      </c>
      <c r="U80" t="n">
        <v>344825.522458886</v>
      </c>
      <c r="V80" t="n">
        <v>21436.7397838547</v>
      </c>
      <c r="W80" t="n">
        <v>2949725.74775553</v>
      </c>
      <c r="X80" t="n">
        <v>128647.138183558</v>
      </c>
      <c r="Y80" t="n">
        <v>289295.804129417</v>
      </c>
      <c r="Z80" t="n">
        <v>2885725.49237908</v>
      </c>
      <c r="AA80" t="n">
        <v>619255.66914987</v>
      </c>
      <c r="AB80" t="n">
        <v>4264591.77724723</v>
      </c>
      <c r="AC80" t="n">
        <v>2295483.35557206</v>
      </c>
      <c r="AD80" t="n">
        <v>2018806.29816887</v>
      </c>
      <c r="AE80" t="n">
        <v>694315.106881659</v>
      </c>
      <c r="AF80" t="n">
        <v>3193328.39036878</v>
      </c>
      <c r="AG80" t="n">
        <v>5591.61258040568</v>
      </c>
      <c r="AH80" t="n">
        <v>0</v>
      </c>
      <c r="AI80" t="n">
        <v>0</v>
      </c>
      <c r="AJ80" t="n">
        <v>1346415.07522768</v>
      </c>
      <c r="AK80" t="n">
        <v>17638.3981154299</v>
      </c>
      <c r="AL80" t="n">
        <v>68981.4695828729</v>
      </c>
      <c r="AM80" t="n">
        <v>225410.900404825</v>
      </c>
      <c r="AN80" t="n">
        <v>514041.161237563</v>
      </c>
      <c r="AO80" t="n">
        <v>64525.2833562646</v>
      </c>
      <c r="AP80" t="n">
        <v>48832.7968829413</v>
      </c>
      <c r="AQ80" t="n">
        <v>109021.889311341</v>
      </c>
      <c r="AR80" t="n">
        <v>68934.8122354809</v>
      </c>
      <c r="AS80" t="n">
        <v>1468451.09169303</v>
      </c>
      <c r="AT80" t="n">
        <v>240618.571479769</v>
      </c>
      <c r="AU80" t="n">
        <v>281152.111904238</v>
      </c>
      <c r="AV80" t="n">
        <v>0</v>
      </c>
      <c r="AW80" t="n">
        <v>0</v>
      </c>
      <c r="AX80" t="n">
        <v>7445253.49140219</v>
      </c>
      <c r="AY80" t="n">
        <v>2502803.73831776</v>
      </c>
      <c r="AZ80" t="n">
        <v>1112074.47413499</v>
      </c>
      <c r="BA80" t="n">
        <v>496589.426165897</v>
      </c>
      <c r="BB80" t="n">
        <v>2947019.05347265</v>
      </c>
      <c r="BC80" t="n">
        <v>1858878.35258961</v>
      </c>
      <c r="BD80" t="n">
        <v>4061793.37423313</v>
      </c>
      <c r="BE80" t="n">
        <v>3847276.67398689</v>
      </c>
      <c r="BF80" t="n">
        <v>542779.128234158</v>
      </c>
      <c r="BG80" t="n">
        <v>2801553.64293017</v>
      </c>
      <c r="BH80" t="n">
        <v>5859352.49879994</v>
      </c>
      <c r="BI80" t="n">
        <v>3639402.80439826</v>
      </c>
      <c r="BJ80" t="n">
        <v>1325771.25197408</v>
      </c>
      <c r="BK80" t="n">
        <v>267402.088122469</v>
      </c>
      <c r="BL80" t="n">
        <v>1082909.10596541</v>
      </c>
      <c r="BM80" t="n">
        <v>4625284.69011244</v>
      </c>
      <c r="BN80" t="n">
        <v>6508023.55043637</v>
      </c>
      <c r="BO80" t="n">
        <v>4476458.78325214</v>
      </c>
      <c r="BP80" t="n">
        <v>1756612.94448708</v>
      </c>
      <c r="BQ80" t="n">
        <v>3956384.97553756</v>
      </c>
      <c r="BR80" t="n">
        <v>1023399.82797702</v>
      </c>
      <c r="BS80" t="n">
        <v>24163350.3943808</v>
      </c>
      <c r="BT80" t="n">
        <v>4218601.73670001</v>
      </c>
      <c r="BU80" t="n">
        <v>612071034.038775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-51520.8352095378</v>
      </c>
      <c r="C81" t="n">
        <v>1659992.7884599</v>
      </c>
      <c r="D81" t="n">
        <v>0</v>
      </c>
      <c r="E81" t="n">
        <v>0</v>
      </c>
      <c r="F81" t="n">
        <v>10001.9076412242</v>
      </c>
      <c r="G81" t="n">
        <v>14797513.842182</v>
      </c>
      <c r="H81" t="n">
        <v>7172370.47973732</v>
      </c>
      <c r="I81" t="n">
        <v>0</v>
      </c>
      <c r="J81" t="n">
        <v>-4232.77065624652</v>
      </c>
      <c r="K81" t="n">
        <v>8016043.41263099</v>
      </c>
      <c r="L81" t="n">
        <v>1787660.20693029</v>
      </c>
      <c r="M81" t="n">
        <v>10339.8148737616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189435.679777521</v>
      </c>
      <c r="T81" t="n">
        <v>-3514.46366584292</v>
      </c>
      <c r="U81" t="n">
        <v>-6385.65782331271</v>
      </c>
      <c r="V81" t="n">
        <v>0</v>
      </c>
      <c r="W81" t="n">
        <v>-616164.9339756</v>
      </c>
      <c r="X81" t="n">
        <v>0</v>
      </c>
      <c r="Y81" t="n">
        <v>0</v>
      </c>
      <c r="Z81" t="n">
        <v>-2159.97417094241</v>
      </c>
      <c r="AA81" t="n">
        <v>-3175.67009820446</v>
      </c>
      <c r="AB81" t="n">
        <v>0</v>
      </c>
      <c r="AC81" t="n">
        <v>-64174.8034891113</v>
      </c>
      <c r="AD81" t="n">
        <v>0</v>
      </c>
      <c r="AE81" t="n">
        <v>0</v>
      </c>
      <c r="AF81" t="n">
        <v>890333.194340737</v>
      </c>
      <c r="AG81" t="n">
        <v>-178931.602572982</v>
      </c>
      <c r="AH81" t="n">
        <v>0</v>
      </c>
      <c r="AI81" t="n">
        <v>-122636.767832979</v>
      </c>
      <c r="AJ81" t="n">
        <v>1042906.6410037</v>
      </c>
      <c r="AK81" t="n">
        <v>8819.19905771496</v>
      </c>
      <c r="AL81" t="n">
        <v>132308.720347477</v>
      </c>
      <c r="AM81" t="n">
        <v>3474515.49512891</v>
      </c>
      <c r="AN81" t="n">
        <v>0</v>
      </c>
      <c r="AO81" t="n">
        <v>0</v>
      </c>
      <c r="AP81" t="n">
        <v>86661.019820431</v>
      </c>
      <c r="AQ81" t="n">
        <v>1434.49854357028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20560.7476635514</v>
      </c>
      <c r="AZ81" t="n">
        <v>0</v>
      </c>
      <c r="BA81" t="n">
        <v>0</v>
      </c>
      <c r="BB81" t="n">
        <v>0</v>
      </c>
      <c r="BC81" t="n">
        <v>803352.466332332</v>
      </c>
      <c r="BD81" t="n">
        <v>0</v>
      </c>
      <c r="BE81" t="n">
        <v>0</v>
      </c>
      <c r="BF81" t="n">
        <v>1055403.86045531</v>
      </c>
      <c r="BG81" t="n">
        <v>0</v>
      </c>
      <c r="BH81" t="n">
        <v>0</v>
      </c>
      <c r="BI81" t="n">
        <v>0</v>
      </c>
      <c r="BJ81" t="n">
        <v>0</v>
      </c>
      <c r="BK81" t="n">
        <v>-327337.03890854</v>
      </c>
      <c r="BL81" t="n">
        <v>2145152.0076185</v>
      </c>
      <c r="BM81" t="n">
        <v>0</v>
      </c>
      <c r="BN81" t="n">
        <v>0</v>
      </c>
      <c r="BO81" t="n">
        <v>89582034.218941</v>
      </c>
      <c r="BP81" t="n">
        <v>-98572.5249424405</v>
      </c>
      <c r="BQ81" t="n">
        <v>0</v>
      </c>
      <c r="BR81" t="n">
        <v>0</v>
      </c>
      <c r="BS81" t="n">
        <v>0</v>
      </c>
      <c r="BT81" t="n">
        <v>0</v>
      </c>
      <c r="BU81" t="n">
        <v>334354661.955659</v>
      </c>
      <c r="BV81" t="n">
        <v>-14299870.5228938</v>
      </c>
      <c r="BW81" t="n">
        <v>-622676288.538599</v>
      </c>
      <c r="BX81" t="n">
        <v>0</v>
      </c>
      <c r="BY81" t="n">
        <v>-4290668.6319495</v>
      </c>
      <c r="BZ81" t="n">
        <v>11724852.4611744</v>
      </c>
      <c r="CA81" t="n">
        <v>119354927.254143</v>
      </c>
      <c r="CB81" t="n">
        <v>0</v>
      </c>
      <c r="CC81" t="n">
        <v>0</v>
      </c>
      <c r="CD81" t="n">
        <v>-18933.9563361718</v>
      </c>
      <c r="CE81" t="n">
        <v>0</v>
      </c>
      <c r="CF81" t="n">
        <v>0</v>
      </c>
      <c r="CG81" t="n">
        <v>0</v>
      </c>
      <c r="CH81" t="n">
        <v>-2617619.46347576</v>
      </c>
      <c r="CI81" t="n">
        <v>156205.139773418</v>
      </c>
      <c r="CJ81" t="n">
        <v>0</v>
      </c>
      <c r="CK81" t="n">
        <v>0</v>
      </c>
      <c r="CL81" t="n">
        <v>10724360.4510691</v>
      </c>
      <c r="CM81" t="n">
        <v>-44541495.2894648</v>
      </c>
      <c r="CN81" t="n">
        <v>0</v>
      </c>
    </row>
    <row r="82">
      <c r="A82" t="s">
        <v>193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-919899398.091685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954625563.434173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225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98254953.6452858</v>
      </c>
      <c r="C10" t="n">
        <v>1670437.09502907</v>
      </c>
      <c r="D10" t="n">
        <v>0</v>
      </c>
      <c r="E10" t="n">
        <v>6150.75391040161</v>
      </c>
      <c r="F10" t="n">
        <v>71.6656609897996</v>
      </c>
      <c r="G10" t="n">
        <v>0</v>
      </c>
      <c r="H10" t="n">
        <v>1602711.82552471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246546.195999676</v>
      </c>
      <c r="T10" t="n">
        <v>329139921.316283</v>
      </c>
      <c r="U10" t="n">
        <v>4183043.65467544</v>
      </c>
      <c r="V10" t="n">
        <v>0</v>
      </c>
      <c r="W10" t="n">
        <v>0</v>
      </c>
      <c r="X10" t="n">
        <v>0</v>
      </c>
      <c r="Y10" t="n">
        <v>0</v>
      </c>
      <c r="Z10" t="n">
        <v>12362162.9420381</v>
      </c>
      <c r="AA10" t="n">
        <v>0</v>
      </c>
      <c r="AB10" t="n">
        <v>890765.831347452</v>
      </c>
      <c r="AC10" t="n">
        <v>1400842.12163552</v>
      </c>
      <c r="AD10" t="n">
        <v>2466126.39522465</v>
      </c>
      <c r="AE10" t="n">
        <v>258715.967105086</v>
      </c>
      <c r="AF10" t="n">
        <v>689591.066513971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37251.1237100382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1096.57815701311</v>
      </c>
      <c r="AT10" t="n">
        <v>0</v>
      </c>
      <c r="AU10" t="n">
        <v>0</v>
      </c>
      <c r="AV10" t="n">
        <v>0</v>
      </c>
      <c r="AW10" t="n">
        <v>0</v>
      </c>
      <c r="AX10" t="n">
        <v>4773.30491321588</v>
      </c>
      <c r="AY10" t="n">
        <v>0</v>
      </c>
      <c r="AZ10" t="n">
        <v>971.235531753763</v>
      </c>
      <c r="BA10" t="n">
        <v>0</v>
      </c>
      <c r="BB10" t="n">
        <v>1137133.97615584</v>
      </c>
      <c r="BC10" t="n">
        <v>34391.5898678418</v>
      </c>
      <c r="BD10" t="n">
        <v>2348407.22192132</v>
      </c>
      <c r="BE10" t="n">
        <v>0</v>
      </c>
      <c r="BF10" t="n">
        <v>409391.079117524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1136217.62613107</v>
      </c>
      <c r="BM10" t="n">
        <v>135127.804382051</v>
      </c>
      <c r="BN10" t="n">
        <v>14388223.8172693</v>
      </c>
      <c r="BO10" t="n">
        <v>24700.8566897678</v>
      </c>
      <c r="BP10" t="n">
        <v>11976.3298604285</v>
      </c>
      <c r="BQ10" t="n">
        <v>-339492.110359648</v>
      </c>
      <c r="BR10" t="n">
        <v>0</v>
      </c>
      <c r="BS10" t="n">
        <v>6156385.14888405</v>
      </c>
      <c r="BT10" t="n">
        <v>0</v>
      </c>
      <c r="BU10" t="n">
        <v>228716446.537712</v>
      </c>
      <c r="BV10" t="n">
        <v>0</v>
      </c>
      <c r="BW10" t="n">
        <v>0</v>
      </c>
      <c r="BX10" t="n">
        <v>0</v>
      </c>
      <c r="BY10" t="n">
        <v>0</v>
      </c>
      <c r="BZ10" t="n">
        <v>-32251624.0007189</v>
      </c>
      <c r="CA10" t="n">
        <v>97122376.6573053</v>
      </c>
      <c r="CB10" t="n">
        <v>-187017058.415705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66520191.6346036</v>
      </c>
      <c r="C11" t="n">
        <v>61737745.99709</v>
      </c>
      <c r="D11" t="n">
        <v>0</v>
      </c>
      <c r="E11" t="n">
        <v>59064.6817723984</v>
      </c>
      <c r="F11" t="n">
        <v>0</v>
      </c>
      <c r="G11" t="n">
        <v>0</v>
      </c>
      <c r="H11" t="n">
        <v>0</v>
      </c>
      <c r="I11" t="n">
        <v>91067004.6066223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188761.650542764</v>
      </c>
      <c r="S11" t="n">
        <v>430456.377232254</v>
      </c>
      <c r="T11" t="n">
        <v>27224639.6488856</v>
      </c>
      <c r="U11" t="n">
        <v>0</v>
      </c>
      <c r="V11" t="n">
        <v>630045.912958006</v>
      </c>
      <c r="W11" t="n">
        <v>33769695.8017571</v>
      </c>
      <c r="X11" t="n">
        <v>48908.0438764975</v>
      </c>
      <c r="Y11" t="n">
        <v>0</v>
      </c>
      <c r="Z11" t="n">
        <v>645425.013638796</v>
      </c>
      <c r="AA11" t="n">
        <v>4870873.1422671</v>
      </c>
      <c r="AB11" t="n">
        <v>0</v>
      </c>
      <c r="AC11" t="n">
        <v>0</v>
      </c>
      <c r="AD11" t="n">
        <v>4066129.16842514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2276.87778186691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758015.095088795</v>
      </c>
      <c r="BC11" t="n">
        <v>75592.0837032513</v>
      </c>
      <c r="BD11" t="n">
        <v>5835.9100204499</v>
      </c>
      <c r="BE11" t="n">
        <v>0</v>
      </c>
      <c r="BF11" t="n">
        <v>209687.311160677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843303.362863286</v>
      </c>
      <c r="BM11" t="n">
        <v>2077861.26634496</v>
      </c>
      <c r="BN11" t="n">
        <v>20597766.3314534</v>
      </c>
      <c r="BO11" t="n">
        <v>256616.795314325</v>
      </c>
      <c r="BP11" t="n">
        <v>0</v>
      </c>
      <c r="BQ11" t="n">
        <v>198144.765387325</v>
      </c>
      <c r="BR11" t="n">
        <v>59009.5264188385</v>
      </c>
      <c r="BS11" t="n">
        <v>15717621.4194116</v>
      </c>
      <c r="BT11" t="n">
        <v>0</v>
      </c>
      <c r="BU11" t="n">
        <v>32286117.1295689</v>
      </c>
      <c r="BV11" t="n">
        <v>0</v>
      </c>
      <c r="BW11" t="n">
        <v>0</v>
      </c>
      <c r="BX11" t="n">
        <v>0</v>
      </c>
      <c r="BY11" t="n">
        <v>0</v>
      </c>
      <c r="BZ11" t="n">
        <v>17611992.5033653</v>
      </c>
      <c r="CA11" t="n">
        <v>625522988.998494</v>
      </c>
      <c r="CB11" t="n">
        <v>-74053918.6475235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0</v>
      </c>
      <c r="E12" t="n">
        <v>0</v>
      </c>
      <c r="F12" t="n">
        <v>26.6522024948548</v>
      </c>
      <c r="G12" t="n">
        <v>4373512.33957209</v>
      </c>
      <c r="H12" t="n">
        <v>0</v>
      </c>
      <c r="I12" t="n">
        <v>8609.61417515642</v>
      </c>
      <c r="J12" t="n">
        <v>9.56350047253227</v>
      </c>
      <c r="K12" t="n">
        <v>5.22620334105341</v>
      </c>
      <c r="L12" t="n">
        <v>0</v>
      </c>
      <c r="M12" t="n">
        <v>0</v>
      </c>
      <c r="N12" t="n">
        <v>0</v>
      </c>
      <c r="O12" t="n">
        <v>0</v>
      </c>
      <c r="P12" t="n">
        <v>2.6231916413704</v>
      </c>
      <c r="Q12" t="n">
        <v>0</v>
      </c>
      <c r="R12" t="n">
        <v>0</v>
      </c>
      <c r="S12" t="n">
        <v>0</v>
      </c>
      <c r="T12" t="n">
        <v>15.8811226303442</v>
      </c>
      <c r="U12" t="n">
        <v>0</v>
      </c>
      <c r="V12" t="n">
        <v>0</v>
      </c>
      <c r="W12" t="n">
        <v>13109.8922122468</v>
      </c>
      <c r="X12" t="n">
        <v>11.1794111190391</v>
      </c>
      <c r="Y12" t="n">
        <v>94810619.0263546</v>
      </c>
      <c r="Z12" t="n">
        <v>490543.773081811</v>
      </c>
      <c r="AA12" t="n">
        <v>0</v>
      </c>
      <c r="AB12" t="n">
        <v>2897.73290575928</v>
      </c>
      <c r="AC12" t="n">
        <v>4981.13756817846</v>
      </c>
      <c r="AD12" t="n">
        <v>0</v>
      </c>
      <c r="AE12" t="n">
        <v>20.1119489470348</v>
      </c>
      <c r="AF12" t="n">
        <v>7967.71588623192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1161.50403536604</v>
      </c>
      <c r="AM12" t="n">
        <v>0</v>
      </c>
      <c r="AN12" t="n">
        <v>74948.8906515375</v>
      </c>
      <c r="AO12" t="n">
        <v>23670.4934303676</v>
      </c>
      <c r="AP12" t="n">
        <v>0</v>
      </c>
      <c r="AQ12" t="n">
        <v>1440.98074098347</v>
      </c>
      <c r="AR12" t="n">
        <v>2757.84917119693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23658.4001549453</v>
      </c>
      <c r="AY12" t="n">
        <v>0</v>
      </c>
      <c r="AZ12" t="n">
        <v>0</v>
      </c>
      <c r="BA12" t="n">
        <v>9.8420317670309</v>
      </c>
      <c r="BB12" t="n">
        <v>2468.57019219259</v>
      </c>
      <c r="BC12" t="n">
        <v>3635.03510414004</v>
      </c>
      <c r="BD12" t="n">
        <v>0</v>
      </c>
      <c r="BE12" t="n">
        <v>4068.06495647354</v>
      </c>
      <c r="BF12" t="n">
        <v>295420.055032585</v>
      </c>
      <c r="BG12" t="n">
        <v>17.0156345125959</v>
      </c>
      <c r="BH12" t="n">
        <v>0</v>
      </c>
      <c r="BI12" t="n">
        <v>30.2310594440578</v>
      </c>
      <c r="BJ12" t="n">
        <v>0</v>
      </c>
      <c r="BK12" t="n">
        <v>0</v>
      </c>
      <c r="BL12" t="n">
        <v>33383.440094054</v>
      </c>
      <c r="BM12" t="n">
        <v>26.0607099312679</v>
      </c>
      <c r="BN12" t="n">
        <v>19.0345569952183</v>
      </c>
      <c r="BO12" t="n">
        <v>6652.10486761698</v>
      </c>
      <c r="BP12" t="n">
        <v>0</v>
      </c>
      <c r="BQ12" t="n">
        <v>0</v>
      </c>
      <c r="BR12" t="n">
        <v>414048.765186256</v>
      </c>
      <c r="BS12" t="n">
        <v>0</v>
      </c>
      <c r="BT12" t="n">
        <v>2717109.14052074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21036.3134981512</v>
      </c>
      <c r="CA12" t="n">
        <v>329477.675910635</v>
      </c>
      <c r="CB12" t="n">
        <v>-102510283.458918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1373774.14108801</v>
      </c>
      <c r="C13" t="n">
        <v>0</v>
      </c>
      <c r="D13" t="n">
        <v>0</v>
      </c>
      <c r="E13" t="n">
        <v>1740510.39965595</v>
      </c>
      <c r="F13" t="n">
        <v>527.245748212175</v>
      </c>
      <c r="G13" t="n">
        <v>6093991.05007847</v>
      </c>
      <c r="H13" t="n">
        <v>15454185.8427686</v>
      </c>
      <c r="I13" t="n">
        <v>25428.49361045</v>
      </c>
      <c r="J13" t="n">
        <v>8132509.32487166</v>
      </c>
      <c r="K13" t="n">
        <v>1348150.47227865</v>
      </c>
      <c r="L13" t="n">
        <v>666973.112211052</v>
      </c>
      <c r="M13" t="n">
        <v>82607.1681227642</v>
      </c>
      <c r="N13" t="n">
        <v>7259.18094020335</v>
      </c>
      <c r="O13" t="n">
        <v>30353.6982889973</v>
      </c>
      <c r="P13" t="n">
        <v>24508.6273551124</v>
      </c>
      <c r="Q13" t="n">
        <v>237920.467493843</v>
      </c>
      <c r="R13" t="n">
        <v>12215.6844782098</v>
      </c>
      <c r="S13" t="n">
        <v>110488.826171735</v>
      </c>
      <c r="T13" t="n">
        <v>2009248.64014347</v>
      </c>
      <c r="U13" t="n">
        <v>92406.364799427</v>
      </c>
      <c r="V13" t="n">
        <v>0</v>
      </c>
      <c r="W13" t="n">
        <v>6679173.54660827</v>
      </c>
      <c r="X13" t="n">
        <v>0</v>
      </c>
      <c r="Y13" t="n">
        <v>868769.628590489</v>
      </c>
      <c r="Z13" t="n">
        <v>5772347.01522826</v>
      </c>
      <c r="AA13" t="n">
        <v>144195.456240709</v>
      </c>
      <c r="AB13" t="n">
        <v>30125.8453138713</v>
      </c>
      <c r="AC13" t="n">
        <v>0</v>
      </c>
      <c r="AD13" t="n">
        <v>0</v>
      </c>
      <c r="AE13" t="n">
        <v>0</v>
      </c>
      <c r="AF13" t="n">
        <v>5437.72903692604</v>
      </c>
      <c r="AG13" t="n">
        <v>0</v>
      </c>
      <c r="AH13" t="n">
        <v>69037.7119875451</v>
      </c>
      <c r="AI13" t="n">
        <v>0</v>
      </c>
      <c r="AJ13" t="n">
        <v>7249.18235586264</v>
      </c>
      <c r="AK13" t="n">
        <v>825.019127606239</v>
      </c>
      <c r="AL13" t="n">
        <v>0</v>
      </c>
      <c r="AM13" t="n">
        <v>851.990167800376</v>
      </c>
      <c r="AN13" t="n">
        <v>2317.47291621186</v>
      </c>
      <c r="AO13" t="n">
        <v>7462.95831744327</v>
      </c>
      <c r="AP13" t="n">
        <v>4117.82699845632</v>
      </c>
      <c r="AQ13" t="n">
        <v>147271.637017643</v>
      </c>
      <c r="AR13" t="n">
        <v>186116.803679323</v>
      </c>
      <c r="AS13" t="n">
        <v>0</v>
      </c>
      <c r="AT13" t="n">
        <v>0</v>
      </c>
      <c r="AU13" t="n">
        <v>0</v>
      </c>
      <c r="AV13" t="n">
        <v>0</v>
      </c>
      <c r="AW13" t="n">
        <v>7561.46717906836</v>
      </c>
      <c r="AX13" t="n">
        <v>0</v>
      </c>
      <c r="AY13" t="n">
        <v>0</v>
      </c>
      <c r="AZ13" t="n">
        <v>0</v>
      </c>
      <c r="BA13" t="n">
        <v>0</v>
      </c>
      <c r="BB13" t="n">
        <v>1402671.11286624</v>
      </c>
      <c r="BC13" t="n">
        <v>44043.0584599451</v>
      </c>
      <c r="BD13" t="n">
        <v>923821.655088357</v>
      </c>
      <c r="BE13" t="n">
        <v>73757.7467781483</v>
      </c>
      <c r="BF13" t="n">
        <v>642689.600831402</v>
      </c>
      <c r="BG13" t="n">
        <v>0</v>
      </c>
      <c r="BH13" t="n">
        <v>42711.5196424433</v>
      </c>
      <c r="BI13" t="n">
        <v>76784.6075084098</v>
      </c>
      <c r="BJ13" t="n">
        <v>287878.836670804</v>
      </c>
      <c r="BK13" t="n">
        <v>221133.994680683</v>
      </c>
      <c r="BL13" t="n">
        <v>991494.71270987</v>
      </c>
      <c r="BM13" t="n">
        <v>296395.310969346</v>
      </c>
      <c r="BN13" t="n">
        <v>1088757.20312184</v>
      </c>
      <c r="BO13" t="n">
        <v>1424256.4799792</v>
      </c>
      <c r="BP13" t="n">
        <v>0</v>
      </c>
      <c r="BQ13" t="n">
        <v>3852247.52996198</v>
      </c>
      <c r="BR13" t="n">
        <v>0</v>
      </c>
      <c r="BS13" t="n">
        <v>4561601.10583667</v>
      </c>
      <c r="BT13" t="n">
        <v>3825114.76115298</v>
      </c>
      <c r="BU13" t="n">
        <v>433138.478859323</v>
      </c>
      <c r="BV13" t="n">
        <v>0</v>
      </c>
      <c r="BW13" t="n">
        <v>27948.033814424</v>
      </c>
      <c r="BX13" t="n">
        <v>0</v>
      </c>
      <c r="BY13" t="n">
        <v>0</v>
      </c>
      <c r="BZ13" t="n">
        <v>518595.071885412</v>
      </c>
      <c r="CA13" t="n">
        <v>14166548.3188476</v>
      </c>
      <c r="CB13" t="n">
        <v>-12401859.0980923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0</v>
      </c>
      <c r="E14" t="n">
        <v>552391.05213922</v>
      </c>
      <c r="F14" t="n">
        <v>21815.0749070289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46401.8285284917</v>
      </c>
      <c r="BC14" t="n">
        <v>7100.06045399214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2667597.42435509</v>
      </c>
      <c r="BW14" t="n">
        <v>45405.4419712118</v>
      </c>
      <c r="BX14" t="n">
        <v>0</v>
      </c>
      <c r="BY14" t="n">
        <v>0</v>
      </c>
      <c r="BZ14" t="n">
        <v>-136.288494845243</v>
      </c>
      <c r="CA14" t="n">
        <v>56673.2991064803</v>
      </c>
      <c r="CB14" t="n">
        <v>-25836.9677161504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6578474.8986262</v>
      </c>
      <c r="C15" t="n">
        <v>139950.841014902</v>
      </c>
      <c r="D15" t="n">
        <v>0</v>
      </c>
      <c r="E15" t="n">
        <v>763699.80477337</v>
      </c>
      <c r="F15" t="n">
        <v>1717.11297605519</v>
      </c>
      <c r="G15" t="n">
        <v>23076583.4547891</v>
      </c>
      <c r="H15" t="n">
        <v>5889134.37027916</v>
      </c>
      <c r="I15" t="n">
        <v>3655554.13422264</v>
      </c>
      <c r="J15" t="n">
        <v>2086658.1920037</v>
      </c>
      <c r="K15" t="n">
        <v>483976.44688726</v>
      </c>
      <c r="L15" t="n">
        <v>4193866.89999136</v>
      </c>
      <c r="M15" t="n">
        <v>1090808.34718816</v>
      </c>
      <c r="N15" t="n">
        <v>692921.199754056</v>
      </c>
      <c r="O15" t="n">
        <v>118786.323059625</v>
      </c>
      <c r="P15" t="n">
        <v>460409.231100259</v>
      </c>
      <c r="Q15" t="n">
        <v>4926350.76803239</v>
      </c>
      <c r="R15" t="n">
        <v>385683.560079991</v>
      </c>
      <c r="S15" t="n">
        <v>484486.954165634</v>
      </c>
      <c r="T15" t="n">
        <v>8025258.97065732</v>
      </c>
      <c r="U15" t="n">
        <v>1462334.76650469</v>
      </c>
      <c r="V15" t="n">
        <v>73852.4756969297</v>
      </c>
      <c r="W15" t="n">
        <v>18816071.2962636</v>
      </c>
      <c r="X15" t="n">
        <v>758174.85168179</v>
      </c>
      <c r="Y15" t="n">
        <v>1178509.6184889</v>
      </c>
      <c r="Z15" t="n">
        <v>7619558.58603856</v>
      </c>
      <c r="AA15" t="n">
        <v>3970883.8293488</v>
      </c>
      <c r="AB15" t="n">
        <v>11039138.4634366</v>
      </c>
      <c r="AC15" t="n">
        <v>5526648.34039721</v>
      </c>
      <c r="AD15" t="n">
        <v>16467531.8682493</v>
      </c>
      <c r="AE15" t="n">
        <v>8954414.10415066</v>
      </c>
      <c r="AF15" t="n">
        <v>16850426.325066</v>
      </c>
      <c r="AG15" t="n">
        <v>246680.029045616</v>
      </c>
      <c r="AH15" t="n">
        <v>27180.5287091653</v>
      </c>
      <c r="AI15" t="n">
        <v>39713.223191203</v>
      </c>
      <c r="AJ15" t="n">
        <v>3654525.63077129</v>
      </c>
      <c r="AK15" t="n">
        <v>256272.357227003</v>
      </c>
      <c r="AL15" t="n">
        <v>256223.664234692</v>
      </c>
      <c r="AM15" t="n">
        <v>859004.778831155</v>
      </c>
      <c r="AN15" t="n">
        <v>1994244.94568623</v>
      </c>
      <c r="AO15" t="n">
        <v>255063.084025572</v>
      </c>
      <c r="AP15" t="n">
        <v>78507.3899486016</v>
      </c>
      <c r="AQ15" t="n">
        <v>2226252.68536155</v>
      </c>
      <c r="AR15" t="n">
        <v>657820.89651618</v>
      </c>
      <c r="AS15" t="n">
        <v>2281309.34900039</v>
      </c>
      <c r="AT15" t="n">
        <v>356482.591821661</v>
      </c>
      <c r="AU15" t="n">
        <v>605192.308616941</v>
      </c>
      <c r="AV15" t="n">
        <v>1246381.62983057</v>
      </c>
      <c r="AW15" t="n">
        <v>206702.133708196</v>
      </c>
      <c r="AX15" t="n">
        <v>21302997.5772155</v>
      </c>
      <c r="AY15" t="n">
        <v>674891.591847531</v>
      </c>
      <c r="AZ15" t="n">
        <v>402361.204911334</v>
      </c>
      <c r="BA15" t="n">
        <v>474452.000297211</v>
      </c>
      <c r="BB15" t="n">
        <v>3665802.11793183</v>
      </c>
      <c r="BC15" t="n">
        <v>4919911.07921775</v>
      </c>
      <c r="BD15" t="n">
        <v>2458798.9442293</v>
      </c>
      <c r="BE15" t="n">
        <v>1506096.07994093</v>
      </c>
      <c r="BF15" t="n">
        <v>6070725.51672395</v>
      </c>
      <c r="BG15" t="n">
        <v>4052653.02777655</v>
      </c>
      <c r="BH15" t="n">
        <v>13305106.3680681</v>
      </c>
      <c r="BI15" t="n">
        <v>6382185.55340063</v>
      </c>
      <c r="BJ15" t="n">
        <v>1833369.21754636</v>
      </c>
      <c r="BK15" t="n">
        <v>642913.140426975</v>
      </c>
      <c r="BL15" t="n">
        <v>3591244.12589485</v>
      </c>
      <c r="BM15" t="n">
        <v>9009750.47787971</v>
      </c>
      <c r="BN15" t="n">
        <v>21257313.0797629</v>
      </c>
      <c r="BO15" t="n">
        <v>6289563.1572817</v>
      </c>
      <c r="BP15" t="n">
        <v>1282792.94158019</v>
      </c>
      <c r="BQ15" t="n">
        <v>1649924.89924179</v>
      </c>
      <c r="BR15" t="n">
        <v>3136960.16376048</v>
      </c>
      <c r="BS15" t="n">
        <v>20559654.9014112</v>
      </c>
      <c r="BT15" t="n">
        <v>1984626.96010361</v>
      </c>
      <c r="BU15" t="n">
        <v>271692702.144434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12635455.9282289</v>
      </c>
      <c r="CB15" t="n">
        <v>-7485798.90313117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4379270.99281072</v>
      </c>
      <c r="C16" t="n">
        <v>214192.617865793</v>
      </c>
      <c r="D16" t="n">
        <v>0</v>
      </c>
      <c r="E16" t="n">
        <v>2518119.82671589</v>
      </c>
      <c r="F16" t="n">
        <v>24335.6273946688</v>
      </c>
      <c r="G16" t="n">
        <v>17795763.2179358</v>
      </c>
      <c r="H16" t="n">
        <v>730183.565085172</v>
      </c>
      <c r="I16" t="n">
        <v>2675754.94260081</v>
      </c>
      <c r="J16" t="n">
        <v>1881466.55670158</v>
      </c>
      <c r="K16" t="n">
        <v>406334.3315978</v>
      </c>
      <c r="L16" t="n">
        <v>4878604.85322107</v>
      </c>
      <c r="M16" t="n">
        <v>1592331.49055928</v>
      </c>
      <c r="N16" t="n">
        <v>966698.836628013</v>
      </c>
      <c r="O16" t="n">
        <v>102523.638306529</v>
      </c>
      <c r="P16" t="n">
        <v>482982.288030706</v>
      </c>
      <c r="Q16" t="n">
        <v>2939289.8331907</v>
      </c>
      <c r="R16" t="n">
        <v>339010.663596571</v>
      </c>
      <c r="S16" t="n">
        <v>681162.337923425</v>
      </c>
      <c r="T16" t="n">
        <v>7239795.15163642</v>
      </c>
      <c r="U16" t="n">
        <v>747121.965327586</v>
      </c>
      <c r="V16" t="n">
        <v>64310.219351564</v>
      </c>
      <c r="W16" t="n">
        <v>14407771.5412593</v>
      </c>
      <c r="X16" t="n">
        <v>794148.679940813</v>
      </c>
      <c r="Y16" t="n">
        <v>6547371.21148206</v>
      </c>
      <c r="Z16" t="n">
        <v>4650424.39003903</v>
      </c>
      <c r="AA16" t="n">
        <v>2613576.49082227</v>
      </c>
      <c r="AB16" t="n">
        <v>11122399.9685377</v>
      </c>
      <c r="AC16" t="n">
        <v>6777846.55311922</v>
      </c>
      <c r="AD16" t="n">
        <v>6970337.96192089</v>
      </c>
      <c r="AE16" t="n">
        <v>8937081.63216904</v>
      </c>
      <c r="AF16" t="n">
        <v>14953640.6285051</v>
      </c>
      <c r="AG16" t="n">
        <v>227159.261078981</v>
      </c>
      <c r="AH16" t="n">
        <v>3775143.98302516</v>
      </c>
      <c r="AI16" t="n">
        <v>42889.3614279271</v>
      </c>
      <c r="AJ16" t="n">
        <v>1720957.3983126</v>
      </c>
      <c r="AK16" t="n">
        <v>1256735.86572438</v>
      </c>
      <c r="AL16" t="n">
        <v>649669.742219024</v>
      </c>
      <c r="AM16" t="n">
        <v>2873419.76071605</v>
      </c>
      <c r="AN16" t="n">
        <v>2802453.31879515</v>
      </c>
      <c r="AO16" t="n">
        <v>165419.36278606</v>
      </c>
      <c r="AP16" t="n">
        <v>50208.3686261227</v>
      </c>
      <c r="AQ16" t="n">
        <v>3419844.52787154</v>
      </c>
      <c r="AR16" t="n">
        <v>675697.664486397</v>
      </c>
      <c r="AS16" t="n">
        <v>16365820.056777</v>
      </c>
      <c r="AT16" t="n">
        <v>1928214.88728811</v>
      </c>
      <c r="AU16" t="n">
        <v>3058479.05517448</v>
      </c>
      <c r="AV16" t="n">
        <v>234529.914529915</v>
      </c>
      <c r="AW16" t="n">
        <v>354610187.142053</v>
      </c>
      <c r="AX16" t="n">
        <v>101186483.887403</v>
      </c>
      <c r="AY16" t="n">
        <v>1783177.57009346</v>
      </c>
      <c r="AZ16" t="n">
        <v>465353.05248138</v>
      </c>
      <c r="BA16" t="n">
        <v>176419.927716832</v>
      </c>
      <c r="BB16" t="n">
        <v>5862375.91876749</v>
      </c>
      <c r="BC16" t="n">
        <v>3072913.24565686</v>
      </c>
      <c r="BD16" t="n">
        <v>2833334.31492842</v>
      </c>
      <c r="BE16" t="n">
        <v>595315.443237971</v>
      </c>
      <c r="BF16" t="n">
        <v>8675850.51002853</v>
      </c>
      <c r="BG16" t="n">
        <v>2850505.52109965</v>
      </c>
      <c r="BH16" t="n">
        <v>8129534.52755576</v>
      </c>
      <c r="BI16" t="n">
        <v>4482352.71865227</v>
      </c>
      <c r="BJ16" t="n">
        <v>3378220.47051135</v>
      </c>
      <c r="BK16" t="n">
        <v>573992.413297369</v>
      </c>
      <c r="BL16" t="n">
        <v>2533676.64869005</v>
      </c>
      <c r="BM16" t="n">
        <v>17272727.7392603</v>
      </c>
      <c r="BN16" t="n">
        <v>10164311.2150181</v>
      </c>
      <c r="BO16" t="n">
        <v>12821502.9799273</v>
      </c>
      <c r="BP16" t="n">
        <v>12641294.4487081</v>
      </c>
      <c r="BQ16" t="n">
        <v>2488321.47236259</v>
      </c>
      <c r="BR16" t="n">
        <v>3002536.68538713</v>
      </c>
      <c r="BS16" t="n">
        <v>124623919.87056</v>
      </c>
      <c r="BT16" t="n">
        <v>123609292.099186</v>
      </c>
      <c r="BU16" t="n">
        <v>0</v>
      </c>
      <c r="BV16" t="n">
        <v>1379604306.45749</v>
      </c>
      <c r="BW16" t="n">
        <v>0</v>
      </c>
      <c r="BX16" t="n">
        <v>0</v>
      </c>
      <c r="BY16" t="n">
        <v>2519323307.03456</v>
      </c>
      <c r="BZ16" t="n">
        <v>0</v>
      </c>
      <c r="CA16" t="n">
        <v>272315.818798025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191748008.442762</v>
      </c>
      <c r="CI16" t="n">
        <v>0</v>
      </c>
      <c r="CJ16" t="n">
        <v>0</v>
      </c>
      <c r="CK16" t="n">
        <v>0</v>
      </c>
      <c r="CL16" t="n">
        <v>808411033.744981</v>
      </c>
      <c r="CM16" t="n">
        <v>0</v>
      </c>
      <c r="CN16" t="n">
        <v>0</v>
      </c>
    </row>
    <row r="17">
      <c r="A17" t="s">
        <v>128</v>
      </c>
      <c r="B17" t="n">
        <v>1114467.31022066</v>
      </c>
      <c r="C17" t="n">
        <v>427669.416085248</v>
      </c>
      <c r="D17" t="n">
        <v>0</v>
      </c>
      <c r="E17" t="n">
        <v>77837.4114704417</v>
      </c>
      <c r="F17" t="n">
        <v>1860.93095068294</v>
      </c>
      <c r="G17" t="n">
        <v>10233.2970448284</v>
      </c>
      <c r="H17" t="n">
        <v>76924988.4675446</v>
      </c>
      <c r="I17" t="n">
        <v>146947823.243551</v>
      </c>
      <c r="J17" t="n">
        <v>267641.674018872</v>
      </c>
      <c r="K17" t="n">
        <v>114820.867387402</v>
      </c>
      <c r="L17" t="n">
        <v>468700.801288814</v>
      </c>
      <c r="M17" t="n">
        <v>963419.104451286</v>
      </c>
      <c r="N17" t="n">
        <v>344553.002987183</v>
      </c>
      <c r="O17" t="n">
        <v>262684.577711987</v>
      </c>
      <c r="P17" t="n">
        <v>1216682.93498876</v>
      </c>
      <c r="Q17" t="n">
        <v>934156.45889954</v>
      </c>
      <c r="R17" t="n">
        <v>10945262.0516795</v>
      </c>
      <c r="S17" t="n">
        <v>1638566.800525</v>
      </c>
      <c r="T17" t="n">
        <v>914819.393663965</v>
      </c>
      <c r="U17" t="n">
        <v>280776.879651674</v>
      </c>
      <c r="V17" t="n">
        <v>0</v>
      </c>
      <c r="W17" t="n">
        <v>37497354.585557</v>
      </c>
      <c r="X17" t="n">
        <v>2473.98342660689</v>
      </c>
      <c r="Y17" t="n">
        <v>0</v>
      </c>
      <c r="Z17" t="n">
        <v>394719.447871129</v>
      </c>
      <c r="AA17" t="n">
        <v>4316472.77409213</v>
      </c>
      <c r="AB17" t="n">
        <v>12437094.2334937</v>
      </c>
      <c r="AC17" t="n">
        <v>473163.849935538</v>
      </c>
      <c r="AD17" t="n">
        <v>2766897.54888025</v>
      </c>
      <c r="AE17" t="n">
        <v>460674.24308045</v>
      </c>
      <c r="AF17" t="n">
        <v>2606274.01362466</v>
      </c>
      <c r="AG17" t="n">
        <v>0</v>
      </c>
      <c r="AH17" t="n">
        <v>2492392.66276042</v>
      </c>
      <c r="AI17" t="n">
        <v>0</v>
      </c>
      <c r="AJ17" t="n">
        <v>381443.177056181</v>
      </c>
      <c r="AK17" t="n">
        <v>0</v>
      </c>
      <c r="AL17" t="n">
        <v>4706.81006046699</v>
      </c>
      <c r="AM17" t="n">
        <v>86384.3901629859</v>
      </c>
      <c r="AN17" t="n">
        <v>283492.414266182</v>
      </c>
      <c r="AO17" t="n">
        <v>34752.2704510478</v>
      </c>
      <c r="AP17" t="n">
        <v>38233.1142149009</v>
      </c>
      <c r="AQ17" t="n">
        <v>759670.957265324</v>
      </c>
      <c r="AR17" t="n">
        <v>549372.142369143</v>
      </c>
      <c r="AS17" t="n">
        <v>498861.931316325</v>
      </c>
      <c r="AT17" t="n">
        <v>5076.0836590441</v>
      </c>
      <c r="AU17" t="n">
        <v>0</v>
      </c>
      <c r="AV17" t="n">
        <v>0</v>
      </c>
      <c r="AW17" t="n">
        <v>67262.448844485</v>
      </c>
      <c r="AX17" t="n">
        <v>12231492.9907061</v>
      </c>
      <c r="AY17" t="n">
        <v>575557.735052223</v>
      </c>
      <c r="AZ17" t="n">
        <v>23840.3331992876</v>
      </c>
      <c r="BA17" t="n">
        <v>58748.4119108835</v>
      </c>
      <c r="BB17" t="n">
        <v>1425158.45340399</v>
      </c>
      <c r="BC17" t="n">
        <v>11988.1926310849</v>
      </c>
      <c r="BD17" t="n">
        <v>2087140.41932758</v>
      </c>
      <c r="BE17" t="n">
        <v>91681.8874703867</v>
      </c>
      <c r="BF17" t="n">
        <v>113298.801457335</v>
      </c>
      <c r="BG17" t="n">
        <v>1039224.06041125</v>
      </c>
      <c r="BH17" t="n">
        <v>2282018.52456976</v>
      </c>
      <c r="BI17" t="n">
        <v>24500.4780226005</v>
      </c>
      <c r="BJ17" t="n">
        <v>2404186.18335649</v>
      </c>
      <c r="BK17" t="n">
        <v>11510.5444415823</v>
      </c>
      <c r="BL17" t="n">
        <v>465121.343839328</v>
      </c>
      <c r="BM17" t="n">
        <v>3921459.40146223</v>
      </c>
      <c r="BN17" t="n">
        <v>2518838.59586636</v>
      </c>
      <c r="BO17" t="n">
        <v>883227.016518717</v>
      </c>
      <c r="BP17" t="n">
        <v>23567.4812636338</v>
      </c>
      <c r="BQ17" t="n">
        <v>136751.996190771</v>
      </c>
      <c r="BR17" t="n">
        <v>9858.06956866194</v>
      </c>
      <c r="BS17" t="n">
        <v>6196394.34064146</v>
      </c>
      <c r="BT17" t="n">
        <v>479408.461042005</v>
      </c>
      <c r="BU17" t="n">
        <v>13458602.6788502</v>
      </c>
      <c r="BV17" t="n">
        <v>1209919.21581458</v>
      </c>
      <c r="BW17" t="n">
        <v>0</v>
      </c>
      <c r="BX17" t="n">
        <v>0</v>
      </c>
      <c r="BY17" t="n">
        <v>20943404.8190391</v>
      </c>
      <c r="BZ17" t="n">
        <v>3851292.15174781</v>
      </c>
      <c r="CA17" t="n">
        <v>45307964.1725975</v>
      </c>
      <c r="CB17" t="n">
        <v>-88136895.7073282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253.637880222817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35273.880305204</v>
      </c>
      <c r="C18" t="n">
        <v>408104.722474257</v>
      </c>
      <c r="D18" t="n">
        <v>0</v>
      </c>
      <c r="E18" t="n">
        <v>220986.57941087</v>
      </c>
      <c r="F18" t="n">
        <v>6591.2075892369</v>
      </c>
      <c r="G18" t="n">
        <v>116766.429056728</v>
      </c>
      <c r="H18" t="n">
        <v>124578943.924967</v>
      </c>
      <c r="I18" t="n">
        <v>5600183.78264283</v>
      </c>
      <c r="J18" t="n">
        <v>21353347.2332702</v>
      </c>
      <c r="K18" t="n">
        <v>553542.59115624</v>
      </c>
      <c r="L18" t="n">
        <v>3927568.38630059</v>
      </c>
      <c r="M18" t="n">
        <v>2121474.15625091</v>
      </c>
      <c r="N18" t="n">
        <v>395320.123032542</v>
      </c>
      <c r="O18" t="n">
        <v>751083.119601484</v>
      </c>
      <c r="P18" t="n">
        <v>2823017.7933652</v>
      </c>
      <c r="Q18" t="n">
        <v>1423228.44972087</v>
      </c>
      <c r="R18" t="n">
        <v>622353.175356905</v>
      </c>
      <c r="S18" t="n">
        <v>1150580.26875479</v>
      </c>
      <c r="T18" t="n">
        <v>9701810.81559352</v>
      </c>
      <c r="U18" t="n">
        <v>136166.165132493</v>
      </c>
      <c r="V18" t="n">
        <v>0</v>
      </c>
      <c r="W18" t="n">
        <v>4058573.94644165</v>
      </c>
      <c r="X18" t="n">
        <v>1604.67110403094</v>
      </c>
      <c r="Y18" t="n">
        <v>853497.441357696</v>
      </c>
      <c r="Z18" t="n">
        <v>2270811.98104246</v>
      </c>
      <c r="AA18" t="n">
        <v>4267197.00758121</v>
      </c>
      <c r="AB18" t="n">
        <v>184098.404630672</v>
      </c>
      <c r="AC18" t="n">
        <v>738061.854604401</v>
      </c>
      <c r="AD18" t="n">
        <v>243684.076312163</v>
      </c>
      <c r="AE18" t="n">
        <v>866772.059232539</v>
      </c>
      <c r="AF18" t="n">
        <v>1606188.86271122</v>
      </c>
      <c r="AG18" t="n">
        <v>0</v>
      </c>
      <c r="AH18" t="n">
        <v>16127.1288584637</v>
      </c>
      <c r="AI18" t="n">
        <v>0</v>
      </c>
      <c r="AJ18" t="n">
        <v>280899.50839413</v>
      </c>
      <c r="AK18" t="n">
        <v>0</v>
      </c>
      <c r="AL18" t="n">
        <v>0</v>
      </c>
      <c r="AM18" t="n">
        <v>21598.8809606744</v>
      </c>
      <c r="AN18" t="n">
        <v>190649.942240291</v>
      </c>
      <c r="AO18" t="n">
        <v>1521.90124664608</v>
      </c>
      <c r="AP18" t="n">
        <v>446.110552735622</v>
      </c>
      <c r="AQ18" t="n">
        <v>2707654.03422139</v>
      </c>
      <c r="AR18" t="n">
        <v>369693.444363307</v>
      </c>
      <c r="AS18" t="n">
        <v>61533.6656421081</v>
      </c>
      <c r="AT18" t="n">
        <v>24158.700113939</v>
      </c>
      <c r="AU18" t="n">
        <v>109459.100704628</v>
      </c>
      <c r="AV18" t="n">
        <v>0</v>
      </c>
      <c r="AW18" t="n">
        <v>306510.883789166</v>
      </c>
      <c r="AX18" t="n">
        <v>109545.441283904</v>
      </c>
      <c r="AY18" t="n">
        <v>857156.617761954</v>
      </c>
      <c r="AZ18" t="n">
        <v>0</v>
      </c>
      <c r="BA18" t="n">
        <v>266589.950606288</v>
      </c>
      <c r="BB18" t="n">
        <v>8124126.05830886</v>
      </c>
      <c r="BC18" t="n">
        <v>116640.632147229</v>
      </c>
      <c r="BD18" t="n">
        <v>1868928.39340018</v>
      </c>
      <c r="BE18" t="n">
        <v>887207.013839141</v>
      </c>
      <c r="BF18" t="n">
        <v>241463.58622694</v>
      </c>
      <c r="BG18" t="n">
        <v>5880334.87852282</v>
      </c>
      <c r="BH18" t="n">
        <v>12945619.2304773</v>
      </c>
      <c r="BI18" t="n">
        <v>665193.174999955</v>
      </c>
      <c r="BJ18" t="n">
        <v>1680279.93666017</v>
      </c>
      <c r="BK18" t="n">
        <v>19562.2693840621</v>
      </c>
      <c r="BL18" t="n">
        <v>396443.856757631</v>
      </c>
      <c r="BM18" t="n">
        <v>411949.068624022</v>
      </c>
      <c r="BN18" t="n">
        <v>7096660.4750335</v>
      </c>
      <c r="BO18" t="n">
        <v>3582271.12827434</v>
      </c>
      <c r="BP18" t="n">
        <v>67010.8562490557</v>
      </c>
      <c r="BQ18" t="n">
        <v>1811906.97832255</v>
      </c>
      <c r="BR18" t="n">
        <v>0</v>
      </c>
      <c r="BS18" t="n">
        <v>4546008.26607391</v>
      </c>
      <c r="BT18" t="n">
        <v>4592933.78640145</v>
      </c>
      <c r="BU18" t="n">
        <v>40565844.6074331</v>
      </c>
      <c r="BV18" t="n">
        <v>0</v>
      </c>
      <c r="BW18" t="n">
        <v>0</v>
      </c>
      <c r="BX18" t="n">
        <v>0</v>
      </c>
      <c r="BY18" t="n">
        <v>0</v>
      </c>
      <c r="BZ18" t="n">
        <v>2429950.47811007</v>
      </c>
      <c r="CA18" t="n">
        <v>1698594.26564566</v>
      </c>
      <c r="CB18" t="n">
        <v>-85050788.0611222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165177.308061654</v>
      </c>
      <c r="C19" t="n">
        <v>0</v>
      </c>
      <c r="D19" t="n">
        <v>0</v>
      </c>
      <c r="E19" t="n">
        <v>104051.020426504</v>
      </c>
      <c r="F19" t="n">
        <v>2254.29349739046</v>
      </c>
      <c r="G19" t="n">
        <v>1303.33665293465</v>
      </c>
      <c r="H19" t="n">
        <v>5131620.89044363</v>
      </c>
      <c r="I19" t="n">
        <v>814901.527220539</v>
      </c>
      <c r="J19" t="n">
        <v>939823.156949088</v>
      </c>
      <c r="K19" t="n">
        <v>12326264.0256596</v>
      </c>
      <c r="L19" t="n">
        <v>72329358.9418697</v>
      </c>
      <c r="M19" t="n">
        <v>17857502.5764111</v>
      </c>
      <c r="N19" t="n">
        <v>3789515.37614789</v>
      </c>
      <c r="O19" t="n">
        <v>2990341.51532336</v>
      </c>
      <c r="P19" t="n">
        <v>7223459.12956869</v>
      </c>
      <c r="Q19" t="n">
        <v>15562203.7992127</v>
      </c>
      <c r="R19" t="n">
        <v>2635587.82549967</v>
      </c>
      <c r="S19" t="n">
        <v>4456632.7368287</v>
      </c>
      <c r="T19" t="n">
        <v>2513525.05382232</v>
      </c>
      <c r="U19" t="n">
        <v>101831.095799757</v>
      </c>
      <c r="V19" t="n">
        <v>0</v>
      </c>
      <c r="W19" t="n">
        <v>4219103.2069166</v>
      </c>
      <c r="X19" t="n">
        <v>11993.0390853909</v>
      </c>
      <c r="Y19" t="n">
        <v>5454.29566183669</v>
      </c>
      <c r="Z19" t="n">
        <v>57231.9971454275</v>
      </c>
      <c r="AA19" t="n">
        <v>1505299.48774678</v>
      </c>
      <c r="AB19" t="n">
        <v>515186.735834273</v>
      </c>
      <c r="AC19" t="n">
        <v>11965.3019477826</v>
      </c>
      <c r="AD19" t="n">
        <v>0</v>
      </c>
      <c r="AE19" t="n">
        <v>0</v>
      </c>
      <c r="AF19" t="n">
        <v>1275474.40824093</v>
      </c>
      <c r="AG19" t="n">
        <v>0</v>
      </c>
      <c r="AH19" t="n">
        <v>199114.69306899</v>
      </c>
      <c r="AI19" t="n">
        <v>0</v>
      </c>
      <c r="AJ19" t="n">
        <v>0</v>
      </c>
      <c r="AK19" t="n">
        <v>0</v>
      </c>
      <c r="AL19" t="n">
        <v>0</v>
      </c>
      <c r="AM19" t="n">
        <v>67717.4271124782</v>
      </c>
      <c r="AN19" t="n">
        <v>0</v>
      </c>
      <c r="AO19" t="n">
        <v>6611.78565511487</v>
      </c>
      <c r="AP19" t="n">
        <v>3042.64896602289</v>
      </c>
      <c r="AQ19" t="n">
        <v>171217.115698952</v>
      </c>
      <c r="AR19" t="n">
        <v>192498.004902913</v>
      </c>
      <c r="AS19" t="n">
        <v>0</v>
      </c>
      <c r="AT19" t="n">
        <v>0</v>
      </c>
      <c r="AU19" t="n">
        <v>0</v>
      </c>
      <c r="AV19" t="n">
        <v>0</v>
      </c>
      <c r="AW19" t="n">
        <v>535.284536672861</v>
      </c>
      <c r="AX19" t="n">
        <v>2433788.67970384</v>
      </c>
      <c r="AY19" t="n">
        <v>72377.0624864625</v>
      </c>
      <c r="AZ19" t="n">
        <v>0</v>
      </c>
      <c r="BA19" t="n">
        <v>0</v>
      </c>
      <c r="BB19" t="n">
        <v>1714010.68093202</v>
      </c>
      <c r="BC19" t="n">
        <v>78371.5588155109</v>
      </c>
      <c r="BD19" t="n">
        <v>703997.541004884</v>
      </c>
      <c r="BE19" t="n">
        <v>465881.920083479</v>
      </c>
      <c r="BF19" t="n">
        <v>331326.454184511</v>
      </c>
      <c r="BG19" t="n">
        <v>286653.097498198</v>
      </c>
      <c r="BH19" t="n">
        <v>52157.8545152344</v>
      </c>
      <c r="BI19" t="n">
        <v>39830.1956577917</v>
      </c>
      <c r="BJ19" t="n">
        <v>620838.660771857</v>
      </c>
      <c r="BK19" t="n">
        <v>23922.0055102948</v>
      </c>
      <c r="BL19" t="n">
        <v>490320.656575956</v>
      </c>
      <c r="BM19" t="n">
        <v>86583.94956448</v>
      </c>
      <c r="BN19" t="n">
        <v>138642.667450198</v>
      </c>
      <c r="BO19" t="n">
        <v>1225391.40260948</v>
      </c>
      <c r="BP19" t="n">
        <v>248439.433131275</v>
      </c>
      <c r="BQ19" t="n">
        <v>891174.091949984</v>
      </c>
      <c r="BR19" t="n">
        <v>0</v>
      </c>
      <c r="BS19" t="n">
        <v>102060.056986129</v>
      </c>
      <c r="BT19" t="n">
        <v>561771.842094455</v>
      </c>
      <c r="BU19" t="n">
        <v>1032356.54123124</v>
      </c>
      <c r="BV19" t="n">
        <v>0</v>
      </c>
      <c r="BW19" t="n">
        <v>0</v>
      </c>
      <c r="BX19" t="n">
        <v>0</v>
      </c>
      <c r="BY19" t="n">
        <v>0</v>
      </c>
      <c r="BZ19" t="n">
        <v>759181.169495077</v>
      </c>
      <c r="CA19" t="n">
        <v>7593458.33378728</v>
      </c>
      <c r="CB19" t="n">
        <v>-125483593.633201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3011933.06946492</v>
      </c>
      <c r="C20" t="n">
        <v>666801.75162171</v>
      </c>
      <c r="D20" t="n">
        <v>0</v>
      </c>
      <c r="E20" t="n">
        <v>340467.790549381</v>
      </c>
      <c r="F20" t="n">
        <v>4649.30218478048</v>
      </c>
      <c r="G20" t="n">
        <v>1397407.05411672</v>
      </c>
      <c r="H20" t="n">
        <v>101254591.861596</v>
      </c>
      <c r="I20" t="n">
        <v>11625874.3086927</v>
      </c>
      <c r="J20" t="n">
        <v>1622209.72478824</v>
      </c>
      <c r="K20" t="n">
        <v>659993.726028559</v>
      </c>
      <c r="L20" t="n">
        <v>57689753.2442751</v>
      </c>
      <c r="M20" t="n">
        <v>19295930.4654388</v>
      </c>
      <c r="N20" t="n">
        <v>5355730.38898634</v>
      </c>
      <c r="O20" t="n">
        <v>2254869.58847561</v>
      </c>
      <c r="P20" t="n">
        <v>6767284.09828541</v>
      </c>
      <c r="Q20" t="n">
        <v>34954187.5689659</v>
      </c>
      <c r="R20" t="n">
        <v>4750307.84811337</v>
      </c>
      <c r="S20" t="n">
        <v>3849009.34639387</v>
      </c>
      <c r="T20" t="n">
        <v>25229371.447467</v>
      </c>
      <c r="U20" t="n">
        <v>1288946.14799974</v>
      </c>
      <c r="V20" t="n">
        <v>154805.543801091</v>
      </c>
      <c r="W20" t="n">
        <v>33565547.0055564</v>
      </c>
      <c r="X20" t="n">
        <v>726456.361936177</v>
      </c>
      <c r="Y20" t="n">
        <v>545169.733181667</v>
      </c>
      <c r="Z20" t="n">
        <v>9350306.98570949</v>
      </c>
      <c r="AA20" t="n">
        <v>10583144.7470106</v>
      </c>
      <c r="AB20" t="n">
        <v>3183833.58380381</v>
      </c>
      <c r="AC20" t="n">
        <v>785028.469273135</v>
      </c>
      <c r="AD20" t="n">
        <v>722852.00768518</v>
      </c>
      <c r="AE20" t="n">
        <v>295179.093581472</v>
      </c>
      <c r="AF20" t="n">
        <v>4248876.98116308</v>
      </c>
      <c r="AG20" t="n">
        <v>92482.0142833651</v>
      </c>
      <c r="AH20" t="n">
        <v>313494.874690742</v>
      </c>
      <c r="AI20" t="n">
        <v>433059.948151469</v>
      </c>
      <c r="AJ20" t="n">
        <v>2569499.30518999</v>
      </c>
      <c r="AK20" t="n">
        <v>447476.669366399</v>
      </c>
      <c r="AL20" t="n">
        <v>429283.623799407</v>
      </c>
      <c r="AM20" t="n">
        <v>443369.441571806</v>
      </c>
      <c r="AN20" t="n">
        <v>1254859.87388414</v>
      </c>
      <c r="AO20" t="n">
        <v>315663.826966286</v>
      </c>
      <c r="AP20" t="n">
        <v>12453.82674025</v>
      </c>
      <c r="AQ20" t="n">
        <v>8148649.4818539</v>
      </c>
      <c r="AR20" t="n">
        <v>606978.889433004</v>
      </c>
      <c r="AS20" t="n">
        <v>547690.297409423</v>
      </c>
      <c r="AT20" t="n">
        <v>99254.0670730086</v>
      </c>
      <c r="AU20" t="n">
        <v>0</v>
      </c>
      <c r="AV20" t="n">
        <v>70205.5343529072</v>
      </c>
      <c r="AW20" t="n">
        <v>38949.9737394543</v>
      </c>
      <c r="AX20" t="n">
        <v>2645219.93600768</v>
      </c>
      <c r="AY20" t="n">
        <v>1447344.71095221</v>
      </c>
      <c r="AZ20" t="n">
        <v>44631.8345832704</v>
      </c>
      <c r="BA20" t="n">
        <v>2545941.33368129</v>
      </c>
      <c r="BB20" t="n">
        <v>6504429.88538895</v>
      </c>
      <c r="BC20" t="n">
        <v>1010546.40079233</v>
      </c>
      <c r="BD20" t="n">
        <v>3747908.07818794</v>
      </c>
      <c r="BE20" t="n">
        <v>6618317.1450208</v>
      </c>
      <c r="BF20" t="n">
        <v>907371.273884894</v>
      </c>
      <c r="BG20" t="n">
        <v>602951.727662513</v>
      </c>
      <c r="BH20" t="n">
        <v>4632492.68708856</v>
      </c>
      <c r="BI20" t="n">
        <v>82886.3816050733</v>
      </c>
      <c r="BJ20" t="n">
        <v>7076994.30477801</v>
      </c>
      <c r="BK20" t="n">
        <v>45541.2033197841</v>
      </c>
      <c r="BL20" t="n">
        <v>1155075.17403885</v>
      </c>
      <c r="BM20" t="n">
        <v>4581160.86789662</v>
      </c>
      <c r="BN20" t="n">
        <v>6801112.52213166</v>
      </c>
      <c r="BO20" t="n">
        <v>7335853.87157702</v>
      </c>
      <c r="BP20" t="n">
        <v>5394893.55231491</v>
      </c>
      <c r="BQ20" t="n">
        <v>2879882.33983363</v>
      </c>
      <c r="BR20" t="n">
        <v>515126.643668799</v>
      </c>
      <c r="BS20" t="n">
        <v>6613161.26791717</v>
      </c>
      <c r="BT20" t="n">
        <v>5282196.62827765</v>
      </c>
      <c r="BU20" t="n">
        <v>47751599.3650915</v>
      </c>
      <c r="BV20" t="n">
        <v>0</v>
      </c>
      <c r="BW20" t="n">
        <v>26049008.0827274</v>
      </c>
      <c r="BX20" t="n">
        <v>0</v>
      </c>
      <c r="BY20" t="n">
        <v>0</v>
      </c>
      <c r="BZ20" t="n">
        <v>12843090.0679001</v>
      </c>
      <c r="CA20" t="n">
        <v>25552621.5087873</v>
      </c>
      <c r="CB20" t="n">
        <v>-209682277.28714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699057.378264218</v>
      </c>
      <c r="CJ20" t="n">
        <v>0</v>
      </c>
      <c r="CK20" t="n">
        <v>0</v>
      </c>
      <c r="CL20" t="n">
        <v>0</v>
      </c>
      <c r="CM20" t="n">
        <v>389160.412485531</v>
      </c>
      <c r="CN20" t="n">
        <v>0</v>
      </c>
    </row>
    <row r="21">
      <c r="A21" t="s">
        <v>132</v>
      </c>
      <c r="B21" t="n">
        <v>5034787.70278138</v>
      </c>
      <c r="C21" t="n">
        <v>233107.702198802</v>
      </c>
      <c r="D21" t="n">
        <v>0</v>
      </c>
      <c r="E21" t="n">
        <v>1641419.90043926</v>
      </c>
      <c r="F21" t="n">
        <v>29966.7773950307</v>
      </c>
      <c r="G21" t="n">
        <v>3232754.92284084</v>
      </c>
      <c r="H21" t="n">
        <v>45501561.2560785</v>
      </c>
      <c r="I21" t="n">
        <v>2142697.2874565</v>
      </c>
      <c r="J21" t="n">
        <v>140088.197866846</v>
      </c>
      <c r="K21" t="n">
        <v>162296.556239795</v>
      </c>
      <c r="L21" t="n">
        <v>9656809.50760568</v>
      </c>
      <c r="M21" t="n">
        <v>35538117.8831664</v>
      </c>
      <c r="N21" t="n">
        <v>503997.775486339</v>
      </c>
      <c r="O21" t="n">
        <v>757782.782424859</v>
      </c>
      <c r="P21" t="n">
        <v>11445494.2379816</v>
      </c>
      <c r="Q21" t="n">
        <v>12371086.6453369</v>
      </c>
      <c r="R21" t="n">
        <v>150915.119841956</v>
      </c>
      <c r="S21" t="n">
        <v>996074.18695239</v>
      </c>
      <c r="T21" t="n">
        <v>9392934.2222865</v>
      </c>
      <c r="U21" t="n">
        <v>101058.656331331</v>
      </c>
      <c r="V21" t="n">
        <v>3232.84813004608</v>
      </c>
      <c r="W21" t="n">
        <v>11132730.9202348</v>
      </c>
      <c r="X21" t="n">
        <v>1920333.73159357</v>
      </c>
      <c r="Y21" t="n">
        <v>34253.6076098295</v>
      </c>
      <c r="Z21" t="n">
        <v>5391087.9976859</v>
      </c>
      <c r="AA21" t="n">
        <v>3278911.14355504</v>
      </c>
      <c r="AB21" t="n">
        <v>4208590.76369549</v>
      </c>
      <c r="AC21" t="n">
        <v>542726.363799108</v>
      </c>
      <c r="AD21" t="n">
        <v>433487.615069459</v>
      </c>
      <c r="AE21" t="n">
        <v>254060.48858273</v>
      </c>
      <c r="AF21" t="n">
        <v>1686623.72738623</v>
      </c>
      <c r="AG21" t="n">
        <v>2174.66384500235</v>
      </c>
      <c r="AH21" t="n">
        <v>37840.5482112305</v>
      </c>
      <c r="AI21" t="n">
        <v>33465.2303914421</v>
      </c>
      <c r="AJ21" t="n">
        <v>799796.376033554</v>
      </c>
      <c r="AK21" t="n">
        <v>66880.3252585458</v>
      </c>
      <c r="AL21" t="n">
        <v>32849.3439699841</v>
      </c>
      <c r="AM21" t="n">
        <v>10054622.9613073</v>
      </c>
      <c r="AN21" t="n">
        <v>2578723.80083822</v>
      </c>
      <c r="AO21" t="n">
        <v>39852.637311002</v>
      </c>
      <c r="AP21" t="n">
        <v>9258.60592356703</v>
      </c>
      <c r="AQ21" t="n">
        <v>896231.299435266</v>
      </c>
      <c r="AR21" t="n">
        <v>201567.005305056</v>
      </c>
      <c r="AS21" t="n">
        <v>8383.16534447774</v>
      </c>
      <c r="AT21" t="n">
        <v>20117.9346413243</v>
      </c>
      <c r="AU21" t="n">
        <v>1774673.75143549</v>
      </c>
      <c r="AV21" t="n">
        <v>0</v>
      </c>
      <c r="AW21" t="n">
        <v>67524.754540811</v>
      </c>
      <c r="AX21" t="n">
        <v>99235.857638133</v>
      </c>
      <c r="AY21" t="n">
        <v>658127.119560809</v>
      </c>
      <c r="AZ21" t="n">
        <v>19168.6090463677</v>
      </c>
      <c r="BA21" t="n">
        <v>3394971.30352531</v>
      </c>
      <c r="BB21" t="n">
        <v>4155141.40342541</v>
      </c>
      <c r="BC21" t="n">
        <v>752297.377979302</v>
      </c>
      <c r="BD21" t="n">
        <v>8093149.53940024</v>
      </c>
      <c r="BE21" t="n">
        <v>13846631.8573743</v>
      </c>
      <c r="BF21" t="n">
        <v>4595891.53046108</v>
      </c>
      <c r="BG21" t="n">
        <v>2233170.14805342</v>
      </c>
      <c r="BH21" t="n">
        <v>2635104.95536125</v>
      </c>
      <c r="BI21" t="n">
        <v>445930.994255185</v>
      </c>
      <c r="BJ21" t="n">
        <v>457537.794513942</v>
      </c>
      <c r="BK21" t="n">
        <v>30261.3821361445</v>
      </c>
      <c r="BL21" t="n">
        <v>396413.592150653</v>
      </c>
      <c r="BM21" t="n">
        <v>213759.09338089</v>
      </c>
      <c r="BN21" t="n">
        <v>1328682.17195321</v>
      </c>
      <c r="BO21" t="n">
        <v>11721117.2596053</v>
      </c>
      <c r="BP21" t="n">
        <v>1129180.76967698</v>
      </c>
      <c r="BQ21" t="n">
        <v>665745.441343492</v>
      </c>
      <c r="BR21" t="n">
        <v>161443.536169969</v>
      </c>
      <c r="BS21" t="n">
        <v>9729497.99071902</v>
      </c>
      <c r="BT21" t="n">
        <v>3724250.2659188</v>
      </c>
      <c r="BU21" t="n">
        <v>30446203.6035533</v>
      </c>
      <c r="BV21" t="n">
        <v>0</v>
      </c>
      <c r="BW21" t="n">
        <v>240662893.056317</v>
      </c>
      <c r="BX21" t="n">
        <v>0</v>
      </c>
      <c r="BY21" t="n">
        <v>0</v>
      </c>
      <c r="BZ21" t="n">
        <v>6197834.99843711</v>
      </c>
      <c r="CA21" t="n">
        <v>114432367.324849</v>
      </c>
      <c r="CB21" t="n">
        <v>-382191177.659948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200182.430618705</v>
      </c>
      <c r="CJ21" t="n">
        <v>0</v>
      </c>
      <c r="CK21" t="n">
        <v>0</v>
      </c>
      <c r="CL21" t="n">
        <v>0</v>
      </c>
      <c r="CM21" t="n">
        <v>15975330.3584454</v>
      </c>
      <c r="CN21" t="n">
        <v>0</v>
      </c>
    </row>
    <row r="22">
      <c r="A22" t="s">
        <v>133</v>
      </c>
      <c r="B22" t="n">
        <v>25417.8479254194</v>
      </c>
      <c r="C22" t="n">
        <v>0</v>
      </c>
      <c r="D22" t="n">
        <v>0</v>
      </c>
      <c r="E22" t="n">
        <v>14907.9976576384</v>
      </c>
      <c r="F22" t="n">
        <v>1150.88052571014</v>
      </c>
      <c r="G22" t="n">
        <v>123591.881828455</v>
      </c>
      <c r="H22" t="n">
        <v>10045994.1523223</v>
      </c>
      <c r="I22" t="n">
        <v>4078932.81359164</v>
      </c>
      <c r="J22" t="n">
        <v>469529.261202725</v>
      </c>
      <c r="K22" t="n">
        <v>172779.115218908</v>
      </c>
      <c r="L22" t="n">
        <v>8751733.87561097</v>
      </c>
      <c r="M22" t="n">
        <v>4896131.08162487</v>
      </c>
      <c r="N22" t="n">
        <v>33105461.5371324</v>
      </c>
      <c r="O22" t="n">
        <v>628270.690072647</v>
      </c>
      <c r="P22" t="n">
        <v>6074098.67107033</v>
      </c>
      <c r="Q22" t="n">
        <v>43846657.0742916</v>
      </c>
      <c r="R22" t="n">
        <v>863275.662871429</v>
      </c>
      <c r="S22" t="n">
        <v>1511038.39226751</v>
      </c>
      <c r="T22" t="n">
        <v>5476920.42407016</v>
      </c>
      <c r="U22" t="n">
        <v>809430.753336785</v>
      </c>
      <c r="V22" t="n">
        <v>44858.2087278118</v>
      </c>
      <c r="W22" t="n">
        <v>-201405.264404714</v>
      </c>
      <c r="X22" t="n">
        <v>789826.374480111</v>
      </c>
      <c r="Y22" t="n">
        <v>168432.666962554</v>
      </c>
      <c r="Z22" t="n">
        <v>4681069.47298142</v>
      </c>
      <c r="AA22" t="n">
        <v>2679735.93532711</v>
      </c>
      <c r="AB22" t="n">
        <v>67481364.7914818</v>
      </c>
      <c r="AC22" t="n">
        <v>2409485.96998713</v>
      </c>
      <c r="AD22" t="n">
        <v>1811166.0167735</v>
      </c>
      <c r="AE22" t="n">
        <v>1629439.08175863</v>
      </c>
      <c r="AF22" t="n">
        <v>4144594.24975427</v>
      </c>
      <c r="AG22" t="n">
        <v>2610.61167341132</v>
      </c>
      <c r="AH22" t="n">
        <v>38780.1489064426</v>
      </c>
      <c r="AI22" t="n">
        <v>164.194641563703</v>
      </c>
      <c r="AJ22" t="n">
        <v>539745.268064179</v>
      </c>
      <c r="AK22" t="n">
        <v>4409.59952885748</v>
      </c>
      <c r="AL22" t="n">
        <v>5654.21881826827</v>
      </c>
      <c r="AM22" t="n">
        <v>104690.960071051</v>
      </c>
      <c r="AN22" t="n">
        <v>321105.858473849</v>
      </c>
      <c r="AO22" t="n">
        <v>1757295.84042341</v>
      </c>
      <c r="AP22" t="n">
        <v>227966.45042514</v>
      </c>
      <c r="AQ22" t="n">
        <v>15548195.8463185</v>
      </c>
      <c r="AR22" t="n">
        <v>3733968.65599997</v>
      </c>
      <c r="AS22" t="n">
        <v>1180840.26284309</v>
      </c>
      <c r="AT22" t="n">
        <v>753082.605663452</v>
      </c>
      <c r="AU22" t="n">
        <v>135542.66218596</v>
      </c>
      <c r="AV22" t="n">
        <v>2449643.54108347</v>
      </c>
      <c r="AW22" t="n">
        <v>1237.77181760358</v>
      </c>
      <c r="AX22" t="n">
        <v>1000852.23716375</v>
      </c>
      <c r="AY22" t="n">
        <v>177617.927553778</v>
      </c>
      <c r="AZ22" t="n">
        <v>1952721.50571753</v>
      </c>
      <c r="BA22" t="n">
        <v>6774671.09156237</v>
      </c>
      <c r="BB22" t="n">
        <v>14567865.9148007</v>
      </c>
      <c r="BC22" t="n">
        <v>13813667.6363771</v>
      </c>
      <c r="BD22" t="n">
        <v>13099486.253022</v>
      </c>
      <c r="BE22" t="n">
        <v>2495623.0076813</v>
      </c>
      <c r="BF22" t="n">
        <v>1918378.17541693</v>
      </c>
      <c r="BG22" t="n">
        <v>14464263.8341396</v>
      </c>
      <c r="BH22" t="n">
        <v>3102062.85457585</v>
      </c>
      <c r="BI22" t="n">
        <v>566654.93851603</v>
      </c>
      <c r="BJ22" t="n">
        <v>2310036.18705765</v>
      </c>
      <c r="BK22" t="n">
        <v>44363.4198209601</v>
      </c>
      <c r="BL22" t="n">
        <v>423533.517008967</v>
      </c>
      <c r="BM22" t="n">
        <v>934924.739638496</v>
      </c>
      <c r="BN22" t="n">
        <v>493284.516229769</v>
      </c>
      <c r="BO22" t="n">
        <v>7377858.87463368</v>
      </c>
      <c r="BP22" t="n">
        <v>8597758.64800483</v>
      </c>
      <c r="BQ22" t="n">
        <v>8485685.99599618</v>
      </c>
      <c r="BR22" t="n">
        <v>0</v>
      </c>
      <c r="BS22" t="n">
        <v>4324745.32264028</v>
      </c>
      <c r="BT22" t="n">
        <v>2086560.16336135</v>
      </c>
      <c r="BU22" t="n">
        <v>321642832.185668</v>
      </c>
      <c r="BV22" t="n">
        <v>0</v>
      </c>
      <c r="BW22" t="n">
        <v>240782174.47973</v>
      </c>
      <c r="BX22" t="n">
        <v>0</v>
      </c>
      <c r="BY22" t="n">
        <v>836115.713874973</v>
      </c>
      <c r="BZ22" t="n">
        <v>3173197.18160697</v>
      </c>
      <c r="CA22" t="n">
        <v>154429601.949367</v>
      </c>
      <c r="CB22" t="n">
        <v>-813650024.373152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1348532.58801778</v>
      </c>
      <c r="CJ22" t="n">
        <v>0</v>
      </c>
      <c r="CK22" t="n">
        <v>0</v>
      </c>
      <c r="CL22" t="n">
        <v>0</v>
      </c>
      <c r="CM22" t="n">
        <v>17881613.3869902</v>
      </c>
      <c r="CN22" t="n">
        <v>0</v>
      </c>
    </row>
    <row r="23">
      <c r="A23" t="s">
        <v>134</v>
      </c>
      <c r="B23" t="n">
        <v>5164650.53921916</v>
      </c>
      <c r="C23" t="n">
        <v>314146.447809414</v>
      </c>
      <c r="D23" t="n">
        <v>0</v>
      </c>
      <c r="E23" t="n">
        <v>34741.3106853704</v>
      </c>
      <c r="F23" t="n">
        <v>4184.0862580186</v>
      </c>
      <c r="G23" t="n">
        <v>36650.4779618373</v>
      </c>
      <c r="H23" t="n">
        <v>57985139.094596</v>
      </c>
      <c r="I23" t="n">
        <v>2620552.43163866</v>
      </c>
      <c r="J23" t="n">
        <v>150090.577009934</v>
      </c>
      <c r="K23" t="n">
        <v>345975.400902062</v>
      </c>
      <c r="L23" t="n">
        <v>6411998.57636738</v>
      </c>
      <c r="M23" t="n">
        <v>16236474.0196001</v>
      </c>
      <c r="N23" t="n">
        <v>3198975.06841882</v>
      </c>
      <c r="O23" t="n">
        <v>3760198.92776271</v>
      </c>
      <c r="P23" t="n">
        <v>2051901.24632745</v>
      </c>
      <c r="Q23" t="n">
        <v>5953387.56613802</v>
      </c>
      <c r="R23" t="n">
        <v>219161.73406648</v>
      </c>
      <c r="S23" t="n">
        <v>1127582.87450202</v>
      </c>
      <c r="T23" t="n">
        <v>4332134.82771499</v>
      </c>
      <c r="U23" t="n">
        <v>223498.023815944</v>
      </c>
      <c r="V23" t="n">
        <v>10718.3698919273</v>
      </c>
      <c r="W23" t="n">
        <v>4962724.82633573</v>
      </c>
      <c r="X23" t="n">
        <v>133595.105036772</v>
      </c>
      <c r="Y23" t="n">
        <v>117421.826280638</v>
      </c>
      <c r="Z23" t="n">
        <v>1467156.56290017</v>
      </c>
      <c r="AA23" t="n">
        <v>2024993.10842784</v>
      </c>
      <c r="AB23" t="n">
        <v>1424364.27723114</v>
      </c>
      <c r="AC23" t="n">
        <v>1014893.65195143</v>
      </c>
      <c r="AD23" t="n">
        <v>429618.28274567</v>
      </c>
      <c r="AE23" t="n">
        <v>2765346.49369683</v>
      </c>
      <c r="AF23" t="n">
        <v>835245.653762667</v>
      </c>
      <c r="AG23" t="n">
        <v>890.500268918778</v>
      </c>
      <c r="AH23" t="n">
        <v>102323.651745422</v>
      </c>
      <c r="AI23" t="n">
        <v>3122.12755208218</v>
      </c>
      <c r="AJ23" t="n">
        <v>125274.005909914</v>
      </c>
      <c r="AK23" t="n">
        <v>237231.068954258</v>
      </c>
      <c r="AL23" t="n">
        <v>1851.22033564115</v>
      </c>
      <c r="AM23" t="n">
        <v>118629.799983946</v>
      </c>
      <c r="AN23" t="n">
        <v>215337.70500663</v>
      </c>
      <c r="AO23" t="n">
        <v>2137.72776326742</v>
      </c>
      <c r="AP23" t="n">
        <v>0</v>
      </c>
      <c r="AQ23" t="n">
        <v>3845730.18499096</v>
      </c>
      <c r="AR23" t="n">
        <v>92102.6688478385</v>
      </c>
      <c r="AS23" t="n">
        <v>292189.669816948</v>
      </c>
      <c r="AT23" t="n">
        <v>63463.003939469</v>
      </c>
      <c r="AU23" t="n">
        <v>121944.811512326</v>
      </c>
      <c r="AV23" t="n">
        <v>0</v>
      </c>
      <c r="AW23" t="n">
        <v>9205.26685755189</v>
      </c>
      <c r="AX23" t="n">
        <v>3042859.098794</v>
      </c>
      <c r="AY23" t="n">
        <v>204435.439626618</v>
      </c>
      <c r="AZ23" t="n">
        <v>0</v>
      </c>
      <c r="BA23" t="n">
        <v>4325265.92180044</v>
      </c>
      <c r="BB23" t="n">
        <v>8982654.85245431</v>
      </c>
      <c r="BC23" t="n">
        <v>118156.859708483</v>
      </c>
      <c r="BD23" t="n">
        <v>4170086.77852206</v>
      </c>
      <c r="BE23" t="n">
        <v>3589873.75330842</v>
      </c>
      <c r="BF23" t="n">
        <v>1167518.24361738</v>
      </c>
      <c r="BG23" t="n">
        <v>27752.9181947143</v>
      </c>
      <c r="BH23" t="n">
        <v>4384029.2472038</v>
      </c>
      <c r="BI23" t="n">
        <v>5594290.47718973</v>
      </c>
      <c r="BJ23" t="n">
        <v>1206982.67024784</v>
      </c>
      <c r="BK23" t="n">
        <v>94102.83896494</v>
      </c>
      <c r="BL23" t="n">
        <v>1156125.68775741</v>
      </c>
      <c r="BM23" t="n">
        <v>3790134.51028505</v>
      </c>
      <c r="BN23" t="n">
        <v>1375755.37640282</v>
      </c>
      <c r="BO23" t="n">
        <v>7179970.05016576</v>
      </c>
      <c r="BP23" t="n">
        <v>1496771.75915709</v>
      </c>
      <c r="BQ23" t="n">
        <v>9225543.71946452</v>
      </c>
      <c r="BR23" t="n">
        <v>241048.719812769</v>
      </c>
      <c r="BS23" t="n">
        <v>2874527.29311154</v>
      </c>
      <c r="BT23" t="n">
        <v>4300479.8361451</v>
      </c>
      <c r="BU23" t="n">
        <v>134477039.884036</v>
      </c>
      <c r="BV23" t="n">
        <v>0</v>
      </c>
      <c r="BW23" t="n">
        <v>15151597.0745902</v>
      </c>
      <c r="BX23" t="n">
        <v>0</v>
      </c>
      <c r="BY23" t="n">
        <v>19272374.2115062</v>
      </c>
      <c r="BZ23" t="n">
        <v>1157725.94682669</v>
      </c>
      <c r="CA23" t="n">
        <v>27217218.4876085</v>
      </c>
      <c r="CB23" t="n">
        <v>-307091338.201809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94645.6869929765</v>
      </c>
      <c r="CJ23" t="n">
        <v>0</v>
      </c>
      <c r="CK23" t="n">
        <v>0</v>
      </c>
      <c r="CL23" t="n">
        <v>0</v>
      </c>
      <c r="CM23" t="n">
        <v>1876596.93443723</v>
      </c>
      <c r="CN23" t="n">
        <v>0</v>
      </c>
    </row>
    <row r="24">
      <c r="A24" t="s">
        <v>135</v>
      </c>
      <c r="B24" t="n">
        <v>2047496.50253865</v>
      </c>
      <c r="C24" t="n">
        <v>340929.147888762</v>
      </c>
      <c r="D24" t="n">
        <v>0</v>
      </c>
      <c r="E24" t="n">
        <v>329669.895314963</v>
      </c>
      <c r="F24" t="n">
        <v>3467.3519953085</v>
      </c>
      <c r="G24" t="n">
        <v>65034.0059699771</v>
      </c>
      <c r="H24" t="n">
        <v>3022768.42163476</v>
      </c>
      <c r="I24" t="n">
        <v>9496188.07658531</v>
      </c>
      <c r="J24" t="n">
        <v>628862.48607851</v>
      </c>
      <c r="K24" t="n">
        <v>161108.777028023</v>
      </c>
      <c r="L24" t="n">
        <v>3010918.60943161</v>
      </c>
      <c r="M24" t="n">
        <v>11519999.5978146</v>
      </c>
      <c r="N24" t="n">
        <v>1176618.07031341</v>
      </c>
      <c r="O24" t="n">
        <v>260203.033451631</v>
      </c>
      <c r="P24" t="n">
        <v>53280835.7481913</v>
      </c>
      <c r="Q24" t="n">
        <v>9828797.10005179</v>
      </c>
      <c r="R24" t="n">
        <v>695099.783209981</v>
      </c>
      <c r="S24" t="n">
        <v>1051601.9167658</v>
      </c>
      <c r="T24" t="n">
        <v>11261138.6431327</v>
      </c>
      <c r="U24" t="n">
        <v>247403.79870485</v>
      </c>
      <c r="V24" t="n">
        <v>2964.2673063582</v>
      </c>
      <c r="W24" t="n">
        <v>10687345.0640256</v>
      </c>
      <c r="X24" t="n">
        <v>189069.854387776</v>
      </c>
      <c r="Y24" t="n">
        <v>100562.37668011</v>
      </c>
      <c r="Z24" t="n">
        <v>1989146.3181355</v>
      </c>
      <c r="AA24" t="n">
        <v>1331381.96079338</v>
      </c>
      <c r="AB24" t="n">
        <v>13551363.3857016</v>
      </c>
      <c r="AC24" t="n">
        <v>12964538.1271992</v>
      </c>
      <c r="AD24" t="n">
        <v>7382784.96557943</v>
      </c>
      <c r="AE24" t="n">
        <v>994277.992780604</v>
      </c>
      <c r="AF24" t="n">
        <v>10334407.8092532</v>
      </c>
      <c r="AG24" t="n">
        <v>0</v>
      </c>
      <c r="AH24" t="n">
        <v>66571.1256398427</v>
      </c>
      <c r="AI24" t="n">
        <v>0</v>
      </c>
      <c r="AJ24" t="n">
        <v>11572633.6460697</v>
      </c>
      <c r="AK24" t="n">
        <v>605724.7470171</v>
      </c>
      <c r="AL24" t="n">
        <v>721.794689958886</v>
      </c>
      <c r="AM24" t="n">
        <v>151479.513753166</v>
      </c>
      <c r="AN24" t="n">
        <v>3318947.72409133</v>
      </c>
      <c r="AO24" t="n">
        <v>128047.478280669</v>
      </c>
      <c r="AP24" t="n">
        <v>53045.321757466</v>
      </c>
      <c r="AQ24" t="n">
        <v>1088135.73124412</v>
      </c>
      <c r="AR24" t="n">
        <v>148217.907064641</v>
      </c>
      <c r="AS24" t="n">
        <v>274593.041357641</v>
      </c>
      <c r="AT24" t="n">
        <v>16377.4742033674</v>
      </c>
      <c r="AU24" t="n">
        <v>0</v>
      </c>
      <c r="AV24" t="n">
        <v>0</v>
      </c>
      <c r="AW24" t="n">
        <v>0</v>
      </c>
      <c r="AX24" t="n">
        <v>0</v>
      </c>
      <c r="AY24" t="n">
        <v>2207434.89790134</v>
      </c>
      <c r="AZ24" t="n">
        <v>0</v>
      </c>
      <c r="BA24" t="n">
        <v>110935.931258755</v>
      </c>
      <c r="BB24" t="n">
        <v>4560105.00251636</v>
      </c>
      <c r="BC24" t="n">
        <v>1371121.95416976</v>
      </c>
      <c r="BD24" t="n">
        <v>20907435.137459</v>
      </c>
      <c r="BE24" t="n">
        <v>3342215.79760694</v>
      </c>
      <c r="BF24" t="n">
        <v>1376241.56088136</v>
      </c>
      <c r="BG24" t="n">
        <v>1525464.20820684</v>
      </c>
      <c r="BH24" t="n">
        <v>8152191.6051352</v>
      </c>
      <c r="BI24" t="n">
        <v>578460.362874814</v>
      </c>
      <c r="BJ24" t="n">
        <v>7350629.70412064</v>
      </c>
      <c r="BK24" t="n">
        <v>76312.2587789107</v>
      </c>
      <c r="BL24" t="n">
        <v>273135.333019897</v>
      </c>
      <c r="BM24" t="n">
        <v>590684.311356599</v>
      </c>
      <c r="BN24" t="n">
        <v>3095054.63732135</v>
      </c>
      <c r="BO24" t="n">
        <v>21395043.838904</v>
      </c>
      <c r="BP24" t="n">
        <v>6934767.43000163</v>
      </c>
      <c r="BQ24" t="n">
        <v>328055.311682957</v>
      </c>
      <c r="BR24" t="n">
        <v>8282485.14283828</v>
      </c>
      <c r="BS24" t="n">
        <v>13876337.1999369</v>
      </c>
      <c r="BT24" t="n">
        <v>1531162.05094982</v>
      </c>
      <c r="BU24" t="n">
        <v>513390362.741972</v>
      </c>
      <c r="BV24" t="n">
        <v>0</v>
      </c>
      <c r="BW24" t="n">
        <v>115364477.160779</v>
      </c>
      <c r="BX24" t="n">
        <v>0</v>
      </c>
      <c r="BY24" t="n">
        <v>0</v>
      </c>
      <c r="BZ24" t="n">
        <v>4573965.65447824</v>
      </c>
      <c r="CA24" t="n">
        <v>29400685.2446013</v>
      </c>
      <c r="CB24" t="n">
        <v>-733819961.744192</v>
      </c>
      <c r="CC24" t="n">
        <v>0</v>
      </c>
      <c r="CD24" t="n">
        <v>0</v>
      </c>
      <c r="CE24" t="n">
        <v>56733255.1846367</v>
      </c>
      <c r="CF24" t="n">
        <v>0</v>
      </c>
      <c r="CG24" t="n">
        <v>0</v>
      </c>
      <c r="CH24" t="n">
        <v>0</v>
      </c>
      <c r="CI24" t="n">
        <v>92371.1857503293</v>
      </c>
      <c r="CJ24" t="n">
        <v>0</v>
      </c>
      <c r="CK24" t="n">
        <v>0</v>
      </c>
      <c r="CL24" t="n">
        <v>0</v>
      </c>
      <c r="CM24" t="n">
        <v>45331490.9481436</v>
      </c>
      <c r="CN24" t="n">
        <v>0</v>
      </c>
    </row>
    <row r="25">
      <c r="A25" t="s">
        <v>136</v>
      </c>
      <c r="B25" t="n">
        <v>0</v>
      </c>
      <c r="C25" t="n">
        <v>30001.7969787189</v>
      </c>
      <c r="D25" t="n">
        <v>0</v>
      </c>
      <c r="E25" t="n">
        <v>2159.00528155121</v>
      </c>
      <c r="F25" t="n">
        <v>0</v>
      </c>
      <c r="G25" t="n">
        <v>0</v>
      </c>
      <c r="H25" t="n">
        <v>24451.2712193917</v>
      </c>
      <c r="I25" t="n">
        <v>26175.8764663955</v>
      </c>
      <c r="J25" t="n">
        <v>0</v>
      </c>
      <c r="K25" t="n">
        <v>0</v>
      </c>
      <c r="L25" t="n">
        <v>76143.8751232538</v>
      </c>
      <c r="M25" t="n">
        <v>89311.2166987053</v>
      </c>
      <c r="N25" t="n">
        <v>0</v>
      </c>
      <c r="O25" t="n">
        <v>0</v>
      </c>
      <c r="P25" t="n">
        <v>103427.912328896</v>
      </c>
      <c r="Q25" t="n">
        <v>316153912.272089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79981.9321887525</v>
      </c>
      <c r="AD25" t="n">
        <v>0</v>
      </c>
      <c r="AE25" t="n">
        <v>0</v>
      </c>
      <c r="AF25" t="n">
        <v>0</v>
      </c>
      <c r="AG25" t="n">
        <v>283131.47014097</v>
      </c>
      <c r="AH25" t="n">
        <v>596287.338503681</v>
      </c>
      <c r="AI25" t="n">
        <v>202376.989755357</v>
      </c>
      <c r="AJ25" t="n">
        <v>7236.11836672729</v>
      </c>
      <c r="AK25" t="n">
        <v>65470.8205207321</v>
      </c>
      <c r="AL25" t="n">
        <v>0</v>
      </c>
      <c r="AM25" t="n">
        <v>4012128.05309249</v>
      </c>
      <c r="AN25" t="n">
        <v>0</v>
      </c>
      <c r="AO25" t="n">
        <v>0</v>
      </c>
      <c r="AP25" t="n">
        <v>0</v>
      </c>
      <c r="AQ25" t="n">
        <v>1205.57471585961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974019.492903687</v>
      </c>
      <c r="BC25" t="n">
        <v>49450.4346263749</v>
      </c>
      <c r="BD25" t="n">
        <v>56402.7717954438</v>
      </c>
      <c r="BE25" t="n">
        <v>103239.04324803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24315.4758885934</v>
      </c>
      <c r="BM25" t="n">
        <v>0</v>
      </c>
      <c r="BN25" t="n">
        <v>0</v>
      </c>
      <c r="BO25" t="n">
        <v>229170.195157695</v>
      </c>
      <c r="BP25" t="n">
        <v>21286840.2214038</v>
      </c>
      <c r="BQ25" t="n">
        <v>4311754.81376717</v>
      </c>
      <c r="BR25" t="n">
        <v>1184.68458737864</v>
      </c>
      <c r="BS25" t="n">
        <v>0</v>
      </c>
      <c r="BT25" t="n">
        <v>60956.0113649402</v>
      </c>
      <c r="BU25" t="n">
        <v>52483004.8768229</v>
      </c>
      <c r="BV25" t="n">
        <v>0</v>
      </c>
      <c r="BW25" t="n">
        <v>129077269.104777</v>
      </c>
      <c r="BX25" t="n">
        <v>0</v>
      </c>
      <c r="BY25" t="n">
        <v>0</v>
      </c>
      <c r="BZ25" t="n">
        <v>113684993.055075</v>
      </c>
      <c r="CA25" t="n">
        <v>305008435.340861</v>
      </c>
      <c r="CB25" t="n">
        <v>-330845730.856458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1490966.44518259</v>
      </c>
      <c r="CJ25" t="n">
        <v>0</v>
      </c>
      <c r="CK25" t="n">
        <v>0</v>
      </c>
      <c r="CL25" t="n">
        <v>0</v>
      </c>
      <c r="CM25" t="n">
        <v>195042.168926208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24203142.2497829</v>
      </c>
      <c r="I26" t="n">
        <v>2367004.25567559</v>
      </c>
      <c r="J26" t="n">
        <v>0</v>
      </c>
      <c r="K26" t="n">
        <v>0</v>
      </c>
      <c r="L26" t="n">
        <v>0</v>
      </c>
      <c r="M26" t="n">
        <v>233668.35412054</v>
      </c>
      <c r="N26" t="n">
        <v>50264.7617835782</v>
      </c>
      <c r="O26" t="n">
        <v>0</v>
      </c>
      <c r="P26" t="n">
        <v>7010.87126582492</v>
      </c>
      <c r="Q26" t="n">
        <v>799094.261976284</v>
      </c>
      <c r="R26" t="n">
        <v>7017239.54175925</v>
      </c>
      <c r="S26" t="n">
        <v>96248.6425923944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547402.102825047</v>
      </c>
      <c r="AB26" t="n">
        <v>1906562.84012537</v>
      </c>
      <c r="AC26" t="n">
        <v>386293.825010869</v>
      </c>
      <c r="AD26" t="n">
        <v>0</v>
      </c>
      <c r="AE26" t="n">
        <v>29319.3741718198</v>
      </c>
      <c r="AF26" t="n">
        <v>4828006.77511898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644.033805863545</v>
      </c>
      <c r="AP26" t="n">
        <v>0</v>
      </c>
      <c r="AQ26" t="n">
        <v>74810.946682267</v>
      </c>
      <c r="AR26" t="n">
        <v>130388.083133421</v>
      </c>
      <c r="AS26" t="n">
        <v>0</v>
      </c>
      <c r="AT26" t="n">
        <v>0</v>
      </c>
      <c r="AU26" t="n">
        <v>0</v>
      </c>
      <c r="AV26" t="n">
        <v>0</v>
      </c>
      <c r="AW26" t="n">
        <v>8895901.12725317</v>
      </c>
      <c r="AX26" t="n">
        <v>101728.137055607</v>
      </c>
      <c r="AY26" t="n">
        <v>0</v>
      </c>
      <c r="AZ26" t="n">
        <v>13100.5457824263</v>
      </c>
      <c r="BA26" t="n">
        <v>3586.94988671223</v>
      </c>
      <c r="BB26" t="n">
        <v>1076362.55490862</v>
      </c>
      <c r="BC26" t="n">
        <v>16387.5290556539</v>
      </c>
      <c r="BD26" t="n">
        <v>4805.52985614387</v>
      </c>
      <c r="BE26" t="n">
        <v>0</v>
      </c>
      <c r="BF26" t="n">
        <v>0</v>
      </c>
      <c r="BG26" t="n">
        <v>664420.251270015</v>
      </c>
      <c r="BH26" t="n">
        <v>466978.328351792</v>
      </c>
      <c r="BI26" t="n">
        <v>3672.59179184596</v>
      </c>
      <c r="BJ26" t="n">
        <v>523769.948565014</v>
      </c>
      <c r="BK26" t="n">
        <v>690018.031219432</v>
      </c>
      <c r="BL26" t="n">
        <v>1235581.33336964</v>
      </c>
      <c r="BM26" t="n">
        <v>6331.92161593693</v>
      </c>
      <c r="BN26" t="n">
        <v>598910.36564758</v>
      </c>
      <c r="BO26" t="n">
        <v>957247.317477173</v>
      </c>
      <c r="BP26" t="n">
        <v>0</v>
      </c>
      <c r="BQ26" t="n">
        <v>0</v>
      </c>
      <c r="BR26" t="n">
        <v>289699.985617983</v>
      </c>
      <c r="BS26" t="n">
        <v>19642.7294766197</v>
      </c>
      <c r="BT26" t="n">
        <v>1597600.62850368</v>
      </c>
      <c r="BU26" t="n">
        <v>171435643.141174</v>
      </c>
      <c r="BV26" t="n">
        <v>0</v>
      </c>
      <c r="BW26" t="n">
        <v>60701983.4670919</v>
      </c>
      <c r="BX26" t="n">
        <v>0</v>
      </c>
      <c r="BY26" t="n">
        <v>1958440.79027035</v>
      </c>
      <c r="BZ26" t="n">
        <v>1482426.90538269</v>
      </c>
      <c r="CA26" t="n">
        <v>5563644.79412355</v>
      </c>
      <c r="CB26" t="n">
        <v>-173579014.515976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54451.4926004647</v>
      </c>
      <c r="CJ26" t="n">
        <v>0</v>
      </c>
      <c r="CK26" t="n">
        <v>0</v>
      </c>
      <c r="CL26" t="n">
        <v>0</v>
      </c>
      <c r="CM26" t="n">
        <v>2640076.05144154</v>
      </c>
      <c r="CN26" t="n">
        <v>0</v>
      </c>
    </row>
    <row r="27">
      <c r="A27" t="s">
        <v>138</v>
      </c>
      <c r="B27" t="n">
        <v>111126.449314139</v>
      </c>
      <c r="C27" t="n">
        <v>0</v>
      </c>
      <c r="D27" t="n">
        <v>0</v>
      </c>
      <c r="E27" t="n">
        <v>13644.2454306233</v>
      </c>
      <c r="F27" t="n">
        <v>146.587200096539</v>
      </c>
      <c r="G27" t="n">
        <v>0</v>
      </c>
      <c r="H27" t="n">
        <v>1438699.96763855</v>
      </c>
      <c r="I27" t="n">
        <v>89862.5187333366</v>
      </c>
      <c r="J27" t="n">
        <v>60013.8128929892</v>
      </c>
      <c r="K27" t="n">
        <v>3372.70980226242</v>
      </c>
      <c r="L27" t="n">
        <v>105682.797285697</v>
      </c>
      <c r="M27" t="n">
        <v>2089822.6196281</v>
      </c>
      <c r="N27" t="n">
        <v>545.756944849428</v>
      </c>
      <c r="O27" t="n">
        <v>171448.100510236</v>
      </c>
      <c r="P27" t="n">
        <v>783719.48524519</v>
      </c>
      <c r="Q27" t="n">
        <v>68443.5556199984</v>
      </c>
      <c r="R27" t="n">
        <v>6226.58608924025</v>
      </c>
      <c r="S27" t="n">
        <v>5928266.24027927</v>
      </c>
      <c r="T27" t="n">
        <v>72981.7511607924</v>
      </c>
      <c r="U27" t="n">
        <v>29052.8909877817</v>
      </c>
      <c r="V27" t="n">
        <v>554848.351702569</v>
      </c>
      <c r="W27" t="n">
        <v>0</v>
      </c>
      <c r="X27" t="n">
        <v>4007.56612756741</v>
      </c>
      <c r="Y27" t="n">
        <v>442.789717034637</v>
      </c>
      <c r="Z27" t="n">
        <v>460542.09836225</v>
      </c>
      <c r="AA27" t="n">
        <v>173622.061389128</v>
      </c>
      <c r="AB27" t="n">
        <v>1168596.55375244</v>
      </c>
      <c r="AC27" t="n">
        <v>1729775.35950375</v>
      </c>
      <c r="AD27" t="n">
        <v>440567.095948902</v>
      </c>
      <c r="AE27" t="n">
        <v>9656.29390562101</v>
      </c>
      <c r="AF27" t="n">
        <v>3116410.0677904</v>
      </c>
      <c r="AG27" t="n">
        <v>0</v>
      </c>
      <c r="AH27" t="n">
        <v>479.146455673802</v>
      </c>
      <c r="AI27" t="n">
        <v>0</v>
      </c>
      <c r="AJ27" t="n">
        <v>13689.4184785187</v>
      </c>
      <c r="AK27" t="n">
        <v>22641.1193340628</v>
      </c>
      <c r="AL27" t="n">
        <v>175.247984159586</v>
      </c>
      <c r="AM27" t="n">
        <v>127811.503343046</v>
      </c>
      <c r="AN27" t="n">
        <v>228951.788424807</v>
      </c>
      <c r="AO27" t="n">
        <v>1900.42678223607</v>
      </c>
      <c r="AP27" t="n">
        <v>900.95959444044</v>
      </c>
      <c r="AQ27" t="n">
        <v>96707.0683468402</v>
      </c>
      <c r="AR27" t="n">
        <v>33072.4463400885</v>
      </c>
      <c r="AS27" t="n">
        <v>102434.739160632</v>
      </c>
      <c r="AT27" t="n">
        <v>13434.5600070354</v>
      </c>
      <c r="AU27" t="n">
        <v>41259.6497325769</v>
      </c>
      <c r="AV27" t="n">
        <v>0</v>
      </c>
      <c r="AW27" t="n">
        <v>0</v>
      </c>
      <c r="AX27" t="n">
        <v>430539.045432555</v>
      </c>
      <c r="AY27" t="n">
        <v>60556.4105884973</v>
      </c>
      <c r="AZ27" t="n">
        <v>14555.8137249987</v>
      </c>
      <c r="BA27" t="n">
        <v>28072.3262398012</v>
      </c>
      <c r="BB27" t="n">
        <v>2749526.7532022</v>
      </c>
      <c r="BC27" t="n">
        <v>25828.3003380418</v>
      </c>
      <c r="BD27" t="n">
        <v>3624221.19479383</v>
      </c>
      <c r="BE27" t="n">
        <v>440548.645611135</v>
      </c>
      <c r="BF27" t="n">
        <v>829334.391934462</v>
      </c>
      <c r="BG27" t="n">
        <v>33379324.8039518</v>
      </c>
      <c r="BH27" t="n">
        <v>94205995.2594032</v>
      </c>
      <c r="BI27" t="n">
        <v>2357608.09127658</v>
      </c>
      <c r="BJ27" t="n">
        <v>5245474.45251356</v>
      </c>
      <c r="BK27" t="n">
        <v>97249.4313048876</v>
      </c>
      <c r="BL27" t="n">
        <v>719812.620892775</v>
      </c>
      <c r="BM27" t="n">
        <v>153859.205716628</v>
      </c>
      <c r="BN27" t="n">
        <v>2579463.06573072</v>
      </c>
      <c r="BO27" t="n">
        <v>2377844.67683602</v>
      </c>
      <c r="BP27" t="n">
        <v>913965.470249164</v>
      </c>
      <c r="BQ27" t="n">
        <v>1228327.13851417</v>
      </c>
      <c r="BR27" t="n">
        <v>0</v>
      </c>
      <c r="BS27" t="n">
        <v>12304435.8797637</v>
      </c>
      <c r="BT27" t="n">
        <v>40369.439782483</v>
      </c>
      <c r="BU27" t="n">
        <v>233327427.586914</v>
      </c>
      <c r="BV27" t="n">
        <v>0</v>
      </c>
      <c r="BW27" t="n">
        <v>54279202.1737357</v>
      </c>
      <c r="BX27" t="n">
        <v>0</v>
      </c>
      <c r="BY27" t="n">
        <v>0</v>
      </c>
      <c r="BZ27" t="n">
        <v>4069775.6744653</v>
      </c>
      <c r="CA27" t="n">
        <v>14652947.9234377</v>
      </c>
      <c r="CB27" t="n">
        <v>-353186246.251681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12328.4543147733</v>
      </c>
      <c r="CJ27" t="n">
        <v>0</v>
      </c>
      <c r="CK27" t="n">
        <v>0</v>
      </c>
      <c r="CL27" t="n">
        <v>0</v>
      </c>
      <c r="CM27" t="n">
        <v>1012647.54544431</v>
      </c>
      <c r="CN27" t="n">
        <v>0</v>
      </c>
    </row>
    <row r="28">
      <c r="A28" t="s">
        <v>139</v>
      </c>
      <c r="B28" t="n">
        <v>35935235.7156228</v>
      </c>
      <c r="C28" t="n">
        <v>644278.508583391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82824.1330224125</v>
      </c>
      <c r="J28" t="n">
        <v>487441.403050917</v>
      </c>
      <c r="K28" t="n">
        <v>843.352923324498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6423.8699257274</v>
      </c>
      <c r="T28" t="n">
        <v>298233467.367973</v>
      </c>
      <c r="U28" t="n">
        <v>30732.2793080054</v>
      </c>
      <c r="V28" t="n">
        <v>804580.793964482</v>
      </c>
      <c r="W28" t="n">
        <v>2461445.39674055</v>
      </c>
      <c r="X28" t="n">
        <v>278489.444412728</v>
      </c>
      <c r="Y28" t="n">
        <v>197913.649674463</v>
      </c>
      <c r="Z28" t="n">
        <v>5855013.37126585</v>
      </c>
      <c r="AA28" t="n">
        <v>353301.533233745</v>
      </c>
      <c r="AB28" t="n">
        <v>3055691.12653638</v>
      </c>
      <c r="AC28" t="n">
        <v>2159.82039832628</v>
      </c>
      <c r="AD28" t="n">
        <v>7882827.3473081</v>
      </c>
      <c r="AE28" t="n">
        <v>1783975.5887775</v>
      </c>
      <c r="AF28" t="n">
        <v>3293123.26125777</v>
      </c>
      <c r="AG28" t="n">
        <v>219038.635517045</v>
      </c>
      <c r="AH28" t="n">
        <v>1352.73989856346</v>
      </c>
      <c r="AI28" t="n">
        <v>137970.956441683</v>
      </c>
      <c r="AJ28" t="n">
        <v>57716.111178365</v>
      </c>
      <c r="AK28" t="n">
        <v>0</v>
      </c>
      <c r="AL28" t="n">
        <v>0</v>
      </c>
      <c r="AM28" t="n">
        <v>8253.93499453611</v>
      </c>
      <c r="AN28" t="n">
        <v>0</v>
      </c>
      <c r="AO28" t="n">
        <v>18844.8154946847</v>
      </c>
      <c r="AP28" t="n">
        <v>5287.51949790482</v>
      </c>
      <c r="AQ28" t="n">
        <v>0</v>
      </c>
      <c r="AR28" t="n">
        <v>64201.3140310212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5681601.01300141</v>
      </c>
      <c r="BC28" t="n">
        <v>119111.647451959</v>
      </c>
      <c r="BD28" t="n">
        <v>0</v>
      </c>
      <c r="BE28" t="n">
        <v>0</v>
      </c>
      <c r="BF28" t="n">
        <v>11499980.486562</v>
      </c>
      <c r="BG28" t="n">
        <v>12002.9727016698</v>
      </c>
      <c r="BH28" t="n">
        <v>19720911.9447549</v>
      </c>
      <c r="BI28" t="n">
        <v>15482233.2239876</v>
      </c>
      <c r="BJ28" t="n">
        <v>44292609.8969698</v>
      </c>
      <c r="BK28" t="n">
        <v>1116332.00928366</v>
      </c>
      <c r="BL28" t="n">
        <v>11380994.0584251</v>
      </c>
      <c r="BM28" t="n">
        <v>20107601.6781026</v>
      </c>
      <c r="BN28" t="n">
        <v>153547591.328352</v>
      </c>
      <c r="BO28" t="n">
        <v>2357646.91227595</v>
      </c>
      <c r="BP28" t="n">
        <v>2265822.05378257</v>
      </c>
      <c r="BQ28" t="n">
        <v>100125.317130753</v>
      </c>
      <c r="BR28" t="n">
        <v>1733648.24662103</v>
      </c>
      <c r="BS28" t="n">
        <v>95752738.5060215</v>
      </c>
      <c r="BT28" t="n">
        <v>0</v>
      </c>
      <c r="BU28" t="n">
        <v>1539962397.06143</v>
      </c>
      <c r="BV28" t="n">
        <v>0</v>
      </c>
      <c r="BW28" t="n">
        <v>0</v>
      </c>
      <c r="BX28" t="n">
        <v>0</v>
      </c>
      <c r="BY28" t="n">
        <v>0</v>
      </c>
      <c r="BZ28" t="n">
        <v>27586591.1448689</v>
      </c>
      <c r="CA28" t="n">
        <v>118052678.150556</v>
      </c>
      <c r="CB28" t="n">
        <v>-463521959.511527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122024.171849965</v>
      </c>
      <c r="C29" t="n">
        <v>165343.22654583</v>
      </c>
      <c r="D29" t="n">
        <v>0</v>
      </c>
      <c r="E29" t="n">
        <v>719.668427183737</v>
      </c>
      <c r="F29" t="n">
        <v>0</v>
      </c>
      <c r="G29" t="n">
        <v>0</v>
      </c>
      <c r="H29" t="n">
        <v>1727036.03591007</v>
      </c>
      <c r="I29" t="n">
        <v>1792081.99981918</v>
      </c>
      <c r="J29" t="n">
        <v>266708.60654314</v>
      </c>
      <c r="K29" t="n">
        <v>0</v>
      </c>
      <c r="L29" t="n">
        <v>672.547275800378</v>
      </c>
      <c r="M29" t="n">
        <v>314987.75104917</v>
      </c>
      <c r="N29" t="n">
        <v>679.67932158264</v>
      </c>
      <c r="O29" t="n">
        <v>0</v>
      </c>
      <c r="P29" t="n">
        <v>548122.172957645</v>
      </c>
      <c r="Q29" t="n">
        <v>3357984.07016542</v>
      </c>
      <c r="R29" t="n">
        <v>4337229.22629738</v>
      </c>
      <c r="S29" t="n">
        <v>939670.265787899</v>
      </c>
      <c r="T29" t="n">
        <v>414713.367788909</v>
      </c>
      <c r="U29" t="n">
        <v>21728207.1133171</v>
      </c>
      <c r="V29" t="n">
        <v>7026494.92301671</v>
      </c>
      <c r="W29" t="n">
        <v>15910287.2409591</v>
      </c>
      <c r="X29" t="n">
        <v>155086.23215141</v>
      </c>
      <c r="Y29" t="n">
        <v>13496.8893120655</v>
      </c>
      <c r="Z29" t="n">
        <v>2918.11100183126</v>
      </c>
      <c r="AA29" t="n">
        <v>5256404.04364309</v>
      </c>
      <c r="AB29" t="n">
        <v>3928457.8441803</v>
      </c>
      <c r="AC29" t="n">
        <v>93191.4759024305</v>
      </c>
      <c r="AD29" t="n">
        <v>423103.275656566</v>
      </c>
      <c r="AE29" t="n">
        <v>13401723.3195852</v>
      </c>
      <c r="AF29" t="n">
        <v>2337582.83231354</v>
      </c>
      <c r="AG29" t="n">
        <v>0</v>
      </c>
      <c r="AH29" t="n">
        <v>0</v>
      </c>
      <c r="AI29" t="n">
        <v>7630.91872288919</v>
      </c>
      <c r="AJ29" t="n">
        <v>18920.7847081099</v>
      </c>
      <c r="AK29" t="n">
        <v>0</v>
      </c>
      <c r="AL29" t="n">
        <v>674.547777618382</v>
      </c>
      <c r="AM29" t="n">
        <v>37470.4735913117</v>
      </c>
      <c r="AN29" t="n">
        <v>13581.8287604658</v>
      </c>
      <c r="AO29" t="n">
        <v>226.423990934031</v>
      </c>
      <c r="AP29" t="n">
        <v>119025.348618929</v>
      </c>
      <c r="AQ29" t="n">
        <v>1384.28440435501</v>
      </c>
      <c r="AR29" t="n">
        <v>658.631409012032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100212.681219214</v>
      </c>
      <c r="AY29" t="n">
        <v>198495.12660371</v>
      </c>
      <c r="AZ29" t="n">
        <v>0</v>
      </c>
      <c r="BA29" t="n">
        <v>0</v>
      </c>
      <c r="BB29" t="n">
        <v>533653.390592109</v>
      </c>
      <c r="BC29" t="n">
        <v>19150.7296817685</v>
      </c>
      <c r="BD29" t="n">
        <v>356606.126267568</v>
      </c>
      <c r="BE29" t="n">
        <v>616062.347371163</v>
      </c>
      <c r="BF29" t="n">
        <v>66886.6014217372</v>
      </c>
      <c r="BG29" t="n">
        <v>243373.591846553</v>
      </c>
      <c r="BH29" t="n">
        <v>2370202.84431558</v>
      </c>
      <c r="BI29" t="n">
        <v>13500015.4958981</v>
      </c>
      <c r="BJ29" t="n">
        <v>6903222.90986875</v>
      </c>
      <c r="BK29" t="n">
        <v>0</v>
      </c>
      <c r="BL29" t="n">
        <v>652140.969837831</v>
      </c>
      <c r="BM29" t="n">
        <v>9163575.97761908</v>
      </c>
      <c r="BN29" t="n">
        <v>1263108.07924688</v>
      </c>
      <c r="BO29" t="n">
        <v>1493210.40193733</v>
      </c>
      <c r="BP29" t="n">
        <v>778645.966830005</v>
      </c>
      <c r="BQ29" t="n">
        <v>924860.886262476</v>
      </c>
      <c r="BR29" t="n">
        <v>3264.71425151349</v>
      </c>
      <c r="BS29" t="n">
        <v>6255052.77680356</v>
      </c>
      <c r="BT29" t="n">
        <v>41303.9421201055</v>
      </c>
      <c r="BU29" t="n">
        <v>47567263.3001236</v>
      </c>
      <c r="BV29" t="n">
        <v>0</v>
      </c>
      <c r="BW29" t="n">
        <v>2646625.63655962</v>
      </c>
      <c r="BX29" t="n">
        <v>0</v>
      </c>
      <c r="BY29" t="n">
        <v>763502.546698794</v>
      </c>
      <c r="BZ29" t="n">
        <v>2328233.46351428</v>
      </c>
      <c r="CA29" t="n">
        <v>33356038.2736933</v>
      </c>
      <c r="CB29" t="n">
        <v>-148570168.080197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2583.81068694406</v>
      </c>
      <c r="CJ29" t="n">
        <v>0</v>
      </c>
      <c r="CK29" t="n">
        <v>0</v>
      </c>
      <c r="CL29" t="n">
        <v>0</v>
      </c>
      <c r="CM29" t="n">
        <v>6585.70827591701</v>
      </c>
      <c r="CN29" t="n">
        <v>0</v>
      </c>
    </row>
    <row r="30">
      <c r="A30" t="s">
        <v>141</v>
      </c>
      <c r="B30" t="n">
        <v>122631.467828481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636261.151209056</v>
      </c>
      <c r="Q30" t="n">
        <v>0</v>
      </c>
      <c r="R30" t="n">
        <v>0</v>
      </c>
      <c r="S30" t="n">
        <v>236069.593431983</v>
      </c>
      <c r="T30" t="n">
        <v>42862.7635438003</v>
      </c>
      <c r="U30" t="n">
        <v>2611617.89966332</v>
      </c>
      <c r="V30" t="n">
        <v>9828619.47124548</v>
      </c>
      <c r="W30" t="n">
        <v>0</v>
      </c>
      <c r="X30" t="n">
        <v>5100052.53055462</v>
      </c>
      <c r="Y30" t="n">
        <v>0</v>
      </c>
      <c r="Z30" t="n">
        <v>0</v>
      </c>
      <c r="AA30" t="n">
        <v>622.760859816489</v>
      </c>
      <c r="AB30" t="n">
        <v>775014.67539858</v>
      </c>
      <c r="AC30" t="n">
        <v>403634.504911819</v>
      </c>
      <c r="AD30" t="n">
        <v>27281.1661914712</v>
      </c>
      <c r="AE30" t="n">
        <v>199606.809574644</v>
      </c>
      <c r="AF30" t="n">
        <v>775522.499924507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67561.8564390104</v>
      </c>
      <c r="AP30" t="n">
        <v>13796.8026701204</v>
      </c>
      <c r="AQ30" t="n">
        <v>1494242.60604761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108452.458164997</v>
      </c>
      <c r="AZ30" t="n">
        <v>0</v>
      </c>
      <c r="BA30" t="n">
        <v>0</v>
      </c>
      <c r="BB30" t="n">
        <v>7641.93757722752</v>
      </c>
      <c r="BC30" t="n">
        <v>7841.23372933438</v>
      </c>
      <c r="BD30" t="n">
        <v>432607.638907188</v>
      </c>
      <c r="BE30" t="n">
        <v>64328.1057088233</v>
      </c>
      <c r="BF30" t="n">
        <v>233637.802889006</v>
      </c>
      <c r="BG30" t="n">
        <v>237746.696251858</v>
      </c>
      <c r="BH30" t="n">
        <v>667828.469852847</v>
      </c>
      <c r="BI30" t="n">
        <v>0</v>
      </c>
      <c r="BJ30" t="n">
        <v>2874956.15256111</v>
      </c>
      <c r="BK30" t="n">
        <v>145774.824780143</v>
      </c>
      <c r="BL30" t="n">
        <v>222142.901260829</v>
      </c>
      <c r="BM30" t="n">
        <v>150965.500847339</v>
      </c>
      <c r="BN30" t="n">
        <v>2065439.27742377</v>
      </c>
      <c r="BO30" t="n">
        <v>4569887.55476112</v>
      </c>
      <c r="BP30" t="n">
        <v>552211.283774795</v>
      </c>
      <c r="BQ30" t="n">
        <v>312840.33402459</v>
      </c>
      <c r="BR30" t="n">
        <v>178713.162172299</v>
      </c>
      <c r="BS30" t="n">
        <v>7841976.60022737</v>
      </c>
      <c r="BT30" t="n">
        <v>12952.4212498733</v>
      </c>
      <c r="BU30" t="n">
        <v>458082439.711288</v>
      </c>
      <c r="BV30" t="n">
        <v>0</v>
      </c>
      <c r="BW30" t="n">
        <v>0</v>
      </c>
      <c r="BX30" t="n">
        <v>0</v>
      </c>
      <c r="BY30" t="n">
        <v>0</v>
      </c>
      <c r="BZ30" t="n">
        <v>-3286508.70831825</v>
      </c>
      <c r="CA30" t="n">
        <v>5997619.19250849</v>
      </c>
      <c r="CB30" t="n">
        <v>-487806468.465941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952966.589511284</v>
      </c>
      <c r="C31" t="n">
        <v>0</v>
      </c>
      <c r="D31" t="n">
        <v>0</v>
      </c>
      <c r="E31" t="n">
        <v>75498.2384864671</v>
      </c>
      <c r="F31" t="n">
        <v>496.996340748276</v>
      </c>
      <c r="G31" t="n">
        <v>45311.8571092854</v>
      </c>
      <c r="H31" t="n">
        <v>4891092.7408814</v>
      </c>
      <c r="I31" t="n">
        <v>5621792.87558066</v>
      </c>
      <c r="J31" t="n">
        <v>2102620.12307078</v>
      </c>
      <c r="K31" t="n">
        <v>325762.513215705</v>
      </c>
      <c r="L31" t="n">
        <v>4480640.87701006</v>
      </c>
      <c r="M31" t="n">
        <v>2116254.91682938</v>
      </c>
      <c r="N31" t="n">
        <v>717902.794210521</v>
      </c>
      <c r="O31" t="n">
        <v>454175.48682188</v>
      </c>
      <c r="P31" t="n">
        <v>1785630.01776738</v>
      </c>
      <c r="Q31" t="n">
        <v>2064862.46724244</v>
      </c>
      <c r="R31" t="n">
        <v>2095310.72504719</v>
      </c>
      <c r="S31" t="n">
        <v>2656255.82705633</v>
      </c>
      <c r="T31" t="n">
        <v>58961710.6380258</v>
      </c>
      <c r="U31" t="n">
        <v>1570145.67461699</v>
      </c>
      <c r="V31" t="n">
        <v>97709.8176154873</v>
      </c>
      <c r="W31" t="n">
        <v>405702284.371271</v>
      </c>
      <c r="X31" t="n">
        <v>14109504.7654318</v>
      </c>
      <c r="Y31" t="n">
        <v>188319.176799554</v>
      </c>
      <c r="Z31" t="n">
        <v>8898128.40443084</v>
      </c>
      <c r="AA31" t="n">
        <v>9309903.11475528</v>
      </c>
      <c r="AB31" t="n">
        <v>13364107.223574</v>
      </c>
      <c r="AC31" t="n">
        <v>539449.390162567</v>
      </c>
      <c r="AD31" t="n">
        <v>5473463.53680906</v>
      </c>
      <c r="AE31" t="n">
        <v>1198906.84945582</v>
      </c>
      <c r="AF31" t="n">
        <v>3654670.23178465</v>
      </c>
      <c r="AG31" t="n">
        <v>19725.3024641603</v>
      </c>
      <c r="AH31" t="n">
        <v>99811.1648120943</v>
      </c>
      <c r="AI31" t="n">
        <v>1673.53216243823</v>
      </c>
      <c r="AJ31" t="n">
        <v>431416.471967151</v>
      </c>
      <c r="AK31" t="n">
        <v>2676334.33080319</v>
      </c>
      <c r="AL31" t="n">
        <v>29233.5100123127</v>
      </c>
      <c r="AM31" t="n">
        <v>2649479.78055449</v>
      </c>
      <c r="AN31" t="n">
        <v>477587.40632289</v>
      </c>
      <c r="AO31" t="n">
        <v>1319243.92494384</v>
      </c>
      <c r="AP31" t="n">
        <v>32208.4429118819</v>
      </c>
      <c r="AQ31" t="n">
        <v>297356.239420378</v>
      </c>
      <c r="AR31" t="n">
        <v>114981.647974877</v>
      </c>
      <c r="AS31" t="n">
        <v>1704651.12267922</v>
      </c>
      <c r="AT31" t="n">
        <v>268658.53981265</v>
      </c>
      <c r="AU31" t="n">
        <v>2650377.34490877</v>
      </c>
      <c r="AV31" t="n">
        <v>2988.17914862183</v>
      </c>
      <c r="AW31" t="n">
        <v>0</v>
      </c>
      <c r="AX31" t="n">
        <v>1462939.76875273</v>
      </c>
      <c r="AY31" t="n">
        <v>983878.49814479</v>
      </c>
      <c r="AZ31" t="n">
        <v>560538.714657193</v>
      </c>
      <c r="BA31" t="n">
        <v>762110.931740655</v>
      </c>
      <c r="BB31" t="n">
        <v>4355078.89596961</v>
      </c>
      <c r="BC31" t="n">
        <v>2754567.6930035</v>
      </c>
      <c r="BD31" t="n">
        <v>9879851.81073508</v>
      </c>
      <c r="BE31" t="n">
        <v>982625.452312961</v>
      </c>
      <c r="BF31" t="n">
        <v>792946.580603493</v>
      </c>
      <c r="BG31" t="n">
        <v>3220263.9727283</v>
      </c>
      <c r="BH31" t="n">
        <v>6672042.84494687</v>
      </c>
      <c r="BI31" t="n">
        <v>3646901.66349798</v>
      </c>
      <c r="BJ31" t="n">
        <v>4580311.27019062</v>
      </c>
      <c r="BK31" t="n">
        <v>117731.4503136</v>
      </c>
      <c r="BL31" t="n">
        <v>460415.323279291</v>
      </c>
      <c r="BM31" t="n">
        <v>12246868.9759019</v>
      </c>
      <c r="BN31" t="n">
        <v>13681782.6235322</v>
      </c>
      <c r="BO31" t="n">
        <v>2125495.94719396</v>
      </c>
      <c r="BP31" t="n">
        <v>353371.426736325</v>
      </c>
      <c r="BQ31" t="n">
        <v>6049371.522233</v>
      </c>
      <c r="BR31" t="n">
        <v>495863.859395547</v>
      </c>
      <c r="BS31" t="n">
        <v>26776794.9356212</v>
      </c>
      <c r="BT31" t="n">
        <v>51617.6688952313</v>
      </c>
      <c r="BU31" t="n">
        <v>68625624.7035957</v>
      </c>
      <c r="BV31" t="n">
        <v>0</v>
      </c>
      <c r="BW31" t="n">
        <v>0</v>
      </c>
      <c r="BX31" t="n">
        <v>0</v>
      </c>
      <c r="BY31" t="n">
        <v>0</v>
      </c>
      <c r="BZ31" t="n">
        <v>10177770.2984899</v>
      </c>
      <c r="CA31" t="n">
        <v>277977426.937187</v>
      </c>
      <c r="CB31" t="n">
        <v>-170889242.786593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29772.3865379233</v>
      </c>
      <c r="C32" t="n">
        <v>0</v>
      </c>
      <c r="D32" t="n">
        <v>0</v>
      </c>
      <c r="E32" t="n">
        <v>1151.65488086224</v>
      </c>
      <c r="F32" t="n">
        <v>0</v>
      </c>
      <c r="G32" t="n">
        <v>20298.614624433</v>
      </c>
      <c r="H32" t="n">
        <v>82346.8527839513</v>
      </c>
      <c r="I32" t="n">
        <v>27186.6490331444</v>
      </c>
      <c r="J32" t="n">
        <v>0</v>
      </c>
      <c r="K32" t="n">
        <v>0</v>
      </c>
      <c r="L32" t="n">
        <v>32063.4430409075</v>
      </c>
      <c r="M32" t="n">
        <v>5515.45582974391</v>
      </c>
      <c r="N32" t="n">
        <v>0</v>
      </c>
      <c r="O32" t="n">
        <v>948.348167142143</v>
      </c>
      <c r="P32" t="n">
        <v>1857.9232796205</v>
      </c>
      <c r="Q32" t="n">
        <v>0</v>
      </c>
      <c r="R32" t="n">
        <v>0</v>
      </c>
      <c r="S32" t="n">
        <v>0</v>
      </c>
      <c r="T32" t="n">
        <v>147630.108427674</v>
      </c>
      <c r="U32" t="n">
        <v>0</v>
      </c>
      <c r="V32" t="n">
        <v>8576.0765198704</v>
      </c>
      <c r="W32" t="n">
        <v>0</v>
      </c>
      <c r="X32" t="n">
        <v>2086877.24559988</v>
      </c>
      <c r="Y32" t="n">
        <v>1143.08102108686</v>
      </c>
      <c r="Z32" t="n">
        <v>241953.27585639</v>
      </c>
      <c r="AA32" t="n">
        <v>0</v>
      </c>
      <c r="AB32" t="n">
        <v>22705571.1752934</v>
      </c>
      <c r="AC32" t="n">
        <v>761332.077611569</v>
      </c>
      <c r="AD32" t="n">
        <v>879953.777894004</v>
      </c>
      <c r="AE32" t="n">
        <v>598272.615010932</v>
      </c>
      <c r="AF32" t="n">
        <v>16607900.9628155</v>
      </c>
      <c r="AG32" t="n">
        <v>4474.01030590914</v>
      </c>
      <c r="AH32" t="n">
        <v>12369.3753204056</v>
      </c>
      <c r="AI32" t="n">
        <v>0</v>
      </c>
      <c r="AJ32" t="n">
        <v>599362.125172767</v>
      </c>
      <c r="AK32" t="n">
        <v>197581.866301995</v>
      </c>
      <c r="AL32" t="n">
        <v>4750.12645193494</v>
      </c>
      <c r="AM32" t="n">
        <v>390774.402497996</v>
      </c>
      <c r="AN32" t="n">
        <v>35925.7350516864</v>
      </c>
      <c r="AO32" t="n">
        <v>3192750.24856201</v>
      </c>
      <c r="AP32" t="n">
        <v>423330.135131962</v>
      </c>
      <c r="AQ32" t="n">
        <v>576743.248049076</v>
      </c>
      <c r="AR32" t="n">
        <v>2251861.34196666</v>
      </c>
      <c r="AS32" t="n">
        <v>2287352.00059936</v>
      </c>
      <c r="AT32" t="n">
        <v>1103739.97089139</v>
      </c>
      <c r="AU32" t="n">
        <v>11643777.4923661</v>
      </c>
      <c r="AV32" t="n">
        <v>0</v>
      </c>
      <c r="AW32" t="n">
        <v>0</v>
      </c>
      <c r="AX32" t="n">
        <v>247267.956978235</v>
      </c>
      <c r="AY32" t="n">
        <v>591870.079507093</v>
      </c>
      <c r="AZ32" t="n">
        <v>1214407.46588512</v>
      </c>
      <c r="BA32" t="n">
        <v>545897.488848221</v>
      </c>
      <c r="BB32" t="n">
        <v>10746384.7432761</v>
      </c>
      <c r="BC32" t="n">
        <v>2726789.24553968</v>
      </c>
      <c r="BD32" t="n">
        <v>7281816.8432702</v>
      </c>
      <c r="BE32" t="n">
        <v>52654.7685606703</v>
      </c>
      <c r="BF32" t="n">
        <v>2345521.11090729</v>
      </c>
      <c r="BG32" t="n">
        <v>4881642.24103312</v>
      </c>
      <c r="BH32" t="n">
        <v>18608266.6513382</v>
      </c>
      <c r="BI32" t="n">
        <v>677142.817675649</v>
      </c>
      <c r="BJ32" t="n">
        <v>7909276.05388751</v>
      </c>
      <c r="BK32" t="n">
        <v>1292492.24995481</v>
      </c>
      <c r="BL32" t="n">
        <v>669691.498195732</v>
      </c>
      <c r="BM32" t="n">
        <v>4001561.70290176</v>
      </c>
      <c r="BN32" t="n">
        <v>3232174.29357693</v>
      </c>
      <c r="BO32" t="n">
        <v>3240736.16745962</v>
      </c>
      <c r="BP32" t="n">
        <v>618321.720250174</v>
      </c>
      <c r="BQ32" t="n">
        <v>5010612.93888723</v>
      </c>
      <c r="BR32" t="n">
        <v>192870.024730914</v>
      </c>
      <c r="BS32" t="n">
        <v>22102136.5802715</v>
      </c>
      <c r="BT32" t="n">
        <v>672525.757104197</v>
      </c>
      <c r="BU32" t="n">
        <v>10506554.8570953</v>
      </c>
      <c r="BV32" t="n">
        <v>0</v>
      </c>
      <c r="BW32" t="n">
        <v>0</v>
      </c>
      <c r="BX32" t="n">
        <v>0</v>
      </c>
      <c r="BY32" t="n">
        <v>0</v>
      </c>
      <c r="BZ32" t="n">
        <v>305957.093782359</v>
      </c>
      <c r="CA32" t="n">
        <v>1459528.0360833</v>
      </c>
      <c r="CB32" t="n">
        <v>-10520248.6766334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11143971.0119342</v>
      </c>
      <c r="C33" t="n">
        <v>877058.938735811</v>
      </c>
      <c r="D33" t="n">
        <v>0</v>
      </c>
      <c r="E33" t="n">
        <v>939464.965407276</v>
      </c>
      <c r="F33" t="n">
        <v>8326.70406501727</v>
      </c>
      <c r="G33" t="n">
        <v>22589109.9399681</v>
      </c>
      <c r="H33" t="n">
        <v>30006387.5257661</v>
      </c>
      <c r="I33" t="n">
        <v>2597818.70216999</v>
      </c>
      <c r="J33" t="n">
        <v>405146.455805511</v>
      </c>
      <c r="K33" t="n">
        <v>173840.326328477</v>
      </c>
      <c r="L33" t="n">
        <v>2230328.18715089</v>
      </c>
      <c r="M33" t="n">
        <v>638244.213490894</v>
      </c>
      <c r="N33" t="n">
        <v>110025.110606619</v>
      </c>
      <c r="O33" t="n">
        <v>105877.908937578</v>
      </c>
      <c r="P33" t="n">
        <v>80756.4864187629</v>
      </c>
      <c r="Q33" t="n">
        <v>432610.665910872</v>
      </c>
      <c r="R33" t="n">
        <v>178864.321796151</v>
      </c>
      <c r="S33" t="n">
        <v>510010.374118843</v>
      </c>
      <c r="T33" t="n">
        <v>3031102.47779012</v>
      </c>
      <c r="U33" t="n">
        <v>177218.622957295</v>
      </c>
      <c r="V33" t="n">
        <v>10165.8951754756</v>
      </c>
      <c r="W33" t="n">
        <v>9648751.3598954</v>
      </c>
      <c r="X33" t="n">
        <v>409661.499692713</v>
      </c>
      <c r="Y33" t="n">
        <v>5778962.95517794</v>
      </c>
      <c r="Z33" t="n">
        <v>10161860.8765169</v>
      </c>
      <c r="AA33" t="n">
        <v>787665.358657298</v>
      </c>
      <c r="AB33" t="n">
        <v>4170834.66131231</v>
      </c>
      <c r="AC33" t="n">
        <v>1329351.40913291</v>
      </c>
      <c r="AD33" t="n">
        <v>1012709.09126281</v>
      </c>
      <c r="AE33" t="n">
        <v>392537.183154178</v>
      </c>
      <c r="AF33" t="n">
        <v>2255391.17460786</v>
      </c>
      <c r="AG33" t="n">
        <v>8671409.02936049</v>
      </c>
      <c r="AH33" t="n">
        <v>3619805.00412558</v>
      </c>
      <c r="AI33" t="n">
        <v>1337937.52618127</v>
      </c>
      <c r="AJ33" t="n">
        <v>17359654.8710787</v>
      </c>
      <c r="AK33" t="n">
        <v>1617984.4994872</v>
      </c>
      <c r="AL33" t="n">
        <v>41800.4692682561</v>
      </c>
      <c r="AM33" t="n">
        <v>9298449.09303543</v>
      </c>
      <c r="AN33" t="n">
        <v>4423305.9595498</v>
      </c>
      <c r="AO33" t="n">
        <v>160654.22659117</v>
      </c>
      <c r="AP33" t="n">
        <v>22136.8086564081</v>
      </c>
      <c r="AQ33" t="n">
        <v>285835.275608817</v>
      </c>
      <c r="AR33" t="n">
        <v>133739.507505045</v>
      </c>
      <c r="AS33" t="n">
        <v>3567621.00729707</v>
      </c>
      <c r="AT33" t="n">
        <v>1001177.78622259</v>
      </c>
      <c r="AU33" t="n">
        <v>84369.2680690838</v>
      </c>
      <c r="AV33" t="n">
        <v>674157.081711441</v>
      </c>
      <c r="AW33" t="n">
        <v>38592.0971877556</v>
      </c>
      <c r="AX33" t="n">
        <v>3860158.41306761</v>
      </c>
      <c r="AY33" t="n">
        <v>926102.165352345</v>
      </c>
      <c r="AZ33" t="n">
        <v>42488.2779701264</v>
      </c>
      <c r="BA33" t="n">
        <v>767855.599818233</v>
      </c>
      <c r="BB33" t="n">
        <v>1546628.45994553</v>
      </c>
      <c r="BC33" t="n">
        <v>1174668.78623034</v>
      </c>
      <c r="BD33" t="n">
        <v>4791409.02434642</v>
      </c>
      <c r="BE33" t="n">
        <v>2182784.02820043</v>
      </c>
      <c r="BF33" t="n">
        <v>1954086.88272184</v>
      </c>
      <c r="BG33" t="n">
        <v>1003922.55362079</v>
      </c>
      <c r="BH33" t="n">
        <v>2929418.33308423</v>
      </c>
      <c r="BI33" t="n">
        <v>1822669.31316256</v>
      </c>
      <c r="BJ33" t="n">
        <v>1514834.32097427</v>
      </c>
      <c r="BK33" t="n">
        <v>203474.854349642</v>
      </c>
      <c r="BL33" t="n">
        <v>1051804.66600675</v>
      </c>
      <c r="BM33" t="n">
        <v>1911141.1068258</v>
      </c>
      <c r="BN33" t="n">
        <v>5560216.00874236</v>
      </c>
      <c r="BO33" t="n">
        <v>2845339.66802299</v>
      </c>
      <c r="BP33" t="n">
        <v>7644587.79823823</v>
      </c>
      <c r="BQ33" t="n">
        <v>1899641.34782136</v>
      </c>
      <c r="BR33" t="n">
        <v>2444975.37672522</v>
      </c>
      <c r="BS33" t="n">
        <v>101073351.450867</v>
      </c>
      <c r="BT33" t="n">
        <v>17060774.799158</v>
      </c>
      <c r="BU33" t="n">
        <v>336409756.764369</v>
      </c>
      <c r="BV33" t="n">
        <v>0</v>
      </c>
      <c r="BW33" t="n">
        <v>0</v>
      </c>
      <c r="BX33" t="n">
        <v>0</v>
      </c>
      <c r="BY33" t="n">
        <v>0</v>
      </c>
      <c r="BZ33" t="n">
        <v>2840285.86543712</v>
      </c>
      <c r="CA33" t="n">
        <v>5566054.00578318</v>
      </c>
      <c r="CB33" t="n">
        <v>-205774587.819188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20938622.596972</v>
      </c>
      <c r="C34" t="n">
        <v>4310926.71739915</v>
      </c>
      <c r="D34" t="n">
        <v>0</v>
      </c>
      <c r="E34" t="n">
        <v>458087.665193188</v>
      </c>
      <c r="F34" t="n">
        <v>6853.73458836139</v>
      </c>
      <c r="G34" t="n">
        <v>757312.946994559</v>
      </c>
      <c r="H34" t="n">
        <v>9910113.5221696</v>
      </c>
      <c r="I34" t="n">
        <v>7476332.40318934</v>
      </c>
      <c r="J34" t="n">
        <v>2727669.24850381</v>
      </c>
      <c r="K34" t="n">
        <v>169430.045765947</v>
      </c>
      <c r="L34" t="n">
        <v>6839344.08519619</v>
      </c>
      <c r="M34" t="n">
        <v>1165029.27739293</v>
      </c>
      <c r="N34" t="n">
        <v>1244751.16705332</v>
      </c>
      <c r="O34" t="n">
        <v>392556.23120642</v>
      </c>
      <c r="P34" t="n">
        <v>1765470.46103347</v>
      </c>
      <c r="Q34" t="n">
        <v>2191548.99663455</v>
      </c>
      <c r="R34" t="n">
        <v>1149614.2414349</v>
      </c>
      <c r="S34" t="n">
        <v>4440962.58623196</v>
      </c>
      <c r="T34" t="n">
        <v>11013690.054146</v>
      </c>
      <c r="U34" t="n">
        <v>25029557.3208714</v>
      </c>
      <c r="V34" t="n">
        <v>263123.731218554</v>
      </c>
      <c r="W34" t="n">
        <v>37560115.0443196</v>
      </c>
      <c r="X34" t="n">
        <v>1653009.78981231</v>
      </c>
      <c r="Y34" t="n">
        <v>7394977.7869759</v>
      </c>
      <c r="Z34" t="n">
        <v>203630706.192037</v>
      </c>
      <c r="AA34" t="n">
        <v>70936434.3591766</v>
      </c>
      <c r="AB34" t="n">
        <v>1886325.92070592</v>
      </c>
      <c r="AC34" t="n">
        <v>205812.028325301</v>
      </c>
      <c r="AD34" t="n">
        <v>169122.593765723</v>
      </c>
      <c r="AE34" t="n">
        <v>82321.8898603995</v>
      </c>
      <c r="AF34" t="n">
        <v>664781.339705013</v>
      </c>
      <c r="AG34" t="n">
        <v>241.742304410688</v>
      </c>
      <c r="AH34" t="n">
        <v>100589.531679019</v>
      </c>
      <c r="AI34" t="n">
        <v>1687.96191941841</v>
      </c>
      <c r="AJ34" t="n">
        <v>251507.3930081</v>
      </c>
      <c r="AK34" t="n">
        <v>12797.7731366409</v>
      </c>
      <c r="AL34" t="n">
        <v>858.760635279151</v>
      </c>
      <c r="AM34" t="n">
        <v>51786.1081022397</v>
      </c>
      <c r="AN34" t="n">
        <v>385984.647301476</v>
      </c>
      <c r="AO34" t="n">
        <v>95257.3803252723</v>
      </c>
      <c r="AP34" t="n">
        <v>96491.6640731973</v>
      </c>
      <c r="AQ34" t="n">
        <v>563531.276794521</v>
      </c>
      <c r="AR34" t="n">
        <v>147450.446018818</v>
      </c>
      <c r="AS34" t="n">
        <v>50241.516164252</v>
      </c>
      <c r="AT34" t="n">
        <v>26834.5280407115</v>
      </c>
      <c r="AU34" t="n">
        <v>88813.3877879595</v>
      </c>
      <c r="AV34" t="n">
        <v>0</v>
      </c>
      <c r="AW34" t="n">
        <v>399476.349726735</v>
      </c>
      <c r="AX34" t="n">
        <v>12030335.8933193</v>
      </c>
      <c r="AY34" t="n">
        <v>51436.9410336563</v>
      </c>
      <c r="AZ34" t="n">
        <v>92263.1266647345</v>
      </c>
      <c r="BA34" t="n">
        <v>192009.864967113</v>
      </c>
      <c r="BB34" t="n">
        <v>36972328.6580632</v>
      </c>
      <c r="BC34" t="n">
        <v>2836422.24499626</v>
      </c>
      <c r="BD34" t="n">
        <v>9187844.4679986</v>
      </c>
      <c r="BE34" t="n">
        <v>2540205.95959894</v>
      </c>
      <c r="BF34" t="n">
        <v>1016309.33646024</v>
      </c>
      <c r="BG34" t="n">
        <v>48938034.5218766</v>
      </c>
      <c r="BH34" t="n">
        <v>19729400.1959775</v>
      </c>
      <c r="BI34" t="n">
        <v>4896578.07222202</v>
      </c>
      <c r="BJ34" t="n">
        <v>934716.630216015</v>
      </c>
      <c r="BK34" t="n">
        <v>173235.685816825</v>
      </c>
      <c r="BL34" t="n">
        <v>893960.119473107</v>
      </c>
      <c r="BM34" t="n">
        <v>164516.503579815</v>
      </c>
      <c r="BN34" t="n">
        <v>2458501.61261622</v>
      </c>
      <c r="BO34" t="n">
        <v>5966802.83077621</v>
      </c>
      <c r="BP34" t="n">
        <v>2349795.85764785</v>
      </c>
      <c r="BQ34" t="n">
        <v>3974432.42748701</v>
      </c>
      <c r="BR34" t="n">
        <v>167567.098832962</v>
      </c>
      <c r="BS34" t="n">
        <v>39665073.1847368</v>
      </c>
      <c r="BT34" t="n">
        <v>1287301.92356065</v>
      </c>
      <c r="BU34" t="n">
        <v>674384751.947201</v>
      </c>
      <c r="BV34" t="n">
        <v>0</v>
      </c>
      <c r="BW34" t="n">
        <v>2546484.27084535</v>
      </c>
      <c r="BX34" t="n">
        <v>0</v>
      </c>
      <c r="BY34" t="n">
        <v>0</v>
      </c>
      <c r="BZ34" t="n">
        <v>16961246.4936738</v>
      </c>
      <c r="CA34" t="n">
        <v>96345039.6296082</v>
      </c>
      <c r="CB34" t="n">
        <v>-956489338.162248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2440666.42753194</v>
      </c>
      <c r="C35" t="n">
        <v>200594.490726701</v>
      </c>
      <c r="D35" t="n">
        <v>0</v>
      </c>
      <c r="E35" t="n">
        <v>535918.456576158</v>
      </c>
      <c r="F35" t="n">
        <v>5650.08014287024</v>
      </c>
      <c r="G35" t="n">
        <v>33806.1994630532</v>
      </c>
      <c r="H35" t="n">
        <v>35088800.5914339</v>
      </c>
      <c r="I35" t="n">
        <v>4601195.77889482</v>
      </c>
      <c r="J35" t="n">
        <v>1002471.40735904</v>
      </c>
      <c r="K35" t="n">
        <v>96573.9822905435</v>
      </c>
      <c r="L35" t="n">
        <v>3836324.80649491</v>
      </c>
      <c r="M35" t="n">
        <v>8183328.84965908</v>
      </c>
      <c r="N35" t="n">
        <v>2145182.40095775</v>
      </c>
      <c r="O35" t="n">
        <v>539223.648416835</v>
      </c>
      <c r="P35" t="n">
        <v>6030737.56170909</v>
      </c>
      <c r="Q35" t="n">
        <v>8361779.06866597</v>
      </c>
      <c r="R35" t="n">
        <v>2994197.75694231</v>
      </c>
      <c r="S35" t="n">
        <v>4171522.06312156</v>
      </c>
      <c r="T35" t="n">
        <v>29061496.6879107</v>
      </c>
      <c r="U35" t="n">
        <v>1025100.89923474</v>
      </c>
      <c r="V35" t="n">
        <v>314161.393273969</v>
      </c>
      <c r="W35" t="n">
        <v>15438227.9749192</v>
      </c>
      <c r="X35" t="n">
        <v>2813731.96005172</v>
      </c>
      <c r="Y35" t="n">
        <v>219850.925107812</v>
      </c>
      <c r="Z35" t="n">
        <v>9785042.80398756</v>
      </c>
      <c r="AA35" t="n">
        <v>26460961.1189887</v>
      </c>
      <c r="AB35" t="n">
        <v>22881627.4996631</v>
      </c>
      <c r="AC35" t="n">
        <v>2196326.99484751</v>
      </c>
      <c r="AD35" t="n">
        <v>4258362.56466748</v>
      </c>
      <c r="AE35" t="n">
        <v>849307.257721011</v>
      </c>
      <c r="AF35" t="n">
        <v>6582142.93951472</v>
      </c>
      <c r="AG35" t="n">
        <v>315922.437073912</v>
      </c>
      <c r="AH35" t="n">
        <v>2573.15274634078</v>
      </c>
      <c r="AI35" t="n">
        <v>0</v>
      </c>
      <c r="AJ35" t="n">
        <v>1665049.32840445</v>
      </c>
      <c r="AK35" t="n">
        <v>89622.2629741834</v>
      </c>
      <c r="AL35" t="n">
        <v>54828.8342196654</v>
      </c>
      <c r="AM35" t="n">
        <v>1544822.25443943</v>
      </c>
      <c r="AN35" t="n">
        <v>544706.38957523</v>
      </c>
      <c r="AO35" t="n">
        <v>139899.595201953</v>
      </c>
      <c r="AP35" t="n">
        <v>29322.3340683531</v>
      </c>
      <c r="AQ35" t="n">
        <v>2933317.78211536</v>
      </c>
      <c r="AR35" t="n">
        <v>199114.625893062</v>
      </c>
      <c r="AS35" t="n">
        <v>58323.32209676</v>
      </c>
      <c r="AT35" t="n">
        <v>53298.3153396692</v>
      </c>
      <c r="AU35" t="n">
        <v>1891994.56763373</v>
      </c>
      <c r="AV35" t="n">
        <v>0</v>
      </c>
      <c r="AW35" t="n">
        <v>18505.7809608478</v>
      </c>
      <c r="AX35" t="n">
        <v>734849.519435359</v>
      </c>
      <c r="AY35" t="n">
        <v>1805889.15610701</v>
      </c>
      <c r="AZ35" t="n">
        <v>26228.7344897225</v>
      </c>
      <c r="BA35" t="n">
        <v>1659152.39535124</v>
      </c>
      <c r="BB35" t="n">
        <v>7696869.21328611</v>
      </c>
      <c r="BC35" t="n">
        <v>179991.327959536</v>
      </c>
      <c r="BD35" t="n">
        <v>2881288.31467447</v>
      </c>
      <c r="BE35" t="n">
        <v>751141.840807164</v>
      </c>
      <c r="BF35" t="n">
        <v>1413647.01921736</v>
      </c>
      <c r="BG35" t="n">
        <v>12770621.7047619</v>
      </c>
      <c r="BH35" t="n">
        <v>13745754.626707</v>
      </c>
      <c r="BI35" t="n">
        <v>4375097.71869931</v>
      </c>
      <c r="BJ35" t="n">
        <v>3850419.24302595</v>
      </c>
      <c r="BK35" t="n">
        <v>49127.9211222195</v>
      </c>
      <c r="BL35" t="n">
        <v>466654.314417757</v>
      </c>
      <c r="BM35" t="n">
        <v>395629.60925741</v>
      </c>
      <c r="BN35" t="n">
        <v>11719647.8509993</v>
      </c>
      <c r="BO35" t="n">
        <v>4815889.34586134</v>
      </c>
      <c r="BP35" t="n">
        <v>2267050.7898925</v>
      </c>
      <c r="BQ35" t="n">
        <v>2057872.03173263</v>
      </c>
      <c r="BR35" t="n">
        <v>91600.7743854922</v>
      </c>
      <c r="BS35" t="n">
        <v>20731037.6328716</v>
      </c>
      <c r="BT35" t="n">
        <v>2859536.87816996</v>
      </c>
      <c r="BU35" t="n">
        <v>112950358.076683</v>
      </c>
      <c r="BV35" t="n">
        <v>0</v>
      </c>
      <c r="BW35" t="n">
        <v>463676.165158673</v>
      </c>
      <c r="BX35" t="n">
        <v>0</v>
      </c>
      <c r="BY35" t="n">
        <v>56038.4963637317</v>
      </c>
      <c r="BZ35" t="n">
        <v>4680931.55480851</v>
      </c>
      <c r="CA35" t="n">
        <v>27508306.1443762</v>
      </c>
      <c r="CB35" t="n">
        <v>-196995021.26012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1856.76338642959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31526236.3730988</v>
      </c>
      <c r="C36" t="n">
        <v>4073840.85808797</v>
      </c>
      <c r="D36" t="n">
        <v>0</v>
      </c>
      <c r="E36" t="n">
        <v>800934.060298821</v>
      </c>
      <c r="F36" t="n">
        <v>9852.6088746331</v>
      </c>
      <c r="G36" t="n">
        <v>5591263.07788833</v>
      </c>
      <c r="H36" t="n">
        <v>63412370.9221144</v>
      </c>
      <c r="I36" t="n">
        <v>21544296.7142889</v>
      </c>
      <c r="J36" t="n">
        <v>3504712.14054937</v>
      </c>
      <c r="K36" t="n">
        <v>2195202.38548161</v>
      </c>
      <c r="L36" t="n">
        <v>17687968.6386271</v>
      </c>
      <c r="M36" t="n">
        <v>12578219.9647088</v>
      </c>
      <c r="N36" t="n">
        <v>5853860.19917826</v>
      </c>
      <c r="O36" t="n">
        <v>1512123.54306444</v>
      </c>
      <c r="P36" t="n">
        <v>10127119.4361515</v>
      </c>
      <c r="Q36" t="n">
        <v>21195559.356233</v>
      </c>
      <c r="R36" t="n">
        <v>3606343.45731243</v>
      </c>
      <c r="S36" t="n">
        <v>4916975.01223655</v>
      </c>
      <c r="T36" t="n">
        <v>78331291.4885514</v>
      </c>
      <c r="U36" t="n">
        <v>5368734.72866706</v>
      </c>
      <c r="V36" t="n">
        <v>2701250.03069072</v>
      </c>
      <c r="W36" t="n">
        <v>47449321.8062468</v>
      </c>
      <c r="X36" t="n">
        <v>2532474.29206431</v>
      </c>
      <c r="Y36" t="n">
        <v>4685465.45188759</v>
      </c>
      <c r="Z36" t="n">
        <v>32155689.3119106</v>
      </c>
      <c r="AA36" t="n">
        <v>15834144.0825361</v>
      </c>
      <c r="AB36" t="n">
        <v>44697266.2959143</v>
      </c>
      <c r="AC36" t="n">
        <v>5511589.21341003</v>
      </c>
      <c r="AD36" t="n">
        <v>4935616.13625717</v>
      </c>
      <c r="AE36" t="n">
        <v>3294644.228044</v>
      </c>
      <c r="AF36" t="n">
        <v>19028588.6648503</v>
      </c>
      <c r="AG36" t="n">
        <v>748994.912161817</v>
      </c>
      <c r="AH36" t="n">
        <v>1023697.51349427</v>
      </c>
      <c r="AI36" t="n">
        <v>312652.864046726</v>
      </c>
      <c r="AJ36" t="n">
        <v>8333293.64220316</v>
      </c>
      <c r="AK36" t="n">
        <v>888598.018590176</v>
      </c>
      <c r="AL36" t="n">
        <v>94902.4894884331</v>
      </c>
      <c r="AM36" t="n">
        <v>3465571.44690798</v>
      </c>
      <c r="AN36" t="n">
        <v>2249618.59237231</v>
      </c>
      <c r="AO36" t="n">
        <v>3198473.6391661</v>
      </c>
      <c r="AP36" t="n">
        <v>79124.1198238186</v>
      </c>
      <c r="AQ36" t="n">
        <v>5500421.59500341</v>
      </c>
      <c r="AR36" t="n">
        <v>753674.651426727</v>
      </c>
      <c r="AS36" t="n">
        <v>1797271.87048945</v>
      </c>
      <c r="AT36" t="n">
        <v>554895.820947825</v>
      </c>
      <c r="AU36" t="n">
        <v>1211431.16801983</v>
      </c>
      <c r="AV36" t="n">
        <v>491413.575298299</v>
      </c>
      <c r="AW36" t="n">
        <v>708749.891801225</v>
      </c>
      <c r="AX36" t="n">
        <v>4063959.23992229</v>
      </c>
      <c r="AY36" t="n">
        <v>7527528.96729152</v>
      </c>
      <c r="AZ36" t="n">
        <v>398111.574014606</v>
      </c>
      <c r="BA36" t="n">
        <v>2616752.37963846</v>
      </c>
      <c r="BB36" t="n">
        <v>13236044.2886946</v>
      </c>
      <c r="BC36" t="n">
        <v>3977110.1567809</v>
      </c>
      <c r="BD36" t="n">
        <v>10334835.6672038</v>
      </c>
      <c r="BE36" t="n">
        <v>3948204.11256454</v>
      </c>
      <c r="BF36" t="n">
        <v>3618457.0702908</v>
      </c>
      <c r="BG36" t="n">
        <v>27033754.1390509</v>
      </c>
      <c r="BH36" t="n">
        <v>31333491.82164</v>
      </c>
      <c r="BI36" t="n">
        <v>6810704.743226</v>
      </c>
      <c r="BJ36" t="n">
        <v>8736076.36050255</v>
      </c>
      <c r="BK36" t="n">
        <v>455709.001655937</v>
      </c>
      <c r="BL36" t="n">
        <v>4128692.10842951</v>
      </c>
      <c r="BM36" t="n">
        <v>6353695.60374082</v>
      </c>
      <c r="BN36" t="n">
        <v>30591618.3935712</v>
      </c>
      <c r="BO36" t="n">
        <v>10789965.6001377</v>
      </c>
      <c r="BP36" t="n">
        <v>5801502.64895227</v>
      </c>
      <c r="BQ36" t="n">
        <v>5196737.13037521</v>
      </c>
      <c r="BR36" t="n">
        <v>2105663.10081196</v>
      </c>
      <c r="BS36" t="n">
        <v>37311247.0823045</v>
      </c>
      <c r="BT36" t="n">
        <v>7568482.7846818</v>
      </c>
      <c r="BU36" t="n">
        <v>696189700.705634</v>
      </c>
      <c r="BV36" t="n">
        <v>74138.9283160683</v>
      </c>
      <c r="BW36" t="n">
        <v>171164851.064944</v>
      </c>
      <c r="BX36" t="n">
        <v>19758854.587243</v>
      </c>
      <c r="BY36" t="n">
        <v>4742320.01301607</v>
      </c>
      <c r="BZ36" t="n">
        <v>26333577.0384189</v>
      </c>
      <c r="CA36" t="n">
        <v>595210128.49934</v>
      </c>
      <c r="CB36" t="n">
        <v>221709814.925935</v>
      </c>
      <c r="CC36" t="n">
        <v>0</v>
      </c>
      <c r="CD36" t="n">
        <v>0</v>
      </c>
      <c r="CE36" t="n">
        <v>62950132.8590927</v>
      </c>
      <c r="CF36" t="n">
        <v>5566780.38075402</v>
      </c>
      <c r="CG36" t="n">
        <v>0</v>
      </c>
      <c r="CH36" t="n">
        <v>0</v>
      </c>
      <c r="CI36" t="n">
        <v>65299.6751650546</v>
      </c>
      <c r="CJ36" t="n">
        <v>0</v>
      </c>
      <c r="CK36" t="n">
        <v>0</v>
      </c>
      <c r="CL36" t="n">
        <v>0</v>
      </c>
      <c r="CM36" t="n">
        <v>7372873.10884856</v>
      </c>
      <c r="CN36" t="n">
        <v>1675046.95650644</v>
      </c>
    </row>
    <row r="37">
      <c r="A37" t="s">
        <v>148</v>
      </c>
      <c r="B37" t="n">
        <v>37209.4920957773</v>
      </c>
      <c r="C37" t="n">
        <v>13387.0386166121</v>
      </c>
      <c r="D37" t="n">
        <v>0</v>
      </c>
      <c r="E37" t="n">
        <v>117305.953630949</v>
      </c>
      <c r="F37" t="n">
        <v>1576.00481318586</v>
      </c>
      <c r="G37" t="n">
        <v>43051.78590826</v>
      </c>
      <c r="H37" t="n">
        <v>5409054.8491593</v>
      </c>
      <c r="I37" t="n">
        <v>2420921.13854359</v>
      </c>
      <c r="J37" t="n">
        <v>283595.633968517</v>
      </c>
      <c r="K37" t="n">
        <v>33925.4470404236</v>
      </c>
      <c r="L37" t="n">
        <v>1205712.34229606</v>
      </c>
      <c r="M37" t="n">
        <v>3064031.80759134</v>
      </c>
      <c r="N37" t="n">
        <v>242995.335982998</v>
      </c>
      <c r="O37" t="n">
        <v>1777.86656022883</v>
      </c>
      <c r="P37" t="n">
        <v>1879102.96436947</v>
      </c>
      <c r="Q37" t="n">
        <v>3265877.59243411</v>
      </c>
      <c r="R37" t="n">
        <v>243585.439769388</v>
      </c>
      <c r="S37" t="n">
        <v>495757.20452415</v>
      </c>
      <c r="T37" t="n">
        <v>4741011.4852221</v>
      </c>
      <c r="U37" t="n">
        <v>108556.182996316</v>
      </c>
      <c r="V37" t="n">
        <v>0</v>
      </c>
      <c r="W37" t="n">
        <v>4050956.69358427</v>
      </c>
      <c r="X37" t="n">
        <v>81641.4530780275</v>
      </c>
      <c r="Y37" t="n">
        <v>2142.93188244013</v>
      </c>
      <c r="Z37" t="n">
        <v>956868.557727493</v>
      </c>
      <c r="AA37" t="n">
        <v>441418.14365042</v>
      </c>
      <c r="AB37" t="n">
        <v>287177.897457726</v>
      </c>
      <c r="AC37" t="n">
        <v>5380810.44639472</v>
      </c>
      <c r="AD37" t="n">
        <v>3607934.22882206</v>
      </c>
      <c r="AE37" t="n">
        <v>502933.37870274</v>
      </c>
      <c r="AF37" t="n">
        <v>5045221.43459751</v>
      </c>
      <c r="AG37" t="n">
        <v>0</v>
      </c>
      <c r="AH37" t="n">
        <v>12367.3840557745</v>
      </c>
      <c r="AI37" t="n">
        <v>0</v>
      </c>
      <c r="AJ37" t="n">
        <v>4036016.412553</v>
      </c>
      <c r="AK37" t="n">
        <v>13228.7985865724</v>
      </c>
      <c r="AL37" t="n">
        <v>565.421881826827</v>
      </c>
      <c r="AM37" t="n">
        <v>25045.6556005361</v>
      </c>
      <c r="AN37" t="n">
        <v>161024.942074417</v>
      </c>
      <c r="AO37" t="n">
        <v>57486.1615355812</v>
      </c>
      <c r="AP37" t="n">
        <v>25448.0772488567</v>
      </c>
      <c r="AQ37" t="n">
        <v>103283.89513706</v>
      </c>
      <c r="AR37" t="n">
        <v>8190.27472104724</v>
      </c>
      <c r="AS37" t="n">
        <v>118553.849604575</v>
      </c>
      <c r="AT37" t="n">
        <v>7621.40271655378</v>
      </c>
      <c r="AU37" t="n">
        <v>53190.9400899909</v>
      </c>
      <c r="AV37" t="n">
        <v>0</v>
      </c>
      <c r="AW37" t="n">
        <v>333422.690705409</v>
      </c>
      <c r="AX37" t="n">
        <v>588770.833756128</v>
      </c>
      <c r="AY37" t="n">
        <v>1050467.28971963</v>
      </c>
      <c r="AZ37" t="n">
        <v>0</v>
      </c>
      <c r="BA37" t="n">
        <v>54450.5949743308</v>
      </c>
      <c r="BB37" t="n">
        <v>1212905.36250362</v>
      </c>
      <c r="BC37" t="n">
        <v>0</v>
      </c>
      <c r="BD37" t="n">
        <v>7753006.46216769</v>
      </c>
      <c r="BE37" t="n">
        <v>263234.719799103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11525.9520742444</v>
      </c>
      <c r="BL37" t="n">
        <v>74398.3355243409</v>
      </c>
      <c r="BM37" t="n">
        <v>190317.200465973</v>
      </c>
      <c r="BN37" t="n">
        <v>543388.374114105</v>
      </c>
      <c r="BO37" t="n">
        <v>10162056.9869251</v>
      </c>
      <c r="BP37" t="n">
        <v>0</v>
      </c>
      <c r="BQ37" t="n">
        <v>0</v>
      </c>
      <c r="BR37" t="n">
        <v>0</v>
      </c>
      <c r="BS37" t="n">
        <v>0</v>
      </c>
      <c r="BT37" t="n">
        <v>6391.82081318184</v>
      </c>
      <c r="BU37" t="n">
        <v>1235417185.97579</v>
      </c>
      <c r="BV37" t="n">
        <v>0</v>
      </c>
      <c r="BW37" t="n">
        <v>132946895.462873</v>
      </c>
      <c r="BX37" t="n">
        <v>0</v>
      </c>
      <c r="BY37" t="n">
        <v>28288.2176650247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143113.431137605</v>
      </c>
      <c r="C38" t="n">
        <v>0</v>
      </c>
      <c r="D38" t="n">
        <v>0</v>
      </c>
      <c r="E38" t="n">
        <v>0</v>
      </c>
      <c r="F38" t="n">
        <v>0</v>
      </c>
      <c r="G38" t="n">
        <v>249085.332754933</v>
      </c>
      <c r="H38" t="n">
        <v>541164.415258159</v>
      </c>
      <c r="I38" t="n">
        <v>0</v>
      </c>
      <c r="J38" t="n">
        <v>4232.77065624653</v>
      </c>
      <c r="K38" t="n">
        <v>0</v>
      </c>
      <c r="L38" t="n">
        <v>6969.43550460152</v>
      </c>
      <c r="M38" t="n">
        <v>25849.5371844039</v>
      </c>
      <c r="N38" t="n">
        <v>1760.83576799274</v>
      </c>
      <c r="O38" t="n">
        <v>1185.24437348589</v>
      </c>
      <c r="P38" t="n">
        <v>4644.06046183371</v>
      </c>
      <c r="Q38" t="n">
        <v>0</v>
      </c>
      <c r="R38" t="n">
        <v>12555.9505035767</v>
      </c>
      <c r="S38" t="n">
        <v>22168.0050803482</v>
      </c>
      <c r="T38" t="n">
        <v>49202.4913218009</v>
      </c>
      <c r="U38" t="n">
        <v>0</v>
      </c>
      <c r="V38" t="n">
        <v>0</v>
      </c>
      <c r="W38" t="n">
        <v>13109.8922122468</v>
      </c>
      <c r="X38" t="n">
        <v>34635.7679724965</v>
      </c>
      <c r="Y38" t="n">
        <v>2857.24250992017</v>
      </c>
      <c r="Z38" t="n">
        <v>110158.682718064</v>
      </c>
      <c r="AA38" t="n">
        <v>3175.67009820446</v>
      </c>
      <c r="AB38" t="n">
        <v>22974.2317966181</v>
      </c>
      <c r="AC38" t="n">
        <v>54301.7567984788</v>
      </c>
      <c r="AD38" t="n">
        <v>150046.414053092</v>
      </c>
      <c r="AE38" t="n">
        <v>40056.6407816342</v>
      </c>
      <c r="AF38" t="n">
        <v>182023.67528744</v>
      </c>
      <c r="AG38" t="n">
        <v>0</v>
      </c>
      <c r="AH38" t="n">
        <v>6183.69202788724</v>
      </c>
      <c r="AI38" t="n">
        <v>0</v>
      </c>
      <c r="AJ38" t="n">
        <v>674821.944178862</v>
      </c>
      <c r="AK38" t="n">
        <v>61734.3934040047</v>
      </c>
      <c r="AL38" t="n">
        <v>0</v>
      </c>
      <c r="AM38" t="n">
        <v>77413.8445834751</v>
      </c>
      <c r="AN38" t="n">
        <v>0</v>
      </c>
      <c r="AO38" t="n">
        <v>1173.1869701139</v>
      </c>
      <c r="AP38" t="n">
        <v>0</v>
      </c>
      <c r="AQ38" t="n">
        <v>0</v>
      </c>
      <c r="AR38" t="n">
        <v>1365.04578684121</v>
      </c>
      <c r="AS38" t="n">
        <v>10777.622691325</v>
      </c>
      <c r="AT38" t="n">
        <v>3266.31544995162</v>
      </c>
      <c r="AU38" t="n">
        <v>3799.35286357078</v>
      </c>
      <c r="AV38" t="n">
        <v>0</v>
      </c>
      <c r="AW38" t="n">
        <v>262696.665404262</v>
      </c>
      <c r="AX38" t="n">
        <v>51605.4117236446</v>
      </c>
      <c r="AY38" t="n">
        <v>5607.47663551402</v>
      </c>
      <c r="AZ38" t="n">
        <v>0</v>
      </c>
      <c r="BA38" t="n">
        <v>2178.02379897323</v>
      </c>
      <c r="BB38" t="n">
        <v>12177.7646837713</v>
      </c>
      <c r="BC38" t="n">
        <v>0</v>
      </c>
      <c r="BD38" t="n">
        <v>218846.625766871</v>
      </c>
      <c r="BE38" t="n">
        <v>0</v>
      </c>
      <c r="BF38" t="n">
        <v>38769.9377310113</v>
      </c>
      <c r="BG38" t="n">
        <v>7531.05817991982</v>
      </c>
      <c r="BH38" t="n">
        <v>31706.4529155841</v>
      </c>
      <c r="BI38" t="n">
        <v>6690.07868455563</v>
      </c>
      <c r="BJ38" t="n">
        <v>5547.16005010075</v>
      </c>
      <c r="BK38" t="n">
        <v>18441.523318791</v>
      </c>
      <c r="BL38" t="n">
        <v>70265.0946618775</v>
      </c>
      <c r="BM38" t="n">
        <v>213385.952037606</v>
      </c>
      <c r="BN38" t="n">
        <v>5593951.63429094</v>
      </c>
      <c r="BO38" t="n">
        <v>85895.1500845429</v>
      </c>
      <c r="BP38" t="n">
        <v>0</v>
      </c>
      <c r="BQ38" t="n">
        <v>0</v>
      </c>
      <c r="BR38" t="n">
        <v>0</v>
      </c>
      <c r="BS38" t="n">
        <v>71563.3063657066</v>
      </c>
      <c r="BT38" t="n">
        <v>0</v>
      </c>
      <c r="BU38" t="n">
        <v>1249358401.73391</v>
      </c>
      <c r="BV38" t="n">
        <v>0</v>
      </c>
      <c r="BW38" t="n">
        <v>1598522.35446366</v>
      </c>
      <c r="BX38" t="n">
        <v>6773.3998070494</v>
      </c>
      <c r="BY38" t="n">
        <v>40428.3856497399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1670.10941379842</v>
      </c>
      <c r="C39" t="n">
        <v>0</v>
      </c>
      <c r="D39" t="n">
        <v>0</v>
      </c>
      <c r="E39" t="n">
        <v>22.2685066179009</v>
      </c>
      <c r="F39" t="n">
        <v>0.272435157175645</v>
      </c>
      <c r="G39" t="n">
        <v>2800.21230496061</v>
      </c>
      <c r="H39" t="n">
        <v>17798.1122630217</v>
      </c>
      <c r="I39" t="n">
        <v>600.781247401736</v>
      </c>
      <c r="J39" t="n">
        <v>102.90773757883</v>
      </c>
      <c r="K39" t="n">
        <v>6.81653236983687</v>
      </c>
      <c r="L39" t="n">
        <v>338.883865073905</v>
      </c>
      <c r="M39" t="n">
        <v>1089.32671188174</v>
      </c>
      <c r="N39" t="n">
        <v>93.4029731426511</v>
      </c>
      <c r="O39" t="n">
        <v>28.8158340857594</v>
      </c>
      <c r="P39" t="n">
        <v>433.665812033159</v>
      </c>
      <c r="Q39" t="n">
        <v>559.780836831653</v>
      </c>
      <c r="R39" t="n">
        <v>344.113640034797</v>
      </c>
      <c r="S39" t="n">
        <v>579.039094849078</v>
      </c>
      <c r="T39" t="n">
        <v>1910.84197284279</v>
      </c>
      <c r="U39" t="n">
        <v>84.6812969458455</v>
      </c>
      <c r="V39" t="n">
        <v>0</v>
      </c>
      <c r="W39" t="n">
        <v>985.164254187752</v>
      </c>
      <c r="X39" t="n">
        <v>513.99068330228</v>
      </c>
      <c r="Y39" t="n">
        <v>25.2602533284841</v>
      </c>
      <c r="Z39" t="n">
        <v>1403.54549868946</v>
      </c>
      <c r="AA39" t="n">
        <v>168.452410090828</v>
      </c>
      <c r="AB39" t="n">
        <v>380.831505285472</v>
      </c>
      <c r="AC39" t="n">
        <v>1920.27960965712</v>
      </c>
      <c r="AD39" t="n">
        <v>1386.82408249473</v>
      </c>
      <c r="AE39" t="n">
        <v>216.4139762825</v>
      </c>
      <c r="AF39" t="n">
        <v>2029.03080084747</v>
      </c>
      <c r="AG39" t="n">
        <v>0</v>
      </c>
      <c r="AH39" t="n">
        <v>82.002994103985</v>
      </c>
      <c r="AI39" t="n">
        <v>2.96230798522545</v>
      </c>
      <c r="AJ39" t="n">
        <v>8477.93258276604</v>
      </c>
      <c r="AK39" t="n">
        <v>701.717412578288</v>
      </c>
      <c r="AL39" t="n">
        <v>2.49938532043136</v>
      </c>
      <c r="AM39" t="n">
        <v>905.821932010349</v>
      </c>
      <c r="AN39" t="n">
        <v>27.3766564931186</v>
      </c>
      <c r="AO39" t="n">
        <v>25.9297206693718</v>
      </c>
      <c r="AP39" t="n">
        <v>6.08056379247252</v>
      </c>
      <c r="AQ39" t="n">
        <v>19.023129722513</v>
      </c>
      <c r="AR39" t="n">
        <v>15.0850873967083</v>
      </c>
      <c r="AS39" t="n">
        <v>178.654864688026</v>
      </c>
      <c r="AT39" t="n">
        <v>38.502369763881</v>
      </c>
      <c r="AU39" t="n">
        <v>50.38386599224</v>
      </c>
      <c r="AV39" t="n">
        <v>0</v>
      </c>
      <c r="AW39" t="n">
        <v>6029.42064460071</v>
      </c>
      <c r="AX39" t="n">
        <v>1627.91911250136</v>
      </c>
      <c r="AY39" t="n">
        <v>388.333340810127</v>
      </c>
      <c r="AZ39" t="n">
        <v>10.5489336013707</v>
      </c>
      <c r="BA39" t="n">
        <v>38.5108598423229</v>
      </c>
      <c r="BB39" t="n">
        <v>409.111580592518</v>
      </c>
      <c r="BC39" t="n">
        <v>0</v>
      </c>
      <c r="BD39" t="n">
        <v>4230.70786976343</v>
      </c>
      <c r="BE39" t="n">
        <v>53.7046229596299</v>
      </c>
      <c r="BF39" t="n">
        <v>971.143422877702</v>
      </c>
      <c r="BG39" t="n">
        <v>166.45107721504</v>
      </c>
      <c r="BH39" t="n">
        <v>224.247827761091</v>
      </c>
      <c r="BI39" t="n">
        <v>29.572757960277</v>
      </c>
      <c r="BJ39" t="n">
        <v>73.5618350381675</v>
      </c>
      <c r="BK39" t="n">
        <v>40.7593640702922</v>
      </c>
      <c r="BL39" t="n">
        <v>127.893760546544</v>
      </c>
      <c r="BM39" t="n">
        <v>1555.08645597708</v>
      </c>
      <c r="BN39" t="n">
        <v>5455.67957838544</v>
      </c>
      <c r="BO39" t="n">
        <v>3753.09036547319</v>
      </c>
      <c r="BP39" t="n">
        <v>0</v>
      </c>
      <c r="BQ39" t="n">
        <v>61.2208816779413</v>
      </c>
      <c r="BR39" t="n">
        <v>0</v>
      </c>
      <c r="BS39" t="n">
        <v>347.971508491135</v>
      </c>
      <c r="BT39" t="n">
        <v>0</v>
      </c>
      <c r="BU39" t="n">
        <v>3384021.53357523</v>
      </c>
      <c r="BV39" t="n">
        <v>0</v>
      </c>
      <c r="BW39" t="n">
        <v>38727.5497408354</v>
      </c>
      <c r="BX39" t="n">
        <v>10375.5443553903</v>
      </c>
      <c r="BY39" t="n">
        <v>2787.09629136312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4493469.52071886</v>
      </c>
      <c r="C40" t="n">
        <v>155676.177095557</v>
      </c>
      <c r="D40" t="n">
        <v>0</v>
      </c>
      <c r="E40" t="n">
        <v>89966.0299664105</v>
      </c>
      <c r="F40" t="n">
        <v>170.643951856437</v>
      </c>
      <c r="G40" t="n">
        <v>8287442.36390564</v>
      </c>
      <c r="H40" t="n">
        <v>197659060.517555</v>
      </c>
      <c r="I40" t="n">
        <v>3160992.04483696</v>
      </c>
      <c r="J40" t="n">
        <v>34865.8341091629</v>
      </c>
      <c r="K40" t="n">
        <v>7098.27636002911</v>
      </c>
      <c r="L40" t="n">
        <v>466018.427594085</v>
      </c>
      <c r="M40" t="n">
        <v>1815296.00882997</v>
      </c>
      <c r="N40" t="n">
        <v>155280.399522543</v>
      </c>
      <c r="O40" t="n">
        <v>73509.6360084044</v>
      </c>
      <c r="P40" t="n">
        <v>475920.746664652</v>
      </c>
      <c r="Q40" t="n">
        <v>368158.7057955</v>
      </c>
      <c r="R40" t="n">
        <v>798196.520652091</v>
      </c>
      <c r="S40" t="n">
        <v>1335815.33508825</v>
      </c>
      <c r="T40" t="n">
        <v>3381930.68511069</v>
      </c>
      <c r="U40" t="n">
        <v>266091.189306693</v>
      </c>
      <c r="V40" t="n">
        <v>10386.8805320941</v>
      </c>
      <c r="W40" t="n">
        <v>1206921.7734761</v>
      </c>
      <c r="X40" t="n">
        <v>2052234.32205628</v>
      </c>
      <c r="Y40" t="n">
        <v>202127.944246476</v>
      </c>
      <c r="Z40" t="n">
        <v>6792343.72205829</v>
      </c>
      <c r="AA40" t="n">
        <v>310823.001207293</v>
      </c>
      <c r="AB40" t="n">
        <v>1555676.22802444</v>
      </c>
      <c r="AC40" t="n">
        <v>5367480.16312538</v>
      </c>
      <c r="AD40" t="n">
        <v>2141432.28550598</v>
      </c>
      <c r="AE40" t="n">
        <v>2333381.10865784</v>
      </c>
      <c r="AF40" t="n">
        <v>5437542.62235642</v>
      </c>
      <c r="AG40" t="n">
        <v>3386.67472526371</v>
      </c>
      <c r="AH40" t="n">
        <v>212731.89114515</v>
      </c>
      <c r="AI40" t="n">
        <v>303279.379387445</v>
      </c>
      <c r="AJ40" t="n">
        <v>24152403.0523124</v>
      </c>
      <c r="AK40" t="n">
        <v>1929360.13209486</v>
      </c>
      <c r="AL40" t="n">
        <v>7671.08938614496</v>
      </c>
      <c r="AM40" t="n">
        <v>3375884.23889831</v>
      </c>
      <c r="AN40" t="n">
        <v>24006.9059421211</v>
      </c>
      <c r="AO40" t="n">
        <v>71624.9243555504</v>
      </c>
      <c r="AP40" t="n">
        <v>9997.7185223692</v>
      </c>
      <c r="AQ40" t="n">
        <v>22242.1359154617</v>
      </c>
      <c r="AR40" t="n">
        <v>62172.9497704246</v>
      </c>
      <c r="AS40" t="n">
        <v>665824.176462893</v>
      </c>
      <c r="AT40" t="n">
        <v>159319.96916914</v>
      </c>
      <c r="AU40" t="n">
        <v>195138.020858358</v>
      </c>
      <c r="AV40" t="n">
        <v>0</v>
      </c>
      <c r="AW40" t="n">
        <v>15416304.2567201</v>
      </c>
      <c r="AX40" t="n">
        <v>2659590.81376426</v>
      </c>
      <c r="AY40" t="n">
        <v>298872.914144373</v>
      </c>
      <c r="AZ40" t="n">
        <v>50877.6487193729</v>
      </c>
      <c r="BA40" t="n">
        <v>113975.833461738</v>
      </c>
      <c r="BB40" t="n">
        <v>837880.961540836</v>
      </c>
      <c r="BC40" t="n">
        <v>0</v>
      </c>
      <c r="BD40" t="n">
        <v>4275498.69961417</v>
      </c>
      <c r="BE40" t="n">
        <v>86339.373084163</v>
      </c>
      <c r="BF40" t="n">
        <v>542690.653898006</v>
      </c>
      <c r="BG40" t="n">
        <v>1061879.87976194</v>
      </c>
      <c r="BH40" t="n">
        <v>940211.33256724</v>
      </c>
      <c r="BI40" t="n">
        <v>486237.987311336</v>
      </c>
      <c r="BJ40" t="n">
        <v>301033.702099332</v>
      </c>
      <c r="BK40" t="n">
        <v>692508.159552056</v>
      </c>
      <c r="BL40" t="n">
        <v>1341812.75943577</v>
      </c>
      <c r="BM40" t="n">
        <v>6533336.2110718</v>
      </c>
      <c r="BN40" t="n">
        <v>23039021.6639828</v>
      </c>
      <c r="BO40" t="n">
        <v>6710315.95166027</v>
      </c>
      <c r="BP40" t="n">
        <v>2449.33207684571</v>
      </c>
      <c r="BQ40" t="n">
        <v>205793.640381337</v>
      </c>
      <c r="BR40" t="n">
        <v>8196.27205476851</v>
      </c>
      <c r="BS40" t="n">
        <v>1272573.46163331</v>
      </c>
      <c r="BT40" t="n">
        <v>0</v>
      </c>
      <c r="BU40" t="n">
        <v>2973730165.78561</v>
      </c>
      <c r="BV40" t="n">
        <v>0</v>
      </c>
      <c r="BW40" t="n">
        <v>131228378.690969</v>
      </c>
      <c r="BX40" t="n">
        <v>45773898.1044093</v>
      </c>
      <c r="BY40" t="n">
        <v>23835825.4278563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234482.939194905</v>
      </c>
      <c r="C41" t="n">
        <v>5638.52837202061</v>
      </c>
      <c r="D41" t="n">
        <v>0</v>
      </c>
      <c r="E41" t="n">
        <v>6516.10626839381</v>
      </c>
      <c r="F41" t="n">
        <v>1669.34562182148</v>
      </c>
      <c r="G41" t="n">
        <v>1437250.91889276</v>
      </c>
      <c r="H41" t="n">
        <v>536627.859050841</v>
      </c>
      <c r="I41" t="n">
        <v>617485.917175639</v>
      </c>
      <c r="J41" t="n">
        <v>302130.45574488</v>
      </c>
      <c r="K41" t="n">
        <v>37643.8050711057</v>
      </c>
      <c r="L41" t="n">
        <v>805625.998919888</v>
      </c>
      <c r="M41" t="n">
        <v>284657.920859604</v>
      </c>
      <c r="N41" t="n">
        <v>62937.7169773272</v>
      </c>
      <c r="O41" t="n">
        <v>11355.5995476105</v>
      </c>
      <c r="P41" t="n">
        <v>100689.356451442</v>
      </c>
      <c r="Q41" t="n">
        <v>398924.030288869</v>
      </c>
      <c r="R41" t="n">
        <v>139322.957267236</v>
      </c>
      <c r="S41" t="n">
        <v>190943.973161564</v>
      </c>
      <c r="T41" t="n">
        <v>1199206.47121651</v>
      </c>
      <c r="U41" t="n">
        <v>102525.898359654</v>
      </c>
      <c r="V41" t="n">
        <v>22004.6286509124</v>
      </c>
      <c r="W41" t="n">
        <v>1146239.87561347</v>
      </c>
      <c r="X41" t="n">
        <v>223858.023981534</v>
      </c>
      <c r="Y41" t="n">
        <v>54182.6484922347</v>
      </c>
      <c r="Z41" t="n">
        <v>381589.283333377</v>
      </c>
      <c r="AA41" t="n">
        <v>645755.323561777</v>
      </c>
      <c r="AB41" t="n">
        <v>10440849.6534088</v>
      </c>
      <c r="AC41" t="n">
        <v>417852.683548537</v>
      </c>
      <c r="AD41" t="n">
        <v>120642.609019273</v>
      </c>
      <c r="AE41" t="n">
        <v>134483.204115652</v>
      </c>
      <c r="AF41" t="n">
        <v>361862.604299283</v>
      </c>
      <c r="AG41" t="n">
        <v>61564.358610278</v>
      </c>
      <c r="AH41" t="n">
        <v>33279.3298080095</v>
      </c>
      <c r="AI41" t="n">
        <v>35458.366103062</v>
      </c>
      <c r="AJ41" t="n">
        <v>2125235.53164456</v>
      </c>
      <c r="AK41" t="n">
        <v>30064.1935759825</v>
      </c>
      <c r="AL41" t="n">
        <v>3779.71660304651</v>
      </c>
      <c r="AM41" t="n">
        <v>737333.112759601</v>
      </c>
      <c r="AN41" t="n">
        <v>306985.767440637</v>
      </c>
      <c r="AO41" t="n">
        <v>287776.044843278</v>
      </c>
      <c r="AP41" t="n">
        <v>111256.546431471</v>
      </c>
      <c r="AQ41" t="n">
        <v>439386.345800812</v>
      </c>
      <c r="AR41" t="n">
        <v>818966.62067526</v>
      </c>
      <c r="AS41" t="n">
        <v>10549519.7785023</v>
      </c>
      <c r="AT41" t="n">
        <v>1913800.30728848</v>
      </c>
      <c r="AU41" t="n">
        <v>267781.613174056</v>
      </c>
      <c r="AV41" t="n">
        <v>612482.209474056</v>
      </c>
      <c r="AW41" t="n">
        <v>17551.0464640388</v>
      </c>
      <c r="AX41" t="n">
        <v>15722955.3977896</v>
      </c>
      <c r="AY41" t="n">
        <v>1365470.31586479</v>
      </c>
      <c r="AZ41" t="n">
        <v>1145229.32173137</v>
      </c>
      <c r="BA41" t="n">
        <v>4443059.52120551</v>
      </c>
      <c r="BB41" t="n">
        <v>6669279.46691225</v>
      </c>
      <c r="BC41" t="n">
        <v>806869.84006484</v>
      </c>
      <c r="BD41" t="n">
        <v>8244405.52782601</v>
      </c>
      <c r="BE41" t="n">
        <v>1037738.6056819</v>
      </c>
      <c r="BF41" t="n">
        <v>1651446.87058556</v>
      </c>
      <c r="BG41" t="n">
        <v>6547213.28168973</v>
      </c>
      <c r="BH41" t="n">
        <v>1134294.6391359</v>
      </c>
      <c r="BI41" t="n">
        <v>1095215.7819939</v>
      </c>
      <c r="BJ41" t="n">
        <v>2055647.35219575</v>
      </c>
      <c r="BK41" t="n">
        <v>165027.389860909</v>
      </c>
      <c r="BL41" t="n">
        <v>367924.626718176</v>
      </c>
      <c r="BM41" t="n">
        <v>594105.012710894</v>
      </c>
      <c r="BN41" t="n">
        <v>4782145.06989797</v>
      </c>
      <c r="BO41" t="n">
        <v>1187371.32471767</v>
      </c>
      <c r="BP41" t="n">
        <v>3067812.62155992</v>
      </c>
      <c r="BQ41" t="n">
        <v>7301266.82505229</v>
      </c>
      <c r="BR41" t="n">
        <v>502257.208006904</v>
      </c>
      <c r="BS41" t="n">
        <v>6231541.26623642</v>
      </c>
      <c r="BT41" t="n">
        <v>90171.3339731666</v>
      </c>
      <c r="BU41" t="n">
        <v>206778801.825469</v>
      </c>
      <c r="BV41" t="n">
        <v>0</v>
      </c>
      <c r="BW41" t="n">
        <v>113650.698241077</v>
      </c>
      <c r="BX41" t="n">
        <v>13626.4867789047</v>
      </c>
      <c r="BY41" t="n">
        <v>6257.38245631419</v>
      </c>
      <c r="BZ41" t="n">
        <v>18585.2561671372</v>
      </c>
      <c r="CA41" t="n">
        <v>32039604.9465025</v>
      </c>
      <c r="CB41" t="n">
        <v>-170030503.437194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17511.7339392058</v>
      </c>
      <c r="CN41" t="n">
        <v>5003.35255405879</v>
      </c>
    </row>
    <row r="42">
      <c r="A42" t="s">
        <v>153</v>
      </c>
      <c r="B42" t="n">
        <v>3494286.25607785</v>
      </c>
      <c r="C42" t="n">
        <v>154849.090330905</v>
      </c>
      <c r="D42" t="n">
        <v>0</v>
      </c>
      <c r="E42" t="n">
        <v>318064.124401943</v>
      </c>
      <c r="F42" t="n">
        <v>992.963458310253</v>
      </c>
      <c r="G42" t="n">
        <v>3702273.26419625</v>
      </c>
      <c r="H42" t="n">
        <v>3103642.07734059</v>
      </c>
      <c r="I42" t="n">
        <v>3848367.48538558</v>
      </c>
      <c r="J42" t="n">
        <v>2164477.2337968</v>
      </c>
      <c r="K42" t="n">
        <v>548680.157310012</v>
      </c>
      <c r="L42" t="n">
        <v>1827298.10443767</v>
      </c>
      <c r="M42" t="n">
        <v>495017.637361396</v>
      </c>
      <c r="N42" t="n">
        <v>71287.1148329295</v>
      </c>
      <c r="O42" t="n">
        <v>77403.4107450408</v>
      </c>
      <c r="P42" t="n">
        <v>357842.008908886</v>
      </c>
      <c r="Q42" t="n">
        <v>931568.342387142</v>
      </c>
      <c r="R42" t="n">
        <v>332832.084566463</v>
      </c>
      <c r="S42" t="n">
        <v>253505.470165639</v>
      </c>
      <c r="T42" t="n">
        <v>10954052.5292353</v>
      </c>
      <c r="U42" t="n">
        <v>236978.67602124</v>
      </c>
      <c r="V42" t="n">
        <v>10331.6964212405</v>
      </c>
      <c r="W42" t="n">
        <v>15935184.7788684</v>
      </c>
      <c r="X42" t="n">
        <v>125198.45961297</v>
      </c>
      <c r="Y42" t="n">
        <v>1298933.20017185</v>
      </c>
      <c r="Z42" t="n">
        <v>4956323.44047328</v>
      </c>
      <c r="AA42" t="n">
        <v>2777953.10251739</v>
      </c>
      <c r="AB42" t="n">
        <v>435987.929546205</v>
      </c>
      <c r="AC42" t="n">
        <v>78514.1684843971</v>
      </c>
      <c r="AD42" t="n">
        <v>378019.0451558</v>
      </c>
      <c r="AE42" t="n">
        <v>81513.3071258267</v>
      </c>
      <c r="AF42" t="n">
        <v>223135.571575914</v>
      </c>
      <c r="AG42" t="n">
        <v>56930.7219834175</v>
      </c>
      <c r="AH42" t="n">
        <v>181053.545847193</v>
      </c>
      <c r="AI42" t="n">
        <v>8397.61296457041</v>
      </c>
      <c r="AJ42" t="n">
        <v>6900038.27716936</v>
      </c>
      <c r="AK42" t="n">
        <v>34004.1585657264</v>
      </c>
      <c r="AL42" t="n">
        <v>2452.60732866897</v>
      </c>
      <c r="AM42" t="n">
        <v>288608.001981975</v>
      </c>
      <c r="AN42" t="n">
        <v>59698.4011322942</v>
      </c>
      <c r="AO42" t="n">
        <v>18093.8135075198</v>
      </c>
      <c r="AP42" t="n">
        <v>2651.89386063103</v>
      </c>
      <c r="AQ42" t="n">
        <v>219856.916239353</v>
      </c>
      <c r="AR42" t="n">
        <v>17763.3095307098</v>
      </c>
      <c r="AS42" t="n">
        <v>90902.101763762</v>
      </c>
      <c r="AT42" t="n">
        <v>23613.6044835915</v>
      </c>
      <c r="AU42" t="n">
        <v>249035.602708029</v>
      </c>
      <c r="AV42" t="n">
        <v>5767.06802951106</v>
      </c>
      <c r="AW42" t="n">
        <v>138783.863264768</v>
      </c>
      <c r="AX42" t="n">
        <v>354989.179242772</v>
      </c>
      <c r="AY42" t="n">
        <v>68465.6460859978</v>
      </c>
      <c r="AZ42" t="n">
        <v>42556.1744236404</v>
      </c>
      <c r="BA42" t="n">
        <v>46187.8979877232</v>
      </c>
      <c r="BB42" t="n">
        <v>875687.80445807</v>
      </c>
      <c r="BC42" t="n">
        <v>62505.274903777</v>
      </c>
      <c r="BD42" t="n">
        <v>877558.50934633</v>
      </c>
      <c r="BE42" t="n">
        <v>109302.662650371</v>
      </c>
      <c r="BF42" t="n">
        <v>141180.399757765</v>
      </c>
      <c r="BG42" t="n">
        <v>749529.894733541</v>
      </c>
      <c r="BH42" t="n">
        <v>687658.908208613</v>
      </c>
      <c r="BI42" t="n">
        <v>274070.979519163</v>
      </c>
      <c r="BJ42" t="n">
        <v>660359.683013329</v>
      </c>
      <c r="BK42" t="n">
        <v>18887.2455696021</v>
      </c>
      <c r="BL42" t="n">
        <v>169325.567781302</v>
      </c>
      <c r="BM42" t="n">
        <v>400257.513805662</v>
      </c>
      <c r="BN42" t="n">
        <v>1904304.40052541</v>
      </c>
      <c r="BO42" t="n">
        <v>275457.307795951</v>
      </c>
      <c r="BP42" t="n">
        <v>213787.001219453</v>
      </c>
      <c r="BQ42" t="n">
        <v>2483103.47196054</v>
      </c>
      <c r="BR42" t="n">
        <v>2046334.31499686</v>
      </c>
      <c r="BS42" t="n">
        <v>4030250.26199655</v>
      </c>
      <c r="BT42" t="n">
        <v>2173887.65053173</v>
      </c>
      <c r="BU42" t="n">
        <v>15265518.0545912</v>
      </c>
      <c r="BV42" t="n">
        <v>0</v>
      </c>
      <c r="BW42" t="n">
        <v>2857585.99609414</v>
      </c>
      <c r="BX42" t="n">
        <v>0</v>
      </c>
      <c r="BY42" t="n">
        <v>69811.8203716061</v>
      </c>
      <c r="BZ42" t="n">
        <v>903359.12588082</v>
      </c>
      <c r="CA42" t="n">
        <v>19191740.8815126</v>
      </c>
      <c r="CB42" t="n">
        <v>671348.042386314</v>
      </c>
      <c r="CC42" t="n">
        <v>0</v>
      </c>
      <c r="CD42" t="n">
        <v>0</v>
      </c>
      <c r="CE42" t="n">
        <v>1294682.54124696</v>
      </c>
      <c r="CF42" t="n">
        <v>0</v>
      </c>
      <c r="CG42" t="n">
        <v>0</v>
      </c>
      <c r="CH42" t="n">
        <v>0</v>
      </c>
      <c r="CI42" t="n">
        <v>1899497.74299736</v>
      </c>
      <c r="CJ42" t="n">
        <v>0</v>
      </c>
      <c r="CK42" t="n">
        <v>0</v>
      </c>
      <c r="CL42" t="n">
        <v>0</v>
      </c>
      <c r="CM42" t="n">
        <v>731684.081035473</v>
      </c>
      <c r="CN42" t="n">
        <v>0</v>
      </c>
    </row>
    <row r="43">
      <c r="A43" t="s">
        <v>154</v>
      </c>
      <c r="B43" t="n">
        <v>1640079.92083695</v>
      </c>
      <c r="C43" t="n">
        <v>107096.308932897</v>
      </c>
      <c r="D43" t="n">
        <v>0</v>
      </c>
      <c r="E43" t="n">
        <v>138896.006446461</v>
      </c>
      <c r="F43" t="n">
        <v>765.991166185305</v>
      </c>
      <c r="G43" t="n">
        <v>771857.018783805</v>
      </c>
      <c r="H43" t="n">
        <v>2638500.18731131</v>
      </c>
      <c r="I43" t="n">
        <v>67955.6810819253</v>
      </c>
      <c r="J43" t="n">
        <v>634915.598436979</v>
      </c>
      <c r="K43" t="n">
        <v>159989.324111088</v>
      </c>
      <c r="L43" t="n">
        <v>442559.154542197</v>
      </c>
      <c r="M43" t="n">
        <v>99951.543779695</v>
      </c>
      <c r="N43" t="n">
        <v>29934.2080558765</v>
      </c>
      <c r="O43" t="n">
        <v>32594.2202708619</v>
      </c>
      <c r="P43" t="n">
        <v>41216.0365987742</v>
      </c>
      <c r="Q43" t="n">
        <v>146631.238843981</v>
      </c>
      <c r="R43" t="n">
        <v>30134.2812085841</v>
      </c>
      <c r="S43" t="n">
        <v>104794.205834373</v>
      </c>
      <c r="T43" t="n">
        <v>3170046.22659032</v>
      </c>
      <c r="U43" t="n">
        <v>178798.419052756</v>
      </c>
      <c r="V43" t="n">
        <v>0</v>
      </c>
      <c r="W43" t="n">
        <v>1822275.01750231</v>
      </c>
      <c r="X43" t="n">
        <v>2473.98342660689</v>
      </c>
      <c r="Y43" t="n">
        <v>111432.457886887</v>
      </c>
      <c r="Z43" t="n">
        <v>1563821.29976231</v>
      </c>
      <c r="AA43" t="n">
        <v>441418.14365042</v>
      </c>
      <c r="AB43" t="n">
        <v>68922.6953898542</v>
      </c>
      <c r="AC43" t="n">
        <v>59238.2801437951</v>
      </c>
      <c r="AD43" t="n">
        <v>102304.373218017</v>
      </c>
      <c r="AE43" t="n">
        <v>22253.6893231301</v>
      </c>
      <c r="AF43" t="n">
        <v>83097.7648051355</v>
      </c>
      <c r="AG43" t="n">
        <v>14677.9830235649</v>
      </c>
      <c r="AH43" t="n">
        <v>17005.1530766899</v>
      </c>
      <c r="AI43" t="n">
        <v>2010.43881693408</v>
      </c>
      <c r="AJ43" t="n">
        <v>58118.6363407633</v>
      </c>
      <c r="AK43" t="n">
        <v>4409.59952885748</v>
      </c>
      <c r="AL43" t="n">
        <v>2827.10940913413</v>
      </c>
      <c r="AM43" t="n">
        <v>20491.9000368022</v>
      </c>
      <c r="AN43" t="n">
        <v>12386.5340057244</v>
      </c>
      <c r="AO43" t="n">
        <v>2346.3739402278</v>
      </c>
      <c r="AP43" t="n">
        <v>0</v>
      </c>
      <c r="AQ43" t="n">
        <v>27255.4723278353</v>
      </c>
      <c r="AR43" t="n">
        <v>7507.75182762664</v>
      </c>
      <c r="AS43" t="n">
        <v>13472.0283641562</v>
      </c>
      <c r="AT43" t="n">
        <v>2177.54363330108</v>
      </c>
      <c r="AU43" t="n">
        <v>0</v>
      </c>
      <c r="AV43" t="n">
        <v>2393.16239316239</v>
      </c>
      <c r="AW43" t="n">
        <v>55570.4484509016</v>
      </c>
      <c r="AX43" t="n">
        <v>110247.925045968</v>
      </c>
      <c r="AY43" t="n">
        <v>20560.7476635514</v>
      </c>
      <c r="AZ43" t="n">
        <v>0</v>
      </c>
      <c r="BA43" t="n">
        <v>17424.1903917859</v>
      </c>
      <c r="BB43" t="n">
        <v>3667942.72275191</v>
      </c>
      <c r="BC43" t="n">
        <v>385465.084742419</v>
      </c>
      <c r="BD43" t="n">
        <v>423103.476482617</v>
      </c>
      <c r="BE43" t="n">
        <v>68846.0036397653</v>
      </c>
      <c r="BF43" t="n">
        <v>1473257.63377843</v>
      </c>
      <c r="BG43" t="n">
        <v>621312.299843385</v>
      </c>
      <c r="BH43" t="n">
        <v>1204845.21079219</v>
      </c>
      <c r="BI43" t="n">
        <v>60210.7081610007</v>
      </c>
      <c r="BJ43" t="n">
        <v>83207.4007515112</v>
      </c>
      <c r="BK43" t="n">
        <v>6915.57124454661</v>
      </c>
      <c r="BL43" t="n">
        <v>49598.8903495606</v>
      </c>
      <c r="BM43" t="n">
        <v>51904.6910361745</v>
      </c>
      <c r="BN43" t="n">
        <v>278012.656523495</v>
      </c>
      <c r="BO43" t="n">
        <v>125539.065508178</v>
      </c>
      <c r="BP43" t="n">
        <v>2167331.79841392</v>
      </c>
      <c r="BQ43" t="n">
        <v>1066423.4881554</v>
      </c>
      <c r="BR43" t="n">
        <v>3890610.91627628</v>
      </c>
      <c r="BS43" t="n">
        <v>2451043.24302545</v>
      </c>
      <c r="BT43" t="n">
        <v>536912.948307274</v>
      </c>
      <c r="BU43" t="n">
        <v>100714753.958794</v>
      </c>
      <c r="BV43" t="n">
        <v>0</v>
      </c>
      <c r="BW43" t="n">
        <v>3458.92951967877</v>
      </c>
      <c r="BX43" t="n">
        <v>0</v>
      </c>
      <c r="BY43" t="n">
        <v>0</v>
      </c>
      <c r="BZ43" t="n">
        <v>42890.7260440167</v>
      </c>
      <c r="CA43" t="n">
        <v>4224044.72943171</v>
      </c>
      <c r="CB43" t="n">
        <v>9000980.01742187</v>
      </c>
      <c r="CC43" t="n">
        <v>0</v>
      </c>
      <c r="CD43" t="n">
        <v>0</v>
      </c>
      <c r="CE43" t="n">
        <v>58823.5294117647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13270350.7923594</v>
      </c>
      <c r="C44" t="n">
        <v>2420473.54374428</v>
      </c>
      <c r="D44" t="n">
        <v>0</v>
      </c>
      <c r="E44" t="n">
        <v>405025.343397772</v>
      </c>
      <c r="F44" t="n">
        <v>3385.6256087089</v>
      </c>
      <c r="G44" t="n">
        <v>2529432.72926237</v>
      </c>
      <c r="H44" t="n">
        <v>32917920.836417</v>
      </c>
      <c r="I44" t="n">
        <v>10296750.9964282</v>
      </c>
      <c r="J44" t="n">
        <v>4165041.47784859</v>
      </c>
      <c r="K44" t="n">
        <v>1482047.9989554</v>
      </c>
      <c r="L44" t="n">
        <v>7908611.84414579</v>
      </c>
      <c r="M44" t="n">
        <v>3687242.19616909</v>
      </c>
      <c r="N44" t="n">
        <v>1164075.14074037</v>
      </c>
      <c r="O44" t="n">
        <v>455464.588764067</v>
      </c>
      <c r="P44" t="n">
        <v>2258265.51762171</v>
      </c>
      <c r="Q44" t="n">
        <v>6361519.75832326</v>
      </c>
      <c r="R44" t="n">
        <v>1584668.29125579</v>
      </c>
      <c r="S44" t="n">
        <v>1575541.24885051</v>
      </c>
      <c r="T44" t="n">
        <v>56869238.5303983</v>
      </c>
      <c r="U44" t="n">
        <v>2718938.54401164</v>
      </c>
      <c r="V44" t="n">
        <v>797019.720422043</v>
      </c>
      <c r="W44" t="n">
        <v>23817145.0279148</v>
      </c>
      <c r="X44" t="n">
        <v>932429.43846633</v>
      </c>
      <c r="Y44" t="n">
        <v>2938129.22275824</v>
      </c>
      <c r="Z44" t="n">
        <v>8464244.70854925</v>
      </c>
      <c r="AA44" t="n">
        <v>4840938.52391327</v>
      </c>
      <c r="AB44" t="n">
        <v>10746041.7179262</v>
      </c>
      <c r="AC44" t="n">
        <v>5694778.96737591</v>
      </c>
      <c r="AD44" t="n">
        <v>5245264.07774011</v>
      </c>
      <c r="AE44" t="n">
        <v>2468580.91449381</v>
      </c>
      <c r="AF44" t="n">
        <v>12422818.7333754</v>
      </c>
      <c r="AG44" t="n">
        <v>705566.914018043</v>
      </c>
      <c r="AH44" t="n">
        <v>345652.618826693</v>
      </c>
      <c r="AI44" t="n">
        <v>80891.9720327788</v>
      </c>
      <c r="AJ44" t="n">
        <v>18148555.8925074</v>
      </c>
      <c r="AK44" t="n">
        <v>349234.398430915</v>
      </c>
      <c r="AL44" t="n">
        <v>38301.1420231521</v>
      </c>
      <c r="AM44" t="n">
        <v>4659476.46516603</v>
      </c>
      <c r="AN44" t="n">
        <v>2056623.86110686</v>
      </c>
      <c r="AO44" t="n">
        <v>489371.421321276</v>
      </c>
      <c r="AP44" t="n">
        <v>70060.0941932636</v>
      </c>
      <c r="AQ44" t="n">
        <v>1019205.57393843</v>
      </c>
      <c r="AR44" t="n">
        <v>374734.307224507</v>
      </c>
      <c r="AS44" t="n">
        <v>382872.926920667</v>
      </c>
      <c r="AT44" t="n">
        <v>112569.407235545</v>
      </c>
      <c r="AU44" t="n">
        <v>539885.053667964</v>
      </c>
      <c r="AV44" t="n">
        <v>45098.4239105357</v>
      </c>
      <c r="AW44" t="n">
        <v>326770.173110386</v>
      </c>
      <c r="AX44" t="n">
        <v>1290279.48695621</v>
      </c>
      <c r="AY44" t="n">
        <v>624507.312810133</v>
      </c>
      <c r="AZ44" t="n">
        <v>177455.017031733</v>
      </c>
      <c r="BA44" t="n">
        <v>618990.937574367</v>
      </c>
      <c r="BB44" t="n">
        <v>5278185.00653943</v>
      </c>
      <c r="BC44" t="n">
        <v>642180.011349973</v>
      </c>
      <c r="BD44" t="n">
        <v>3281445.0149195</v>
      </c>
      <c r="BE44" t="n">
        <v>1171562.92774672</v>
      </c>
      <c r="BF44" t="n">
        <v>1110172.79776324</v>
      </c>
      <c r="BG44" t="n">
        <v>3680344.32830173</v>
      </c>
      <c r="BH44" t="n">
        <v>6433605.98371077</v>
      </c>
      <c r="BI44" t="n">
        <v>1802496.24470994</v>
      </c>
      <c r="BJ44" t="n">
        <v>3034327.47001138</v>
      </c>
      <c r="BK44" t="n">
        <v>250077.074051796</v>
      </c>
      <c r="BL44" t="n">
        <v>1553583.30992383</v>
      </c>
      <c r="BM44" t="n">
        <v>2053188.14215364</v>
      </c>
      <c r="BN44" t="n">
        <v>7511042.4018961</v>
      </c>
      <c r="BO44" t="n">
        <v>3636114.34999234</v>
      </c>
      <c r="BP44" t="n">
        <v>4649072.9855969</v>
      </c>
      <c r="BQ44" t="n">
        <v>1970376.46520799</v>
      </c>
      <c r="BR44" t="n">
        <v>2629862.90008101</v>
      </c>
      <c r="BS44" t="n">
        <v>12339588.7699443</v>
      </c>
      <c r="BT44" t="n">
        <v>2001021.35935854</v>
      </c>
      <c r="BU44" t="n">
        <v>181270368.664235</v>
      </c>
      <c r="BV44" t="n">
        <v>19441.7190072724</v>
      </c>
      <c r="BW44" t="n">
        <v>38883433.0081982</v>
      </c>
      <c r="BX44" t="n">
        <v>1495199.28294332</v>
      </c>
      <c r="BY44" t="n">
        <v>1373332.02177084</v>
      </c>
      <c r="BZ44" t="n">
        <v>4921995.19534114</v>
      </c>
      <c r="CA44" t="n">
        <v>106861408.523473</v>
      </c>
      <c r="CB44" t="n">
        <v>17377610.6250047</v>
      </c>
      <c r="CC44" t="n">
        <v>0</v>
      </c>
      <c r="CD44" t="n">
        <v>0</v>
      </c>
      <c r="CE44" t="n">
        <v>8238938.1633062</v>
      </c>
      <c r="CF44" t="n">
        <v>369503.893384642</v>
      </c>
      <c r="CG44" t="n">
        <v>0</v>
      </c>
      <c r="CH44" t="n">
        <v>0</v>
      </c>
      <c r="CI44" t="n">
        <v>136916.731189232</v>
      </c>
      <c r="CJ44" t="n">
        <v>459383.218802527</v>
      </c>
      <c r="CK44" t="n">
        <v>0</v>
      </c>
      <c r="CL44" t="n">
        <v>0</v>
      </c>
      <c r="CM44" t="n">
        <v>1210033.28968881</v>
      </c>
      <c r="CN44" t="n">
        <v>111323.062651371</v>
      </c>
    </row>
    <row r="45">
      <c r="A45" t="s">
        <v>156</v>
      </c>
      <c r="B45" t="n">
        <v>0</v>
      </c>
      <c r="C45" t="n">
        <v>13387.0386166121</v>
      </c>
      <c r="D45" t="n">
        <v>0</v>
      </c>
      <c r="E45" t="n">
        <v>3598.34213591868</v>
      </c>
      <c r="F45" t="n">
        <v>1373.50140143572</v>
      </c>
      <c r="G45" t="n">
        <v>3235034.19824925</v>
      </c>
      <c r="H45" t="n">
        <v>1535456.92941669</v>
      </c>
      <c r="I45" t="n">
        <v>543645.448655402</v>
      </c>
      <c r="J45" t="n">
        <v>241267.927406052</v>
      </c>
      <c r="K45" t="n">
        <v>32768.8977095</v>
      </c>
      <c r="L45" t="n">
        <v>693458.832707852</v>
      </c>
      <c r="M45" t="n">
        <v>241262.347054436</v>
      </c>
      <c r="N45" t="n">
        <v>42260.0584318257</v>
      </c>
      <c r="O45" t="n">
        <v>8296.7106144012</v>
      </c>
      <c r="P45" t="n">
        <v>71982.9371584225</v>
      </c>
      <c r="Q45" t="n">
        <v>253272.139821421</v>
      </c>
      <c r="R45" t="n">
        <v>120537.124834336</v>
      </c>
      <c r="S45" t="n">
        <v>181374.58702103</v>
      </c>
      <c r="T45" t="n">
        <v>783725.397482972</v>
      </c>
      <c r="U45" t="n">
        <v>57470.9204098143</v>
      </c>
      <c r="V45" t="n">
        <v>10718.3698919273</v>
      </c>
      <c r="W45" t="n">
        <v>957022.131494018</v>
      </c>
      <c r="X45" t="n">
        <v>190496.723848731</v>
      </c>
      <c r="Y45" t="n">
        <v>42858.6376488025</v>
      </c>
      <c r="Z45" t="n">
        <v>265676.823025918</v>
      </c>
      <c r="AA45" t="n">
        <v>511282.885810919</v>
      </c>
      <c r="AB45" t="n">
        <v>4560385.01162869</v>
      </c>
      <c r="AC45" t="n">
        <v>597319.324783267</v>
      </c>
      <c r="AD45" t="n">
        <v>40921.7492872068</v>
      </c>
      <c r="AE45" t="n">
        <v>129071.398074155</v>
      </c>
      <c r="AF45" t="n">
        <v>589598.426474533</v>
      </c>
      <c r="AG45" t="n">
        <v>698.95157255071</v>
      </c>
      <c r="AH45" t="n">
        <v>485419.824189148</v>
      </c>
      <c r="AI45" t="n">
        <v>0</v>
      </c>
      <c r="AJ45" t="n">
        <v>0</v>
      </c>
      <c r="AK45" t="n">
        <v>0</v>
      </c>
      <c r="AL45" t="n">
        <v>2261.68752730731</v>
      </c>
      <c r="AM45" t="n">
        <v>393899.856262976</v>
      </c>
      <c r="AN45" t="n">
        <v>18579.8010085866</v>
      </c>
      <c r="AO45" t="n">
        <v>295643.116468703</v>
      </c>
      <c r="AP45" t="n">
        <v>107982.381839743</v>
      </c>
      <c r="AQ45" t="n">
        <v>824836.662552909</v>
      </c>
      <c r="AR45" t="n">
        <v>986245.580992772</v>
      </c>
      <c r="AS45" t="n">
        <v>12502042.321937</v>
      </c>
      <c r="AT45" t="n">
        <v>1988097.33720389</v>
      </c>
      <c r="AU45" t="n">
        <v>4733993.66800919</v>
      </c>
      <c r="AV45" t="n">
        <v>622222.222222222</v>
      </c>
      <c r="AW45" t="n">
        <v>30311.1537004918</v>
      </c>
      <c r="AX45" t="n">
        <v>18136956.5203282</v>
      </c>
      <c r="AY45" t="n">
        <v>1861682.24299065</v>
      </c>
      <c r="AZ45" t="n">
        <v>1546403.98978428</v>
      </c>
      <c r="BA45" t="n">
        <v>5318734.11709263</v>
      </c>
      <c r="BB45" t="n">
        <v>11678476.3317367</v>
      </c>
      <c r="BC45" t="n">
        <v>947451.563432302</v>
      </c>
      <c r="BD45" t="n">
        <v>10329560.7361963</v>
      </c>
      <c r="BE45" t="n">
        <v>1008391.46507656</v>
      </c>
      <c r="BF45" t="n">
        <v>2261579.70097566</v>
      </c>
      <c r="BG45" t="n">
        <v>9459009.07397929</v>
      </c>
      <c r="BH45" t="n">
        <v>21528681.5296816</v>
      </c>
      <c r="BI45" t="n">
        <v>4562633.66286694</v>
      </c>
      <c r="BJ45" t="n">
        <v>1841657.13663345</v>
      </c>
      <c r="BK45" t="n">
        <v>5703041.08633611</v>
      </c>
      <c r="BL45" t="n">
        <v>376124.918484168</v>
      </c>
      <c r="BM45" t="n">
        <v>767035.989756801</v>
      </c>
      <c r="BN45" t="n">
        <v>5383335.9854095</v>
      </c>
      <c r="BO45" t="n">
        <v>1169495.50499724</v>
      </c>
      <c r="BP45" t="n">
        <v>72033.7682271681</v>
      </c>
      <c r="BQ45" t="n">
        <v>32315.8632774363</v>
      </c>
      <c r="BR45" t="n">
        <v>88807.423088915</v>
      </c>
      <c r="BS45" t="n">
        <v>64535789.6805942</v>
      </c>
      <c r="BT45" t="n">
        <v>2160435.43485546</v>
      </c>
      <c r="BU45" t="n">
        <v>220857869.386721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119674.270725377</v>
      </c>
      <c r="C46" t="n">
        <v>10889.5967329348</v>
      </c>
      <c r="D46" t="n">
        <v>0</v>
      </c>
      <c r="E46" t="n">
        <v>8429.89612278653</v>
      </c>
      <c r="F46" t="n">
        <v>71.61958323875</v>
      </c>
      <c r="G46" t="n">
        <v>3620586.98133491</v>
      </c>
      <c r="H46" t="n">
        <v>196723.889549701</v>
      </c>
      <c r="I46" t="n">
        <v>17965.3801533924</v>
      </c>
      <c r="J46" t="n">
        <v>3787.43077633017</v>
      </c>
      <c r="K46" t="n">
        <v>1003.50644539607</v>
      </c>
      <c r="L46" t="n">
        <v>11338.4810897805</v>
      </c>
      <c r="M46" t="n">
        <v>4485.78828096178</v>
      </c>
      <c r="N46" t="n">
        <v>859.40402394482</v>
      </c>
      <c r="O46" t="n">
        <v>674.890357667123</v>
      </c>
      <c r="P46" t="n">
        <v>661.093968515688</v>
      </c>
      <c r="Q46" t="n">
        <v>3252.98719942473</v>
      </c>
      <c r="R46" t="n">
        <v>2042.71073683125</v>
      </c>
      <c r="S46" t="n">
        <v>5573.65553951766</v>
      </c>
      <c r="T46" t="n">
        <v>30303.4589938777</v>
      </c>
      <c r="U46" t="n">
        <v>8310.99281170029</v>
      </c>
      <c r="V46" t="n">
        <v>0</v>
      </c>
      <c r="W46" t="n">
        <v>61852.092330073</v>
      </c>
      <c r="X46" t="n">
        <v>3622.40139139574</v>
      </c>
      <c r="Y46" t="n">
        <v>2650058.25254874</v>
      </c>
      <c r="Z46" t="n">
        <v>145480.965826381</v>
      </c>
      <c r="AA46" t="n">
        <v>10332.9101279721</v>
      </c>
      <c r="AB46" t="n">
        <v>43450.1456616834</v>
      </c>
      <c r="AC46" t="n">
        <v>12849.8617285541</v>
      </c>
      <c r="AD46" t="n">
        <v>9986.25670932862</v>
      </c>
      <c r="AE46" t="n">
        <v>3620.42285062494</v>
      </c>
      <c r="AF46" t="n">
        <v>21888.0081147346</v>
      </c>
      <c r="AG46" t="n">
        <v>62655.0328175958</v>
      </c>
      <c r="AH46" t="n">
        <v>23641.3890954002</v>
      </c>
      <c r="AI46" t="n">
        <v>8612.99061662631</v>
      </c>
      <c r="AJ46" t="n">
        <v>181750.781125162</v>
      </c>
      <c r="AK46" t="n">
        <v>17934.7957372031</v>
      </c>
      <c r="AL46" t="n">
        <v>459.938635676358</v>
      </c>
      <c r="AM46" t="n">
        <v>75195.7047058984</v>
      </c>
      <c r="AN46" t="n">
        <v>37280.2489919505</v>
      </c>
      <c r="AO46" t="n">
        <v>1526.91370962606</v>
      </c>
      <c r="AP46" t="n">
        <v>223.789920825029</v>
      </c>
      <c r="AQ46" t="n">
        <v>2100.38978608316</v>
      </c>
      <c r="AR46" t="n">
        <v>1443.50353624293</v>
      </c>
      <c r="AS46" t="n">
        <v>40766.4795907272</v>
      </c>
      <c r="AT46" t="n">
        <v>11513.5036688665</v>
      </c>
      <c r="AU46" t="n">
        <v>1236.22323697689</v>
      </c>
      <c r="AV46" t="n">
        <v>6229.44604835903</v>
      </c>
      <c r="AW46" t="n">
        <v>3287.5206111556</v>
      </c>
      <c r="AX46" t="n">
        <v>41596.4570121332</v>
      </c>
      <c r="AY46" t="n">
        <v>10035.0013320737</v>
      </c>
      <c r="AZ46" t="n">
        <v>388.244428643564</v>
      </c>
      <c r="BA46" t="n">
        <v>8504.15445260491</v>
      </c>
      <c r="BB46" t="n">
        <v>11887.105160087</v>
      </c>
      <c r="BC46" t="n">
        <v>9377.31548814079</v>
      </c>
      <c r="BD46" t="n">
        <v>61238.6458133143</v>
      </c>
      <c r="BE46" t="n">
        <v>17788.9721368549</v>
      </c>
      <c r="BF46" t="n">
        <v>18922.2874158805</v>
      </c>
      <c r="BG46" t="n">
        <v>12252.1774830514</v>
      </c>
      <c r="BH46" t="n">
        <v>29918.0255862335</v>
      </c>
      <c r="BI46" t="n">
        <v>16325.9988424948</v>
      </c>
      <c r="BJ46" t="n">
        <v>16244.2804326616</v>
      </c>
      <c r="BK46" t="n">
        <v>1875.14167466291</v>
      </c>
      <c r="BL46" t="n">
        <v>10758.9025429924</v>
      </c>
      <c r="BM46" t="n">
        <v>15950.3529944458</v>
      </c>
      <c r="BN46" t="n">
        <v>47970.6881664697</v>
      </c>
      <c r="BO46" t="n">
        <v>25260.9936363944</v>
      </c>
      <c r="BP46" t="n">
        <v>53866.6350022159</v>
      </c>
      <c r="BQ46" t="n">
        <v>15772.2732822144</v>
      </c>
      <c r="BR46" t="n">
        <v>348127.047736098</v>
      </c>
      <c r="BS46" t="n">
        <v>829530.851863791</v>
      </c>
      <c r="BT46" t="n">
        <v>2289461.97794609</v>
      </c>
      <c r="BU46" t="n">
        <v>2123899.98068746</v>
      </c>
      <c r="BV46" t="n">
        <v>0</v>
      </c>
      <c r="BW46" t="n">
        <v>0</v>
      </c>
      <c r="BX46" t="n">
        <v>0</v>
      </c>
      <c r="BY46" t="n">
        <v>0</v>
      </c>
      <c r="BZ46" t="n">
        <v>1347417.9782683</v>
      </c>
      <c r="CA46" t="n">
        <v>6154459.53516877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495320.428814647</v>
      </c>
      <c r="D47" t="n">
        <v>0</v>
      </c>
      <c r="E47" t="n">
        <v>380704.597980197</v>
      </c>
      <c r="F47" t="n">
        <v>70.4359693043959</v>
      </c>
      <c r="G47" t="n">
        <v>26320016.8277713</v>
      </c>
      <c r="H47" t="n">
        <v>0</v>
      </c>
      <c r="I47" t="n">
        <v>5538388.00817691</v>
      </c>
      <c r="J47" t="n">
        <v>1775647.29029542</v>
      </c>
      <c r="K47" t="n">
        <v>51659.2034479177</v>
      </c>
      <c r="L47" t="n">
        <v>310139.879954768</v>
      </c>
      <c r="M47" t="n">
        <v>32742.7471002449</v>
      </c>
      <c r="N47" t="n">
        <v>0</v>
      </c>
      <c r="O47" t="n">
        <v>2370.48874697177</v>
      </c>
      <c r="P47" t="n">
        <v>6385.58313502135</v>
      </c>
      <c r="Q47" t="n">
        <v>0</v>
      </c>
      <c r="R47" t="n">
        <v>602685.624171681</v>
      </c>
      <c r="S47" t="n">
        <v>360733.900852938</v>
      </c>
      <c r="T47" t="n">
        <v>1785347.54224821</v>
      </c>
      <c r="U47" t="n">
        <v>363982.495928824</v>
      </c>
      <c r="V47" t="n">
        <v>0</v>
      </c>
      <c r="W47" t="n">
        <v>7407089.09991945</v>
      </c>
      <c r="X47" t="n">
        <v>865894.199312413</v>
      </c>
      <c r="Y47" t="n">
        <v>761455.128893725</v>
      </c>
      <c r="Z47" t="n">
        <v>406075.144137175</v>
      </c>
      <c r="AA47" t="n">
        <v>1698983.50253939</v>
      </c>
      <c r="AB47" t="n">
        <v>179288033.161833</v>
      </c>
      <c r="AC47" t="n">
        <v>9369521.30941025</v>
      </c>
      <c r="AD47" t="n">
        <v>10987489.683615</v>
      </c>
      <c r="AE47" t="n">
        <v>2278777.78668852</v>
      </c>
      <c r="AF47" t="n">
        <v>51120953.5008355</v>
      </c>
      <c r="AG47" t="n">
        <v>19706939.5880673</v>
      </c>
      <c r="AH47" t="n">
        <v>1930857.83570779</v>
      </c>
      <c r="AI47" t="n">
        <v>2665841.87125459</v>
      </c>
      <c r="AJ47" t="n">
        <v>158599300.947683</v>
      </c>
      <c r="AK47" t="n">
        <v>2656783.71613663</v>
      </c>
      <c r="AL47" t="n">
        <v>516795.59998972</v>
      </c>
      <c r="AM47" t="n">
        <v>65535373.1954754</v>
      </c>
      <c r="AN47" t="n">
        <v>17588878.2881287</v>
      </c>
      <c r="AO47" t="n">
        <v>1518103.93932739</v>
      </c>
      <c r="AP47" t="n">
        <v>737306.454345254</v>
      </c>
      <c r="AQ47" t="n">
        <v>180746.816489855</v>
      </c>
      <c r="AR47" t="n">
        <v>2931435.82724149</v>
      </c>
      <c r="AS47" t="n">
        <v>2996179.10818834</v>
      </c>
      <c r="AT47" t="n">
        <v>4840679.4968283</v>
      </c>
      <c r="AU47" t="n">
        <v>258355.994722813</v>
      </c>
      <c r="AV47" t="n">
        <v>0</v>
      </c>
      <c r="AW47" t="n">
        <v>0</v>
      </c>
      <c r="AX47" t="n">
        <v>0</v>
      </c>
      <c r="AY47" t="n">
        <v>7960747.6635514</v>
      </c>
      <c r="AZ47" t="n">
        <v>1575041.10070621</v>
      </c>
      <c r="BA47" t="n">
        <v>2132285.29919479</v>
      </c>
      <c r="BB47" t="n">
        <v>21578999.0196427</v>
      </c>
      <c r="BC47" t="n">
        <v>2046207.17881957</v>
      </c>
      <c r="BD47" t="n">
        <v>8170274.02862985</v>
      </c>
      <c r="BE47" t="n">
        <v>6876500.83413656</v>
      </c>
      <c r="BF47" t="n">
        <v>1636952.92642048</v>
      </c>
      <c r="BG47" t="n">
        <v>8269101.88155196</v>
      </c>
      <c r="BH47" t="n">
        <v>31433777.42051</v>
      </c>
      <c r="BI47" t="n">
        <v>2475329.11328558</v>
      </c>
      <c r="BJ47" t="n">
        <v>7250138.18548167</v>
      </c>
      <c r="BK47" t="n">
        <v>1339315.63102719</v>
      </c>
      <c r="BL47" t="n">
        <v>2632874.42938917</v>
      </c>
      <c r="BM47" t="n">
        <v>668993.79557736</v>
      </c>
      <c r="BN47" t="n">
        <v>3984848.07683677</v>
      </c>
      <c r="BO47" t="n">
        <v>3660454.85744898</v>
      </c>
      <c r="BP47" t="n">
        <v>5055.00127909951</v>
      </c>
      <c r="BQ47" t="n">
        <v>1177220.73367804</v>
      </c>
      <c r="BR47" t="n">
        <v>5438397.4329688</v>
      </c>
      <c r="BS47" t="n">
        <v>3066487.67777053</v>
      </c>
      <c r="BT47" t="n">
        <v>7011827.43206048</v>
      </c>
      <c r="BU47" t="n">
        <v>71221231.0327043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25291980.7716219</v>
      </c>
      <c r="CB47" t="n">
        <v>8115480.2941608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843675.437313114</v>
      </c>
      <c r="C48" t="n">
        <v>0</v>
      </c>
      <c r="D48" t="n">
        <v>0</v>
      </c>
      <c r="E48" t="n">
        <v>42951.4846025682</v>
      </c>
      <c r="F48" t="n">
        <v>0</v>
      </c>
      <c r="G48" t="n">
        <v>851482.85128843</v>
      </c>
      <c r="H48" t="n">
        <v>0</v>
      </c>
      <c r="I48" t="n">
        <v>4062650.54898642</v>
      </c>
      <c r="J48" t="n">
        <v>1473625.9523662</v>
      </c>
      <c r="K48" t="n">
        <v>10799.9163723569</v>
      </c>
      <c r="L48" t="n">
        <v>843222.647514063</v>
      </c>
      <c r="M48" t="n">
        <v>305753.434833173</v>
      </c>
      <c r="N48" t="n">
        <v>311697.799038173</v>
      </c>
      <c r="O48" t="n">
        <v>20210.8969452886</v>
      </c>
      <c r="P48" t="n">
        <v>21211.8614903741</v>
      </c>
      <c r="Q48" t="n">
        <v>224600.28874467</v>
      </c>
      <c r="R48" t="n">
        <v>101954.872427575</v>
      </c>
      <c r="S48" t="n">
        <v>383738.31545603</v>
      </c>
      <c r="T48" t="n">
        <v>5292297.94380154</v>
      </c>
      <c r="U48" t="n">
        <v>2364443.14926041</v>
      </c>
      <c r="V48" t="n">
        <v>613587.138966069</v>
      </c>
      <c r="W48" t="n">
        <v>13641939.5909843</v>
      </c>
      <c r="X48" t="n">
        <v>646861.119701003</v>
      </c>
      <c r="Y48" t="n">
        <v>377885.234126912</v>
      </c>
      <c r="Z48" t="n">
        <v>2341467.93157329</v>
      </c>
      <c r="AA48" t="n">
        <v>3995630.78817247</v>
      </c>
      <c r="AB48" t="n">
        <v>32442519.8799783</v>
      </c>
      <c r="AC48" t="n">
        <v>14512697.3175778</v>
      </c>
      <c r="AD48" t="n">
        <v>16891225.8866831</v>
      </c>
      <c r="AE48" t="n">
        <v>7325616.09918209</v>
      </c>
      <c r="AF48" t="n">
        <v>37979208.9231823</v>
      </c>
      <c r="AG48" t="n">
        <v>43701.4857313779</v>
      </c>
      <c r="AH48" t="n">
        <v>627.648153414452</v>
      </c>
      <c r="AI48" t="n">
        <v>244328.61756785</v>
      </c>
      <c r="AJ48" t="n">
        <v>8262635.84316747</v>
      </c>
      <c r="AK48" t="n">
        <v>241691.464276616</v>
      </c>
      <c r="AL48" t="n">
        <v>135441.893983515</v>
      </c>
      <c r="AM48" t="n">
        <v>1004841.71987098</v>
      </c>
      <c r="AN48" t="n">
        <v>8685014.17778634</v>
      </c>
      <c r="AO48" t="n">
        <v>203863.461848171</v>
      </c>
      <c r="AP48" t="n">
        <v>79584.1359084297</v>
      </c>
      <c r="AQ48" t="n">
        <v>220733.229041312</v>
      </c>
      <c r="AR48" t="n">
        <v>381297.582698726</v>
      </c>
      <c r="AS48" t="n">
        <v>0</v>
      </c>
      <c r="AT48" t="n">
        <v>0</v>
      </c>
      <c r="AU48" t="n">
        <v>27765.8216924413</v>
      </c>
      <c r="AV48" t="n">
        <v>0</v>
      </c>
      <c r="AW48" t="n">
        <v>2051.06588557746</v>
      </c>
      <c r="AX48" t="n">
        <v>421895.300330733</v>
      </c>
      <c r="AY48" t="n">
        <v>544877.728908209</v>
      </c>
      <c r="AZ48" t="n">
        <v>172463.16537447</v>
      </c>
      <c r="BA48" t="n">
        <v>220186.335107864</v>
      </c>
      <c r="BB48" t="n">
        <v>1255826.63330046</v>
      </c>
      <c r="BC48" t="n">
        <v>16088.7516673152</v>
      </c>
      <c r="BD48" t="n">
        <v>15489902.4941311</v>
      </c>
      <c r="BE48" t="n">
        <v>529436.746118583</v>
      </c>
      <c r="BF48" t="n">
        <v>325307.392916191</v>
      </c>
      <c r="BG48" t="n">
        <v>1080870.87784009</v>
      </c>
      <c r="BH48" t="n">
        <v>3944253.45766266</v>
      </c>
      <c r="BI48" t="n">
        <v>486197.421823943</v>
      </c>
      <c r="BJ48" t="n">
        <v>565291.965612821</v>
      </c>
      <c r="BK48" t="n">
        <v>235849.924062934</v>
      </c>
      <c r="BL48" t="n">
        <v>208085.009358238</v>
      </c>
      <c r="BM48" t="n">
        <v>1376796.71707552</v>
      </c>
      <c r="BN48" t="n">
        <v>1758094.20177567</v>
      </c>
      <c r="BO48" t="n">
        <v>955000.685709793</v>
      </c>
      <c r="BP48" t="n">
        <v>223705.242912377</v>
      </c>
      <c r="BQ48" t="n">
        <v>2401017.06434966</v>
      </c>
      <c r="BR48" t="n">
        <v>0</v>
      </c>
      <c r="BS48" t="n">
        <v>8977951.8507985</v>
      </c>
      <c r="BT48" t="n">
        <v>96018.4543172682</v>
      </c>
      <c r="BU48" t="n">
        <v>384448.680213539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523114.435552892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132776.352864531</v>
      </c>
      <c r="C49" t="n">
        <v>0</v>
      </c>
      <c r="D49" t="n">
        <v>0</v>
      </c>
      <c r="E49" t="n">
        <v>469.317943802116</v>
      </c>
      <c r="F49" t="n">
        <v>66.2213270170317</v>
      </c>
      <c r="G49" t="n">
        <v>573677.368614908</v>
      </c>
      <c r="H49" t="n">
        <v>1346807.26238513</v>
      </c>
      <c r="I49" t="n">
        <v>119284.44101521</v>
      </c>
      <c r="J49" t="n">
        <v>1380.16004727993</v>
      </c>
      <c r="K49" t="n">
        <v>3653.80932876181</v>
      </c>
      <c r="L49" t="n">
        <v>190132.962472221</v>
      </c>
      <c r="M49" t="n">
        <v>45027.8937580537</v>
      </c>
      <c r="N49" t="n">
        <v>51750.0711896175</v>
      </c>
      <c r="O49" t="n">
        <v>772.934355956409</v>
      </c>
      <c r="P49" t="n">
        <v>11180.3795068069</v>
      </c>
      <c r="Q49" t="n">
        <v>625029.008309669</v>
      </c>
      <c r="R49" t="n">
        <v>15612.1852817982</v>
      </c>
      <c r="S49" t="n">
        <v>39514.5324849202</v>
      </c>
      <c r="T49" t="n">
        <v>21849.5835507067</v>
      </c>
      <c r="U49" t="n">
        <v>0</v>
      </c>
      <c r="V49" t="n">
        <v>0</v>
      </c>
      <c r="W49" t="n">
        <v>59845.551046576</v>
      </c>
      <c r="X49" t="n">
        <v>69482.3980394927</v>
      </c>
      <c r="Y49" t="n">
        <v>5372.55020368065</v>
      </c>
      <c r="Z49" t="n">
        <v>50803.2755844009</v>
      </c>
      <c r="AA49" t="n">
        <v>16567.6181350962</v>
      </c>
      <c r="AB49" t="n">
        <v>6573479.05218001</v>
      </c>
      <c r="AC49" t="n">
        <v>1369266.2761555</v>
      </c>
      <c r="AD49" t="n">
        <v>362935.480315095</v>
      </c>
      <c r="AE49" t="n">
        <v>657315.290926144</v>
      </c>
      <c r="AF49" t="n">
        <v>2129614.95464117</v>
      </c>
      <c r="AG49" t="n">
        <v>8903.4927809899</v>
      </c>
      <c r="AH49" t="n">
        <v>68688.6200325112</v>
      </c>
      <c r="AI49" t="n">
        <v>0</v>
      </c>
      <c r="AJ49" t="n">
        <v>78048.3143933028</v>
      </c>
      <c r="AK49" t="n">
        <v>32398.9740673276</v>
      </c>
      <c r="AL49" t="n">
        <v>0</v>
      </c>
      <c r="AM49" t="n">
        <v>635704.703251174</v>
      </c>
      <c r="AN49" t="n">
        <v>266025.052758838</v>
      </c>
      <c r="AO49" t="n">
        <v>25933680.5927205</v>
      </c>
      <c r="AP49" t="n">
        <v>31217.5702000424</v>
      </c>
      <c r="AQ49" t="n">
        <v>547384.150861847</v>
      </c>
      <c r="AR49" t="n">
        <v>1187072.99289594</v>
      </c>
      <c r="AS49" t="n">
        <v>1153018.65777537</v>
      </c>
      <c r="AT49" t="n">
        <v>711634.828192788</v>
      </c>
      <c r="AU49" t="n">
        <v>1470590.49134055</v>
      </c>
      <c r="AV49" t="n">
        <v>129743.076475054</v>
      </c>
      <c r="AW49" t="n">
        <v>0</v>
      </c>
      <c r="AX49" t="n">
        <v>1310860.63424742</v>
      </c>
      <c r="AY49" t="n">
        <v>888119.042121486</v>
      </c>
      <c r="AZ49" t="n">
        <v>1825816.78842044</v>
      </c>
      <c r="BA49" t="n">
        <v>1548004.99064898</v>
      </c>
      <c r="BB49" t="n">
        <v>7802485.41828276</v>
      </c>
      <c r="BC49" t="n">
        <v>1260945.59781397</v>
      </c>
      <c r="BD49" t="n">
        <v>5039004.45819699</v>
      </c>
      <c r="BE49" t="n">
        <v>71482.963877257</v>
      </c>
      <c r="BF49" t="n">
        <v>1922085.44384049</v>
      </c>
      <c r="BG49" t="n">
        <v>4463510.22203776</v>
      </c>
      <c r="BH49" t="n">
        <v>8100096.55261702</v>
      </c>
      <c r="BI49" t="n">
        <v>566004.504473896</v>
      </c>
      <c r="BJ49" t="n">
        <v>4009623.4688638</v>
      </c>
      <c r="BK49" t="n">
        <v>83583.1398357466</v>
      </c>
      <c r="BL49" t="n">
        <v>199821.091716479</v>
      </c>
      <c r="BM49" t="n">
        <v>525534.261996711</v>
      </c>
      <c r="BN49" t="n">
        <v>477243.769853511</v>
      </c>
      <c r="BO49" t="n">
        <v>1186229.85473585</v>
      </c>
      <c r="BP49" t="n">
        <v>51975.330708487</v>
      </c>
      <c r="BQ49" t="n">
        <v>3395768.90094444</v>
      </c>
      <c r="BR49" t="n">
        <v>89905.5153286941</v>
      </c>
      <c r="BS49" t="n">
        <v>22817817.5078401</v>
      </c>
      <c r="BT49" t="n">
        <v>440638.638113087</v>
      </c>
      <c r="BU49" t="n">
        <v>248797950.983095</v>
      </c>
      <c r="BV49" t="n">
        <v>0</v>
      </c>
      <c r="BW49" t="n">
        <v>0</v>
      </c>
      <c r="BX49" t="n">
        <v>143707658.13563</v>
      </c>
      <c r="BY49" t="n">
        <v>0</v>
      </c>
      <c r="BZ49" t="n">
        <v>552936.794698057</v>
      </c>
      <c r="CA49" t="n">
        <v>70890936.7187885</v>
      </c>
      <c r="CB49" t="n">
        <v>-15370933.9033918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10589138.3760055</v>
      </c>
      <c r="CK49" t="n">
        <v>0</v>
      </c>
      <c r="CL49" t="n">
        <v>0</v>
      </c>
      <c r="CM49" t="n">
        <v>0</v>
      </c>
      <c r="CN49" t="n">
        <v>15656313.0473754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32492.336915127</v>
      </c>
      <c r="AC50" t="n">
        <v>273137.36594754</v>
      </c>
      <c r="AD50" t="n">
        <v>321269.278621581</v>
      </c>
      <c r="AE50" t="n">
        <v>0</v>
      </c>
      <c r="AF50" t="n">
        <v>85402.6441832357</v>
      </c>
      <c r="AG50" t="n">
        <v>1460.37022658167</v>
      </c>
      <c r="AH50" t="n">
        <v>0</v>
      </c>
      <c r="AI50" t="n">
        <v>0</v>
      </c>
      <c r="AJ50" t="n">
        <v>1004.96582274856</v>
      </c>
      <c r="AK50" t="n">
        <v>0</v>
      </c>
      <c r="AL50" t="n">
        <v>5216.00893060937</v>
      </c>
      <c r="AM50" t="n">
        <v>6883.27576705828</v>
      </c>
      <c r="AN50" t="n">
        <v>0</v>
      </c>
      <c r="AO50" t="n">
        <v>39817.9262801701</v>
      </c>
      <c r="AP50" t="n">
        <v>6497418.94098479</v>
      </c>
      <c r="AQ50" t="n">
        <v>15798614.5318197</v>
      </c>
      <c r="AR50" t="n">
        <v>39079.5095843592</v>
      </c>
      <c r="AS50" t="n">
        <v>25275.1704848386</v>
      </c>
      <c r="AT50" t="n">
        <v>7260.73560092335</v>
      </c>
      <c r="AU50" t="n">
        <v>0</v>
      </c>
      <c r="AV50" t="n">
        <v>0</v>
      </c>
      <c r="AW50" t="n">
        <v>0</v>
      </c>
      <c r="AX50" t="n">
        <v>36186.7738090197</v>
      </c>
      <c r="AY50" t="n">
        <v>186115.500208271</v>
      </c>
      <c r="AZ50" t="n">
        <v>4986.13277944837</v>
      </c>
      <c r="BA50" t="n">
        <v>20092.2390018212</v>
      </c>
      <c r="BB50" t="n">
        <v>1371142.11455961</v>
      </c>
      <c r="BC50" t="n">
        <v>217503.70141061</v>
      </c>
      <c r="BD50" t="n">
        <v>38918.1635685801</v>
      </c>
      <c r="BE50" t="n">
        <v>0</v>
      </c>
      <c r="BF50" t="n">
        <v>789471.215731241</v>
      </c>
      <c r="BG50" t="n">
        <v>44362.5735833079</v>
      </c>
      <c r="BH50" t="n">
        <v>27485.4980233312</v>
      </c>
      <c r="BI50" t="n">
        <v>1578819.62674337</v>
      </c>
      <c r="BJ50" t="n">
        <v>1652458.85658227</v>
      </c>
      <c r="BK50" t="n">
        <v>176175.3199819</v>
      </c>
      <c r="BL50" t="n">
        <v>70551.7817329185</v>
      </c>
      <c r="BM50" t="n">
        <v>1497204.36552789</v>
      </c>
      <c r="BN50" t="n">
        <v>3554537.59903204</v>
      </c>
      <c r="BO50" t="n">
        <v>211068.369506535</v>
      </c>
      <c r="BP50" t="n">
        <v>8988.41528824237</v>
      </c>
      <c r="BQ50" t="n">
        <v>774586.955825161</v>
      </c>
      <c r="BR50" t="n">
        <v>43716.4222896994</v>
      </c>
      <c r="BS50" t="n">
        <v>405369.927407351</v>
      </c>
      <c r="BT50" t="n">
        <v>0</v>
      </c>
      <c r="BU50" t="n">
        <v>16611699.6830855</v>
      </c>
      <c r="BV50" t="n">
        <v>0</v>
      </c>
      <c r="BW50" t="n">
        <v>0</v>
      </c>
      <c r="BX50" t="n">
        <v>4597012.40387877</v>
      </c>
      <c r="BY50" t="n">
        <v>0</v>
      </c>
      <c r="BZ50" t="n">
        <v>-64056.293217245</v>
      </c>
      <c r="CA50" t="n">
        <v>14196563.9736857</v>
      </c>
      <c r="CB50" t="n">
        <v>-21013608.9694044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1086461.49633374</v>
      </c>
      <c r="C51" t="n">
        <v>44855.2538585682</v>
      </c>
      <c r="D51" t="n">
        <v>0</v>
      </c>
      <c r="E51" t="n">
        <v>54083.2604091358</v>
      </c>
      <c r="F51" t="n">
        <v>2933.21914441942</v>
      </c>
      <c r="G51" t="n">
        <v>2112383.56247896</v>
      </c>
      <c r="H51" t="n">
        <v>7225849.36443036</v>
      </c>
      <c r="I51" t="n">
        <v>1553209.03500996</v>
      </c>
      <c r="J51" t="n">
        <v>883458.975303969</v>
      </c>
      <c r="K51" t="n">
        <v>56097.9838803034</v>
      </c>
      <c r="L51" t="n">
        <v>1975071.26914707</v>
      </c>
      <c r="M51" t="n">
        <v>914043.736927002</v>
      </c>
      <c r="N51" t="n">
        <v>279825.763838666</v>
      </c>
      <c r="O51" t="n">
        <v>41131.7011447639</v>
      </c>
      <c r="P51" t="n">
        <v>134488.144768858</v>
      </c>
      <c r="Q51" t="n">
        <v>2003522.52508755</v>
      </c>
      <c r="R51" t="n">
        <v>241605.27431257</v>
      </c>
      <c r="S51" t="n">
        <v>455309.475449261</v>
      </c>
      <c r="T51" t="n">
        <v>2510062.82830772</v>
      </c>
      <c r="U51" t="n">
        <v>287318.942562224</v>
      </c>
      <c r="V51" t="n">
        <v>87218.4621020475</v>
      </c>
      <c r="W51" t="n">
        <v>2183781.2241671</v>
      </c>
      <c r="X51" t="n">
        <v>530524.64406107</v>
      </c>
      <c r="Y51" t="n">
        <v>43081.262260285</v>
      </c>
      <c r="Z51" t="n">
        <v>572781.635679857</v>
      </c>
      <c r="AA51" t="n">
        <v>696196.155182124</v>
      </c>
      <c r="AB51" t="n">
        <v>16512146.9153018</v>
      </c>
      <c r="AC51" t="n">
        <v>4435230.86136062</v>
      </c>
      <c r="AD51" t="n">
        <v>2526822.08054823</v>
      </c>
      <c r="AE51" t="n">
        <v>937379.508823916</v>
      </c>
      <c r="AF51" t="n">
        <v>11436689.5132152</v>
      </c>
      <c r="AG51" t="n">
        <v>656107.776940986</v>
      </c>
      <c r="AH51" t="n">
        <v>76957.6792531382</v>
      </c>
      <c r="AI51" t="n">
        <v>81156.0479508282</v>
      </c>
      <c r="AJ51" t="n">
        <v>2426461.05801633</v>
      </c>
      <c r="AK51" t="n">
        <v>1678113.72806434</v>
      </c>
      <c r="AL51" t="n">
        <v>457417.722940731</v>
      </c>
      <c r="AM51" t="n">
        <v>1411367.94772598</v>
      </c>
      <c r="AN51" t="n">
        <v>524715.426724259</v>
      </c>
      <c r="AO51" t="n">
        <v>1269692.50501596</v>
      </c>
      <c r="AP51" t="n">
        <v>354268.27677848</v>
      </c>
      <c r="AQ51" t="n">
        <v>64495767.962949</v>
      </c>
      <c r="AR51" t="n">
        <v>5150528.37771822</v>
      </c>
      <c r="AS51" t="n">
        <v>11570263.1098283</v>
      </c>
      <c r="AT51" t="n">
        <v>2416125.06999275</v>
      </c>
      <c r="AU51" t="n">
        <v>5870484.14105314</v>
      </c>
      <c r="AV51" t="n">
        <v>1311621.1738966</v>
      </c>
      <c r="AW51" t="n">
        <v>31435.8589463369</v>
      </c>
      <c r="AX51" t="n">
        <v>13985826.7882951</v>
      </c>
      <c r="AY51" t="n">
        <v>1930760.56991539</v>
      </c>
      <c r="AZ51" t="n">
        <v>3999178.87021638</v>
      </c>
      <c r="BA51" t="n">
        <v>2543894.38742938</v>
      </c>
      <c r="BB51" t="n">
        <v>12016227.0203625</v>
      </c>
      <c r="BC51" t="n">
        <v>3391848.070988</v>
      </c>
      <c r="BD51" t="n">
        <v>18416002.3278287</v>
      </c>
      <c r="BE51" t="n">
        <v>2122631.94526787</v>
      </c>
      <c r="BF51" t="n">
        <v>4528096.69657174</v>
      </c>
      <c r="BG51" t="n">
        <v>10620038.2002725</v>
      </c>
      <c r="BH51" t="n">
        <v>8399077.11378131</v>
      </c>
      <c r="BI51" t="n">
        <v>4207821.93912881</v>
      </c>
      <c r="BJ51" t="n">
        <v>2110904.51098646</v>
      </c>
      <c r="BK51" t="n">
        <v>932382.850295135</v>
      </c>
      <c r="BL51" t="n">
        <v>2809375.69865275</v>
      </c>
      <c r="BM51" t="n">
        <v>11387248.9772628</v>
      </c>
      <c r="BN51" t="n">
        <v>11628081.3017825</v>
      </c>
      <c r="BO51" t="n">
        <v>9092862.74557379</v>
      </c>
      <c r="BP51" t="n">
        <v>4026346.72718458</v>
      </c>
      <c r="BQ51" t="n">
        <v>20221867.9894655</v>
      </c>
      <c r="BR51" t="n">
        <v>4139739.18862541</v>
      </c>
      <c r="BS51" t="n">
        <v>128730764.471466</v>
      </c>
      <c r="BT51" t="n">
        <v>1914339.66737852</v>
      </c>
      <c r="BU51" t="n">
        <v>600005754.679113</v>
      </c>
      <c r="BV51" t="n">
        <v>0</v>
      </c>
      <c r="BW51" t="n">
        <v>5006380.22514325</v>
      </c>
      <c r="BX51" t="n">
        <v>22294851.3341345</v>
      </c>
      <c r="BY51" t="n">
        <v>0</v>
      </c>
      <c r="BZ51" t="n">
        <v>0</v>
      </c>
      <c r="CA51" t="n">
        <v>15456499.5401087</v>
      </c>
      <c r="CB51" t="n">
        <v>-464686.72884233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0</v>
      </c>
      <c r="E52" t="n">
        <v>2341.46554442406</v>
      </c>
      <c r="F52" t="n">
        <v>83.0726046981905</v>
      </c>
      <c r="G52" t="n">
        <v>5005473.76030271</v>
      </c>
      <c r="H52" t="n">
        <v>1659071.57537943</v>
      </c>
      <c r="I52" t="n">
        <v>1680533.75061858</v>
      </c>
      <c r="J52" t="n">
        <v>752711.749348984</v>
      </c>
      <c r="K52" t="n">
        <v>83795.8530106543</v>
      </c>
      <c r="L52" t="n">
        <v>2137396.72122916</v>
      </c>
      <c r="M52" t="n">
        <v>1036825.31059653</v>
      </c>
      <c r="N52" t="n">
        <v>119734.818147052</v>
      </c>
      <c r="O52" t="n">
        <v>78295.7094167356</v>
      </c>
      <c r="P52" t="n">
        <v>104836.800196678</v>
      </c>
      <c r="Q52" t="n">
        <v>2838883.77682413</v>
      </c>
      <c r="R52" t="n">
        <v>396316.846897227</v>
      </c>
      <c r="S52" t="n">
        <v>489838.173594498</v>
      </c>
      <c r="T52" t="n">
        <v>1987555.69577665</v>
      </c>
      <c r="U52" t="n">
        <v>253466.632584405</v>
      </c>
      <c r="V52" t="n">
        <v>69745.1572039929</v>
      </c>
      <c r="W52" t="n">
        <v>3472306.89940324</v>
      </c>
      <c r="X52" t="n">
        <v>239865.822392176</v>
      </c>
      <c r="Y52" t="n">
        <v>61586.894694473</v>
      </c>
      <c r="Z52" t="n">
        <v>424515.665924339</v>
      </c>
      <c r="AA52" t="n">
        <v>465979.963463203</v>
      </c>
      <c r="AB52" t="n">
        <v>3976248.18397057</v>
      </c>
      <c r="AC52" t="n">
        <v>7623022.59558059</v>
      </c>
      <c r="AD52" t="n">
        <v>3493856.6503838</v>
      </c>
      <c r="AE52" t="n">
        <v>1945813.57595457</v>
      </c>
      <c r="AF52" t="n">
        <v>12961161.0989311</v>
      </c>
      <c r="AG52" t="n">
        <v>188325.845403017</v>
      </c>
      <c r="AH52" t="n">
        <v>0</v>
      </c>
      <c r="AI52" t="n">
        <v>0</v>
      </c>
      <c r="AJ52" t="n">
        <v>194420.770734646</v>
      </c>
      <c r="AK52" t="n">
        <v>200190.378410237</v>
      </c>
      <c r="AL52" t="n">
        <v>19316.0015719859</v>
      </c>
      <c r="AM52" t="n">
        <v>685448.671183547</v>
      </c>
      <c r="AN52" t="n">
        <v>227769.172031089</v>
      </c>
      <c r="AO52" t="n">
        <v>1489265.81833114</v>
      </c>
      <c r="AP52" t="n">
        <v>53274.5483261766</v>
      </c>
      <c r="AQ52" t="n">
        <v>1802015.92352822</v>
      </c>
      <c r="AR52" t="n">
        <v>3852258.5895671</v>
      </c>
      <c r="AS52" t="n">
        <v>18206787.9955581</v>
      </c>
      <c r="AT52" t="n">
        <v>1673695.63964163</v>
      </c>
      <c r="AU52" t="n">
        <v>3251701.87048465</v>
      </c>
      <c r="AV52" t="n">
        <v>2519763.59964667</v>
      </c>
      <c r="AW52" t="n">
        <v>1643.63937892849</v>
      </c>
      <c r="AX52" t="n">
        <v>1155681.55657219</v>
      </c>
      <c r="AY52" t="n">
        <v>780124.056439161</v>
      </c>
      <c r="AZ52" t="n">
        <v>3405967.15671681</v>
      </c>
      <c r="BA52" t="n">
        <v>3181810.53250077</v>
      </c>
      <c r="BB52" t="n">
        <v>14560672.557624</v>
      </c>
      <c r="BC52" t="n">
        <v>1943168.49667983</v>
      </c>
      <c r="BD52" t="n">
        <v>35130533.773507</v>
      </c>
      <c r="BE52" t="n">
        <v>2299898.85776116</v>
      </c>
      <c r="BF52" t="n">
        <v>7198827.85111939</v>
      </c>
      <c r="BG52" t="n">
        <v>2575435.4541287</v>
      </c>
      <c r="BH52" t="n">
        <v>7812553.42340563</v>
      </c>
      <c r="BI52" t="n">
        <v>810190.448915332</v>
      </c>
      <c r="BJ52" t="n">
        <v>1657591.49913559</v>
      </c>
      <c r="BK52" t="n">
        <v>911693.298366815</v>
      </c>
      <c r="BL52" t="n">
        <v>2019579.02568051</v>
      </c>
      <c r="BM52" t="n">
        <v>2068592.61649786</v>
      </c>
      <c r="BN52" t="n">
        <v>15985866.1222169</v>
      </c>
      <c r="BO52" t="n">
        <v>8557143.79507226</v>
      </c>
      <c r="BP52" t="n">
        <v>743417.363333966</v>
      </c>
      <c r="BQ52" t="n">
        <v>6789972.78446592</v>
      </c>
      <c r="BR52" t="n">
        <v>789763.734639657</v>
      </c>
      <c r="BS52" t="n">
        <v>40706086.6499898</v>
      </c>
      <c r="BT52" t="n">
        <v>2101263.61308125</v>
      </c>
      <c r="BU52" t="n">
        <v>80467434.8827213</v>
      </c>
      <c r="BV52" t="n">
        <v>0</v>
      </c>
      <c r="BW52" t="n">
        <v>0</v>
      </c>
      <c r="BX52" t="n">
        <v>13971410.6858503</v>
      </c>
      <c r="BY52" t="n">
        <v>0</v>
      </c>
      <c r="BZ52" t="n">
        <v>0</v>
      </c>
      <c r="CA52" t="n">
        <v>6477974.94465444</v>
      </c>
      <c r="CB52" t="n">
        <v>-4098851.04251052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4596993.12503892</v>
      </c>
    </row>
    <row r="53">
      <c r="A53" t="s">
        <v>164</v>
      </c>
      <c r="B53" t="n">
        <v>2143251.21221061</v>
      </c>
      <c r="C53" t="n">
        <v>979988.161644013</v>
      </c>
      <c r="D53" t="n">
        <v>0</v>
      </c>
      <c r="E53" t="n">
        <v>113577.678668211</v>
      </c>
      <c r="F53" t="n">
        <v>1368.16772162917</v>
      </c>
      <c r="G53" t="n">
        <v>4217386.98194531</v>
      </c>
      <c r="H53" t="n">
        <v>4354667.08068317</v>
      </c>
      <c r="I53" t="n">
        <v>1272239.80456965</v>
      </c>
      <c r="J53" t="n">
        <v>462401.694245464</v>
      </c>
      <c r="K53" t="n">
        <v>92534.8186767245</v>
      </c>
      <c r="L53" t="n">
        <v>1454256.22776271</v>
      </c>
      <c r="M53" t="n">
        <v>836084.044897945</v>
      </c>
      <c r="N53" t="n">
        <v>1210140.93112763</v>
      </c>
      <c r="O53" t="n">
        <v>144705.129366526</v>
      </c>
      <c r="P53" t="n">
        <v>408661.458920231</v>
      </c>
      <c r="Q53" t="n">
        <v>1148486.20172648</v>
      </c>
      <c r="R53" t="n">
        <v>265136.761143129</v>
      </c>
      <c r="S53" t="n">
        <v>681780.628732873</v>
      </c>
      <c r="T53" t="n">
        <v>3273365.63902042</v>
      </c>
      <c r="U53" t="n">
        <v>529850.513332469</v>
      </c>
      <c r="V53" t="n">
        <v>960077.90231227</v>
      </c>
      <c r="W53" t="n">
        <v>2923206.25036319</v>
      </c>
      <c r="X53" t="n">
        <v>320663.846260763</v>
      </c>
      <c r="Y53" t="n">
        <v>224049.028289839</v>
      </c>
      <c r="Z53" t="n">
        <v>2105532.01409213</v>
      </c>
      <c r="AA53" t="n">
        <v>1232062.78282398</v>
      </c>
      <c r="AB53" t="n">
        <v>22035670.6656483</v>
      </c>
      <c r="AC53" t="n">
        <v>4377736.6110101</v>
      </c>
      <c r="AD53" t="n">
        <v>3490487.81208046</v>
      </c>
      <c r="AE53" t="n">
        <v>2497605.89671404</v>
      </c>
      <c r="AF53" t="n">
        <v>8902346.50350315</v>
      </c>
      <c r="AG53" t="n">
        <v>239050.018693428</v>
      </c>
      <c r="AH53" t="n">
        <v>2011943.14789627</v>
      </c>
      <c r="AI53" t="n">
        <v>114251.46065966</v>
      </c>
      <c r="AJ53" t="n">
        <v>1315716.37547401</v>
      </c>
      <c r="AK53" t="n">
        <v>2430990.94868194</v>
      </c>
      <c r="AL53" t="n">
        <v>451716.216463498</v>
      </c>
      <c r="AM53" t="n">
        <v>1004531.01115703</v>
      </c>
      <c r="AN53" t="n">
        <v>227019.42839761</v>
      </c>
      <c r="AO53" t="n">
        <v>1212164.84164815</v>
      </c>
      <c r="AP53" t="n">
        <v>199640.538518993</v>
      </c>
      <c r="AQ53" t="n">
        <v>5105185.50419878</v>
      </c>
      <c r="AR53" t="n">
        <v>539706.127371247</v>
      </c>
      <c r="AS53" t="n">
        <v>49474911.426372</v>
      </c>
      <c r="AT53" t="n">
        <v>13142683.322257</v>
      </c>
      <c r="AU53" t="n">
        <v>506600.590121494</v>
      </c>
      <c r="AV53" t="n">
        <v>1617367.2894587</v>
      </c>
      <c r="AW53" t="n">
        <v>126818744.815984</v>
      </c>
      <c r="AX53" t="n">
        <v>27671497.939534</v>
      </c>
      <c r="AY53" t="n">
        <v>5028314.88475652</v>
      </c>
      <c r="AZ53" t="n">
        <v>1037885.74683802</v>
      </c>
      <c r="BA53" t="n">
        <v>1567495.71563133</v>
      </c>
      <c r="BB53" t="n">
        <v>7432209.66048546</v>
      </c>
      <c r="BC53" t="n">
        <v>20894806.0540893</v>
      </c>
      <c r="BD53" t="n">
        <v>4548063.48512616</v>
      </c>
      <c r="BE53" t="n">
        <v>895587.040287203</v>
      </c>
      <c r="BF53" t="n">
        <v>1805202.46993458</v>
      </c>
      <c r="BG53" t="n">
        <v>4571950.976295</v>
      </c>
      <c r="BH53" t="n">
        <v>8780916.21024434</v>
      </c>
      <c r="BI53" t="n">
        <v>1606682.0784721</v>
      </c>
      <c r="BJ53" t="n">
        <v>1350966.95764733</v>
      </c>
      <c r="BK53" t="n">
        <v>517440.889963448</v>
      </c>
      <c r="BL53" t="n">
        <v>1710047.47429687</v>
      </c>
      <c r="BM53" t="n">
        <v>7333109.45487683</v>
      </c>
      <c r="BN53" t="n">
        <v>7205218.60809988</v>
      </c>
      <c r="BO53" t="n">
        <v>7264389.01103568</v>
      </c>
      <c r="BP53" t="n">
        <v>0</v>
      </c>
      <c r="BQ53" t="n">
        <v>4818792.25278435</v>
      </c>
      <c r="BR53" t="n">
        <v>1265530.04979697</v>
      </c>
      <c r="BS53" t="n">
        <v>17104389.943604</v>
      </c>
      <c r="BT53" t="n">
        <v>1561335.50234879</v>
      </c>
      <c r="BU53" t="n">
        <v>208332684.263513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186205361.399472</v>
      </c>
      <c r="CB53" t="n">
        <v>-23070184.0900202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305449.336719973</v>
      </c>
      <c r="C54" t="n">
        <v>32103.5679399843</v>
      </c>
      <c r="D54" t="n">
        <v>0</v>
      </c>
      <c r="E54" t="n">
        <v>478633.737290581</v>
      </c>
      <c r="F54" t="n">
        <v>27789.7206968964</v>
      </c>
      <c r="G54" t="n">
        <v>747281.534456334</v>
      </c>
      <c r="H54" t="n">
        <v>1231536.93722181</v>
      </c>
      <c r="I54" t="n">
        <v>84877.6460435108</v>
      </c>
      <c r="J54" t="n">
        <v>49907.3245989407</v>
      </c>
      <c r="K54" t="n">
        <v>214255.53565237</v>
      </c>
      <c r="L54" t="n">
        <v>2675552.02276761</v>
      </c>
      <c r="M54" t="n">
        <v>1141307.28731536</v>
      </c>
      <c r="N54" t="n">
        <v>96417.7414302614</v>
      </c>
      <c r="O54" t="n">
        <v>74374.6765612516</v>
      </c>
      <c r="P54" t="n">
        <v>391650.667159066</v>
      </c>
      <c r="Q54" t="n">
        <v>1222739.7865175</v>
      </c>
      <c r="R54" t="n">
        <v>519908.461664285</v>
      </c>
      <c r="S54" t="n">
        <v>637534.165758901</v>
      </c>
      <c r="T54" t="n">
        <v>150300.481111155</v>
      </c>
      <c r="U54" t="n">
        <v>15313.4987985933</v>
      </c>
      <c r="V54" t="n">
        <v>4283.96856947357</v>
      </c>
      <c r="W54" t="n">
        <v>99556.6460480405</v>
      </c>
      <c r="X54" t="n">
        <v>23731.5204035976</v>
      </c>
      <c r="Y54" t="n">
        <v>10277.9653138978</v>
      </c>
      <c r="Z54" t="n">
        <v>20719.4076393903</v>
      </c>
      <c r="AA54" t="n">
        <v>90117.9416989486</v>
      </c>
      <c r="AB54" t="n">
        <v>3221891.859288</v>
      </c>
      <c r="AC54" t="n">
        <v>161790.338222819</v>
      </c>
      <c r="AD54" t="n">
        <v>646054.002251696</v>
      </c>
      <c r="AE54" t="n">
        <v>1024641.72048525</v>
      </c>
      <c r="AF54" t="n">
        <v>925216.669546668</v>
      </c>
      <c r="AG54" t="n">
        <v>581768.286280325</v>
      </c>
      <c r="AH54" t="n">
        <v>252713.652033192</v>
      </c>
      <c r="AI54" t="n">
        <v>265035.351403734</v>
      </c>
      <c r="AJ54" t="n">
        <v>496845.288092352</v>
      </c>
      <c r="AK54" t="n">
        <v>2176628.62308359</v>
      </c>
      <c r="AL54" t="n">
        <v>43616.162883889</v>
      </c>
      <c r="AM54" t="n">
        <v>1382797.29915109</v>
      </c>
      <c r="AN54" t="n">
        <v>28466.5724990444</v>
      </c>
      <c r="AO54" t="n">
        <v>130355.56074097</v>
      </c>
      <c r="AP54" t="n">
        <v>175522.594035487</v>
      </c>
      <c r="AQ54" t="n">
        <v>92308.8887981464</v>
      </c>
      <c r="AR54" t="n">
        <v>34099.2456507099</v>
      </c>
      <c r="AS54" t="n">
        <v>52872108.4655545</v>
      </c>
      <c r="AT54" t="n">
        <v>16580254.2031239</v>
      </c>
      <c r="AU54" t="n">
        <v>3904174.69610673</v>
      </c>
      <c r="AV54" t="n">
        <v>90269241.6656629</v>
      </c>
      <c r="AW54" t="n">
        <v>4038.30156596197</v>
      </c>
      <c r="AX54" t="n">
        <v>6428716.16085202</v>
      </c>
      <c r="AY54" t="n">
        <v>1818378.66514685</v>
      </c>
      <c r="AZ54" t="n">
        <v>440663.892677884</v>
      </c>
      <c r="BA54" t="n">
        <v>424815.132255547</v>
      </c>
      <c r="BB54" t="n">
        <v>2212174.47794997</v>
      </c>
      <c r="BC54" t="n">
        <v>12425249.8802525</v>
      </c>
      <c r="BD54" t="n">
        <v>1391350.57090214</v>
      </c>
      <c r="BE54" t="n">
        <v>58270.6483367019</v>
      </c>
      <c r="BF54" t="n">
        <v>1814724.65763528</v>
      </c>
      <c r="BG54" t="n">
        <v>1976097.04372321</v>
      </c>
      <c r="BH54" t="n">
        <v>26870948.0911375</v>
      </c>
      <c r="BI54" t="n">
        <v>874372.54750495</v>
      </c>
      <c r="BJ54" t="n">
        <v>4979640.42443068</v>
      </c>
      <c r="BK54" t="n">
        <v>829676.919355577</v>
      </c>
      <c r="BL54" t="n">
        <v>125551.48155716</v>
      </c>
      <c r="BM54" t="n">
        <v>11059662.644204</v>
      </c>
      <c r="BN54" t="n">
        <v>8792589.14291791</v>
      </c>
      <c r="BO54" t="n">
        <v>4405591.40424181</v>
      </c>
      <c r="BP54" t="n">
        <v>0</v>
      </c>
      <c r="BQ54" t="n">
        <v>7380.66083725289</v>
      </c>
      <c r="BR54" t="n">
        <v>28734.0226902977</v>
      </c>
      <c r="BS54" t="n">
        <v>32255331.7774099</v>
      </c>
      <c r="BT54" t="n">
        <v>2207272.07743644</v>
      </c>
      <c r="BU54" t="n">
        <v>320684518.893805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85362013.0476599</v>
      </c>
      <c r="CB54" t="n">
        <v>-120809.816805041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1852453.69317087</v>
      </c>
      <c r="C55" t="n">
        <v>808609.670096513</v>
      </c>
      <c r="D55" t="n">
        <v>0</v>
      </c>
      <c r="E55" t="n">
        <v>115068.265138345</v>
      </c>
      <c r="F55" t="n">
        <v>8040.13315639139</v>
      </c>
      <c r="G55" t="n">
        <v>1202340.29136458</v>
      </c>
      <c r="H55" t="n">
        <v>214976.754338165</v>
      </c>
      <c r="I55" t="n">
        <v>391474.044795729</v>
      </c>
      <c r="J55" t="n">
        <v>475356.93159138</v>
      </c>
      <c r="K55" t="n">
        <v>55225.3300042272</v>
      </c>
      <c r="L55" t="n">
        <v>717177.650989377</v>
      </c>
      <c r="M55" t="n">
        <v>555365.084461253</v>
      </c>
      <c r="N55" t="n">
        <v>109568.57027951</v>
      </c>
      <c r="O55" t="n">
        <v>103331.333929029</v>
      </c>
      <c r="P55" t="n">
        <v>425835.482638967</v>
      </c>
      <c r="Q55" t="n">
        <v>1598085.34807781</v>
      </c>
      <c r="R55" t="n">
        <v>223104.793339776</v>
      </c>
      <c r="S55" t="n">
        <v>259180.371729958</v>
      </c>
      <c r="T55" t="n">
        <v>3190254.89150407</v>
      </c>
      <c r="U55" t="n">
        <v>370778.899439239</v>
      </c>
      <c r="V55" t="n">
        <v>133739.764560504</v>
      </c>
      <c r="W55" t="n">
        <v>1044756.16188316</v>
      </c>
      <c r="X55" t="n">
        <v>38694.1137407845</v>
      </c>
      <c r="Y55" t="n">
        <v>59184.1988253888</v>
      </c>
      <c r="Z55" t="n">
        <v>1092481.80719848</v>
      </c>
      <c r="AA55" t="n">
        <v>473401.453544738</v>
      </c>
      <c r="AB55" t="n">
        <v>24465491.5282618</v>
      </c>
      <c r="AC55" t="n">
        <v>3353643.59790583</v>
      </c>
      <c r="AD55" t="n">
        <v>1882617.66341961</v>
      </c>
      <c r="AE55" t="n">
        <v>1337417.15264723</v>
      </c>
      <c r="AF55" t="n">
        <v>6325041.97418394</v>
      </c>
      <c r="AG55" t="n">
        <v>129327.136482862</v>
      </c>
      <c r="AH55" t="n">
        <v>12602.4357213782</v>
      </c>
      <c r="AI55" t="n">
        <v>118976.588331398</v>
      </c>
      <c r="AJ55" t="n">
        <v>8486090.24520439</v>
      </c>
      <c r="AK55" t="n">
        <v>4372889.11710432</v>
      </c>
      <c r="AL55" t="n">
        <v>62656.5543369246</v>
      </c>
      <c r="AM55" t="n">
        <v>1779338.96017636</v>
      </c>
      <c r="AN55" t="n">
        <v>1541074.5320805</v>
      </c>
      <c r="AO55" t="n">
        <v>113022.464011121</v>
      </c>
      <c r="AP55" t="n">
        <v>274525.864958857</v>
      </c>
      <c r="AQ55" t="n">
        <v>522926.640601903</v>
      </c>
      <c r="AR55" t="n">
        <v>165800.348987896</v>
      </c>
      <c r="AS55" t="n">
        <v>2681069.78562479</v>
      </c>
      <c r="AT55" t="n">
        <v>2497769.84037111</v>
      </c>
      <c r="AU55" t="n">
        <v>375927079.624222</v>
      </c>
      <c r="AV55" t="n">
        <v>6215077.1093944</v>
      </c>
      <c r="AW55" t="n">
        <v>5000791.325131</v>
      </c>
      <c r="AX55" t="n">
        <v>22958831.3736969</v>
      </c>
      <c r="AY55" t="n">
        <v>3665489.45405784</v>
      </c>
      <c r="AZ55" t="n">
        <v>1405261.5660475</v>
      </c>
      <c r="BA55" t="n">
        <v>1067619.93380825</v>
      </c>
      <c r="BB55" t="n">
        <v>6008963.28136956</v>
      </c>
      <c r="BC55" t="n">
        <v>235552.735185273</v>
      </c>
      <c r="BD55" t="n">
        <v>4879842.88061569</v>
      </c>
      <c r="BE55" t="n">
        <v>1161694.24580335</v>
      </c>
      <c r="BF55" t="n">
        <v>1907893.01351027</v>
      </c>
      <c r="BG55" t="n">
        <v>8925215.60214483</v>
      </c>
      <c r="BH55" t="n">
        <v>19448146.5433547</v>
      </c>
      <c r="BI55" t="n">
        <v>4261275.62305491</v>
      </c>
      <c r="BJ55" t="n">
        <v>11838627.1416458</v>
      </c>
      <c r="BK55" t="n">
        <v>1156808.24012726</v>
      </c>
      <c r="BL55" t="n">
        <v>1329371.31845452</v>
      </c>
      <c r="BM55" t="n">
        <v>1794439.15226168</v>
      </c>
      <c r="BN55" t="n">
        <v>6473420.19490818</v>
      </c>
      <c r="BO55" t="n">
        <v>2224063.39967472</v>
      </c>
      <c r="BP55" t="n">
        <v>0</v>
      </c>
      <c r="BQ55" t="n">
        <v>842713.778186829</v>
      </c>
      <c r="BR55" t="n">
        <v>2900077.77640279</v>
      </c>
      <c r="BS55" t="n">
        <v>2623278.40597017</v>
      </c>
      <c r="BT55" t="n">
        <v>4477050.96714693</v>
      </c>
      <c r="BU55" t="n">
        <v>250180393.589367</v>
      </c>
      <c r="BV55" t="n">
        <v>0</v>
      </c>
      <c r="BW55" t="n">
        <v>0</v>
      </c>
      <c r="BX55" t="n">
        <v>0</v>
      </c>
      <c r="BY55" t="n">
        <v>3165951.74582562</v>
      </c>
      <c r="BZ55" t="n">
        <v>0</v>
      </c>
      <c r="CA55" t="n">
        <v>72505668.0246383</v>
      </c>
      <c r="CB55" t="n">
        <v>-189604250.756297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10897039.1451279</v>
      </c>
      <c r="AV56" t="n">
        <v>17419156.533504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224738.982873943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223201.221624195</v>
      </c>
      <c r="BR56" t="n">
        <v>0</v>
      </c>
      <c r="BS56" t="n">
        <v>3136273.06976911</v>
      </c>
      <c r="BT56" t="n">
        <v>0</v>
      </c>
      <c r="BU56" t="n">
        <v>439205361.410407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8792716362.97892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9808994.57017145</v>
      </c>
      <c r="C58" t="n">
        <v>174031.502015957</v>
      </c>
      <c r="D58" t="n">
        <v>0</v>
      </c>
      <c r="E58" t="n">
        <v>150410.701281401</v>
      </c>
      <c r="F58" t="n">
        <v>9772.99074098493</v>
      </c>
      <c r="G58" t="n">
        <v>26735159.0490295</v>
      </c>
      <c r="H58" t="n">
        <v>42371361.2023183</v>
      </c>
      <c r="I58" t="n">
        <v>6226439.2791314</v>
      </c>
      <c r="J58" t="n">
        <v>2323791.09027934</v>
      </c>
      <c r="K58" t="n">
        <v>172325.850307606</v>
      </c>
      <c r="L58" t="n">
        <v>17611763.520128</v>
      </c>
      <c r="M58" t="n">
        <v>3632721.62564823</v>
      </c>
      <c r="N58" t="n">
        <v>5502611.7749773</v>
      </c>
      <c r="O58" t="n">
        <v>408316.686665888</v>
      </c>
      <c r="P58" t="n">
        <v>1017629.74869931</v>
      </c>
      <c r="Q58" t="n">
        <v>7804780.94028642</v>
      </c>
      <c r="R58" t="n">
        <v>3033517.64166413</v>
      </c>
      <c r="S58" t="n">
        <v>3579125.18388167</v>
      </c>
      <c r="T58" t="n">
        <v>18422818.5363486</v>
      </c>
      <c r="U58" t="n">
        <v>3492954.82935205</v>
      </c>
      <c r="V58" t="n">
        <v>1618473.85368103</v>
      </c>
      <c r="W58" t="n">
        <v>20281003.2523458</v>
      </c>
      <c r="X58" t="n">
        <v>4517493.73698419</v>
      </c>
      <c r="Y58" t="n">
        <v>124290.049181527</v>
      </c>
      <c r="Z58" t="n">
        <v>9840842.32281367</v>
      </c>
      <c r="AA58" t="n">
        <v>8942686.99654377</v>
      </c>
      <c r="AB58" t="n">
        <v>262905621.564599</v>
      </c>
      <c r="AC58" t="n">
        <v>97525955.2100679</v>
      </c>
      <c r="AD58" t="n">
        <v>179748783.744056</v>
      </c>
      <c r="AE58" t="n">
        <v>80874357.7381194</v>
      </c>
      <c r="AF58" t="n">
        <v>426418158.615762</v>
      </c>
      <c r="AG58" t="n">
        <v>275386.91958498</v>
      </c>
      <c r="AH58" t="n">
        <v>333919.369505911</v>
      </c>
      <c r="AI58" t="n">
        <v>694941.684386881</v>
      </c>
      <c r="AJ58" t="n">
        <v>24639072.9953536</v>
      </c>
      <c r="AK58" t="n">
        <v>6832674.46996466</v>
      </c>
      <c r="AL58" t="n">
        <v>283841.784677067</v>
      </c>
      <c r="AM58" t="n">
        <v>17076583.3640019</v>
      </c>
      <c r="AN58" t="n">
        <v>28978296.3063923</v>
      </c>
      <c r="AO58" t="n">
        <v>9189573.53690219</v>
      </c>
      <c r="AP58" t="n">
        <v>2670672.53938678</v>
      </c>
      <c r="AQ58" t="n">
        <v>38230820.6846914</v>
      </c>
      <c r="AR58" t="n">
        <v>8526758.5075036</v>
      </c>
      <c r="AS58" t="n">
        <v>70601511.845197</v>
      </c>
      <c r="AT58" t="n">
        <v>31908635.6305774</v>
      </c>
      <c r="AU58" t="n">
        <v>84056882.7536399</v>
      </c>
      <c r="AV58" t="n">
        <v>1945641.02564103</v>
      </c>
      <c r="AW58" t="n">
        <v>25900880.8370702</v>
      </c>
      <c r="AX58" t="n">
        <v>464110924.636065</v>
      </c>
      <c r="AY58" t="n">
        <v>21000000</v>
      </c>
      <c r="AZ58" t="n">
        <v>48940822.5655802</v>
      </c>
      <c r="BA58" t="n">
        <v>19203635.835547</v>
      </c>
      <c r="BB58" t="n">
        <v>150755855.679215</v>
      </c>
      <c r="BC58" t="n">
        <v>141343201.867933</v>
      </c>
      <c r="BD58" t="n">
        <v>122133924.907975</v>
      </c>
      <c r="BE58" t="n">
        <v>13040243.0423556</v>
      </c>
      <c r="BF58" t="n">
        <v>151517224.423651</v>
      </c>
      <c r="BG58" t="n">
        <v>195223855.668971</v>
      </c>
      <c r="BH58" t="n">
        <v>493923123.518969</v>
      </c>
      <c r="BI58" t="n">
        <v>190198937.001917</v>
      </c>
      <c r="BJ58" t="n">
        <v>70654177.5581332</v>
      </c>
      <c r="BK58" t="n">
        <v>34930550.3562049</v>
      </c>
      <c r="BL58" t="n">
        <v>82482954.6513193</v>
      </c>
      <c r="BM58" t="n">
        <v>17376537.1213326</v>
      </c>
      <c r="BN58" t="n">
        <v>244832267.198714</v>
      </c>
      <c r="BO58" t="n">
        <v>209151386.796243</v>
      </c>
      <c r="BP58" t="n">
        <v>365223.84241494</v>
      </c>
      <c r="BQ58" t="n">
        <v>58422464.253708</v>
      </c>
      <c r="BR58" t="n">
        <v>2651535.91794046</v>
      </c>
      <c r="BS58" t="n">
        <v>84999317.135868</v>
      </c>
      <c r="BT58" t="n">
        <v>5087889.36729274</v>
      </c>
      <c r="BU58" t="n">
        <v>25540381.5681807</v>
      </c>
      <c r="BV58" t="n">
        <v>85376687.3975986</v>
      </c>
      <c r="BW58" t="n">
        <v>0</v>
      </c>
      <c r="BX58" t="n">
        <v>0</v>
      </c>
      <c r="BY58" t="n">
        <v>542105947.410682</v>
      </c>
      <c r="BZ58" t="n">
        <v>0</v>
      </c>
      <c r="CA58" t="n">
        <v>7597276.95376015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2089447.35506258</v>
      </c>
      <c r="C59" t="n">
        <v>237422.928251366</v>
      </c>
      <c r="D59" t="n">
        <v>0</v>
      </c>
      <c r="E59" t="n">
        <v>637948.267532806</v>
      </c>
      <c r="F59" t="n">
        <v>17232.294078534</v>
      </c>
      <c r="G59" t="n">
        <v>2390918.35757626</v>
      </c>
      <c r="H59" t="n">
        <v>21773602.9239536</v>
      </c>
      <c r="I59" t="n">
        <v>667171.640168653</v>
      </c>
      <c r="J59" t="n">
        <v>491302.337748733</v>
      </c>
      <c r="K59" t="n">
        <v>73744.5550319672</v>
      </c>
      <c r="L59" t="n">
        <v>1942362.96813996</v>
      </c>
      <c r="M59" t="n">
        <v>797373.581472933</v>
      </c>
      <c r="N59" t="n">
        <v>303924.32976958</v>
      </c>
      <c r="O59" t="n">
        <v>70944.6777536977</v>
      </c>
      <c r="P59" t="n">
        <v>976046.969762722</v>
      </c>
      <c r="Q59" t="n">
        <v>1665447.47361656</v>
      </c>
      <c r="R59" t="n">
        <v>192462.033682841</v>
      </c>
      <c r="S59" t="n">
        <v>478041.784272776</v>
      </c>
      <c r="T59" t="n">
        <v>3753157.04840762</v>
      </c>
      <c r="U59" t="n">
        <v>153698.400958602</v>
      </c>
      <c r="V59" t="n">
        <v>5953994.69575915</v>
      </c>
      <c r="W59" t="n">
        <v>3524982.17420277</v>
      </c>
      <c r="X59" t="n">
        <v>336127.613473789</v>
      </c>
      <c r="Y59" t="n">
        <v>256537.158494514</v>
      </c>
      <c r="Z59" t="n">
        <v>2448275.97094343</v>
      </c>
      <c r="AA59" t="n">
        <v>921257.353273835</v>
      </c>
      <c r="AB59" t="n">
        <v>21463212.5143287</v>
      </c>
      <c r="AC59" t="n">
        <v>1241343.03403478</v>
      </c>
      <c r="AD59" t="n">
        <v>2211836.44825907</v>
      </c>
      <c r="AE59" t="n">
        <v>3922792.50247447</v>
      </c>
      <c r="AF59" t="n">
        <v>7500398.11510618</v>
      </c>
      <c r="AG59" t="n">
        <v>3070470.80218747</v>
      </c>
      <c r="AH59" t="n">
        <v>3245043.13576457</v>
      </c>
      <c r="AI59" t="n">
        <v>1778964.88873989</v>
      </c>
      <c r="AJ59" t="n">
        <v>24413857.4675954</v>
      </c>
      <c r="AK59" t="n">
        <v>1177970.32577646</v>
      </c>
      <c r="AL59" t="n">
        <v>14862.8063017311</v>
      </c>
      <c r="AM59" t="n">
        <v>1944060.25248567</v>
      </c>
      <c r="AN59" t="n">
        <v>4608349.05475723</v>
      </c>
      <c r="AO59" t="n">
        <v>610456.761208581</v>
      </c>
      <c r="AP59" t="n">
        <v>288833.051324289</v>
      </c>
      <c r="AQ59" t="n">
        <v>3749402.55182095</v>
      </c>
      <c r="AR59" t="n">
        <v>2026246.54004702</v>
      </c>
      <c r="AS59" t="n">
        <v>3405609.32123223</v>
      </c>
      <c r="AT59" t="n">
        <v>2165442.35961808</v>
      </c>
      <c r="AU59" t="n">
        <v>4009264.76240865</v>
      </c>
      <c r="AV59" t="n">
        <v>22737.5432513742</v>
      </c>
      <c r="AW59" t="n">
        <v>7802864.86948298</v>
      </c>
      <c r="AX59" t="n">
        <v>2213802.86146285</v>
      </c>
      <c r="AY59" t="n">
        <v>6156440.28221452</v>
      </c>
      <c r="AZ59" t="n">
        <v>1413317.30324105</v>
      </c>
      <c r="BA59" t="n">
        <v>2046587.32971758</v>
      </c>
      <c r="BB59" t="n">
        <v>12437910.0178464</v>
      </c>
      <c r="BC59" t="n">
        <v>19735460.9728853</v>
      </c>
      <c r="BD59" t="n">
        <v>8974136.26257283</v>
      </c>
      <c r="BE59" t="n">
        <v>3230785.27980982</v>
      </c>
      <c r="BF59" t="n">
        <v>2124180.02452594</v>
      </c>
      <c r="BG59" t="n">
        <v>4728455.56908116</v>
      </c>
      <c r="BH59" t="n">
        <v>7964902.76775923</v>
      </c>
      <c r="BI59" t="n">
        <v>1086922.81449204</v>
      </c>
      <c r="BJ59" t="n">
        <v>811638.773697998</v>
      </c>
      <c r="BK59" t="n">
        <v>1550641.60176946</v>
      </c>
      <c r="BL59" t="n">
        <v>3157316.59039461</v>
      </c>
      <c r="BM59" t="n">
        <v>3768022.1114152</v>
      </c>
      <c r="BN59" t="n">
        <v>13371141.2401469</v>
      </c>
      <c r="BO59" t="n">
        <v>2879345.88602107</v>
      </c>
      <c r="BP59" t="n">
        <v>156090.330217429</v>
      </c>
      <c r="BQ59" t="n">
        <v>466399.975520557</v>
      </c>
      <c r="BR59" t="n">
        <v>270539.98211136</v>
      </c>
      <c r="BS59" t="n">
        <v>10014179.4801757</v>
      </c>
      <c r="BT59" t="n">
        <v>407558.907440436</v>
      </c>
      <c r="BU59" t="n">
        <v>114451572.578385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173281738.686308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718627.360805267</v>
      </c>
      <c r="C60" t="n">
        <v>414569.231544021</v>
      </c>
      <c r="D60" t="n">
        <v>0</v>
      </c>
      <c r="E60" t="n">
        <v>259528.187278731</v>
      </c>
      <c r="F60" t="n">
        <v>3013.84127617871</v>
      </c>
      <c r="G60" t="n">
        <v>14451291.9542381</v>
      </c>
      <c r="H60" t="n">
        <v>10461893.2385658</v>
      </c>
      <c r="I60" t="n">
        <v>2339183.74325349</v>
      </c>
      <c r="J60" t="n">
        <v>678649.882055742</v>
      </c>
      <c r="K60" t="n">
        <v>113223.243340534</v>
      </c>
      <c r="L60" t="n">
        <v>4252709.44632249</v>
      </c>
      <c r="M60" t="n">
        <v>1756503.51030536</v>
      </c>
      <c r="N60" t="n">
        <v>3595971.20882481</v>
      </c>
      <c r="O60" t="n">
        <v>108928.544757931</v>
      </c>
      <c r="P60" t="n">
        <v>904451.682596303</v>
      </c>
      <c r="Q60" t="n">
        <v>4893690.69099486</v>
      </c>
      <c r="R60" t="n">
        <v>473282.546920144</v>
      </c>
      <c r="S60" t="n">
        <v>2240652.79433733</v>
      </c>
      <c r="T60" t="n">
        <v>3103535.05542003</v>
      </c>
      <c r="U60" t="n">
        <v>625139.68949425</v>
      </c>
      <c r="V60" t="n">
        <v>553202.391332901</v>
      </c>
      <c r="W60" t="n">
        <v>6626660.05618693</v>
      </c>
      <c r="X60" t="n">
        <v>527229.969642861</v>
      </c>
      <c r="Y60" t="n">
        <v>350597.38185731</v>
      </c>
      <c r="Z60" t="n">
        <v>6093390.2518932</v>
      </c>
      <c r="AA60" t="n">
        <v>2291493.11391763</v>
      </c>
      <c r="AB60" t="n">
        <v>34971277.5360555</v>
      </c>
      <c r="AC60" t="n">
        <v>2099105.90919594</v>
      </c>
      <c r="AD60" t="n">
        <v>3222617.73958637</v>
      </c>
      <c r="AE60" t="n">
        <v>2015550.76845829</v>
      </c>
      <c r="AF60" t="n">
        <v>12662429.6392622</v>
      </c>
      <c r="AG60" t="n">
        <v>225525.445497988</v>
      </c>
      <c r="AH60" t="n">
        <v>1119092.19674282</v>
      </c>
      <c r="AI60" t="n">
        <v>118491.342554032</v>
      </c>
      <c r="AJ60" t="n">
        <v>519294.014117969</v>
      </c>
      <c r="AK60" t="n">
        <v>434625.192185201</v>
      </c>
      <c r="AL60" t="n">
        <v>41608.8594443608</v>
      </c>
      <c r="AM60" t="n">
        <v>1082660.53091927</v>
      </c>
      <c r="AN60" t="n">
        <v>718692.651935027</v>
      </c>
      <c r="AO60" t="n">
        <v>3437745.38067596</v>
      </c>
      <c r="AP60" t="n">
        <v>539117.960014178</v>
      </c>
      <c r="AQ60" t="n">
        <v>3205135.46171077</v>
      </c>
      <c r="AR60" t="n">
        <v>3002684.41254114</v>
      </c>
      <c r="AS60" t="n">
        <v>10207357.4564132</v>
      </c>
      <c r="AT60" t="n">
        <v>8568725.60025899</v>
      </c>
      <c r="AU60" t="n">
        <v>34066026.8075261</v>
      </c>
      <c r="AV60" t="n">
        <v>3950167.82390348</v>
      </c>
      <c r="AW60" t="n">
        <v>5105451.71712337</v>
      </c>
      <c r="AX60" t="n">
        <v>20488514.9333817</v>
      </c>
      <c r="AY60" t="n">
        <v>1221772.55646064</v>
      </c>
      <c r="AZ60" t="n">
        <v>4240204.01899026</v>
      </c>
      <c r="BA60" t="n">
        <v>6192155.84664216</v>
      </c>
      <c r="BB60" t="n">
        <v>25027450.1082515</v>
      </c>
      <c r="BC60" t="n">
        <v>27462895.9527202</v>
      </c>
      <c r="BD60" t="n">
        <v>17398041.087178</v>
      </c>
      <c r="BE60" t="n">
        <v>1370081.40289286</v>
      </c>
      <c r="BF60" t="n">
        <v>1276634.61173761</v>
      </c>
      <c r="BG60" t="n">
        <v>12291620.7903087</v>
      </c>
      <c r="BH60" t="n">
        <v>77120280.3084269</v>
      </c>
      <c r="BI60" t="n">
        <v>7371410.79475091</v>
      </c>
      <c r="BJ60" t="n">
        <v>3117939.36231028</v>
      </c>
      <c r="BK60" t="n">
        <v>3619197.5046125</v>
      </c>
      <c r="BL60" t="n">
        <v>5666253.71214614</v>
      </c>
      <c r="BM60" t="n">
        <v>5054452.68404623</v>
      </c>
      <c r="BN60" t="n">
        <v>6634463.66513866</v>
      </c>
      <c r="BO60" t="n">
        <v>10477041.530008</v>
      </c>
      <c r="BP60" t="n">
        <v>0</v>
      </c>
      <c r="BQ60" t="n">
        <v>381237.190029734</v>
      </c>
      <c r="BR60" t="n">
        <v>243612.041786009</v>
      </c>
      <c r="BS60" t="n">
        <v>34038106.639337</v>
      </c>
      <c r="BT60" t="n">
        <v>1878634.32478635</v>
      </c>
      <c r="BU60" t="n">
        <v>256584021.161038</v>
      </c>
      <c r="BV60" t="n">
        <v>0</v>
      </c>
      <c r="BW60" t="n">
        <v>0</v>
      </c>
      <c r="BX60" t="n">
        <v>0</v>
      </c>
      <c r="BY60" t="n">
        <v>54013345.7325005</v>
      </c>
      <c r="BZ60" t="n">
        <v>0</v>
      </c>
      <c r="CA60" t="n">
        <v>38273925.0136955</v>
      </c>
      <c r="CB60" t="n">
        <v>-15466521.9799185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1047839.18846526</v>
      </c>
      <c r="C61" t="n">
        <v>163361.617292339</v>
      </c>
      <c r="D61" t="n">
        <v>0</v>
      </c>
      <c r="E61" t="n">
        <v>329689.028945086</v>
      </c>
      <c r="F61" t="n">
        <v>1039.18261715043</v>
      </c>
      <c r="G61" t="n">
        <v>6047138.77789173</v>
      </c>
      <c r="H61" t="n">
        <v>10675642.8862148</v>
      </c>
      <c r="I61" t="n">
        <v>2037468.73639508</v>
      </c>
      <c r="J61" t="n">
        <v>655815.956511846</v>
      </c>
      <c r="K61" t="n">
        <v>99718.8341932014</v>
      </c>
      <c r="L61" t="n">
        <v>4444797.68348137</v>
      </c>
      <c r="M61" t="n">
        <v>2861381.97805357</v>
      </c>
      <c r="N61" t="n">
        <v>649907.103353669</v>
      </c>
      <c r="O61" t="n">
        <v>55957.1076955428</v>
      </c>
      <c r="P61" t="n">
        <v>309137.689691912</v>
      </c>
      <c r="Q61" t="n">
        <v>10712021.7460272</v>
      </c>
      <c r="R61" t="n">
        <v>488294.114757364</v>
      </c>
      <c r="S61" t="n">
        <v>814771.728487856</v>
      </c>
      <c r="T61" t="n">
        <v>3818341.33640245</v>
      </c>
      <c r="U61" t="n">
        <v>493093.309303831</v>
      </c>
      <c r="V61" t="n">
        <v>87911.090680713</v>
      </c>
      <c r="W61" t="n">
        <v>3422515.938559</v>
      </c>
      <c r="X61" t="n">
        <v>788897.94265263</v>
      </c>
      <c r="Y61" t="n">
        <v>389394.727572911</v>
      </c>
      <c r="Z61" t="n">
        <v>668891.534102294</v>
      </c>
      <c r="AA61" t="n">
        <v>1492294.15928518</v>
      </c>
      <c r="AB61" t="n">
        <v>47120429.8897042</v>
      </c>
      <c r="AC61" t="n">
        <v>16201598.1068737</v>
      </c>
      <c r="AD61" t="n">
        <v>4828568.14861788</v>
      </c>
      <c r="AE61" t="n">
        <v>5910203.13205377</v>
      </c>
      <c r="AF61" t="n">
        <v>18747394.1665834</v>
      </c>
      <c r="AG61" t="n">
        <v>279648.072693167</v>
      </c>
      <c r="AH61" t="n">
        <v>1695360.77654552</v>
      </c>
      <c r="AI61" t="n">
        <v>47055.49572226</v>
      </c>
      <c r="AJ61" t="n">
        <v>1897703.89303284</v>
      </c>
      <c r="AK61" t="n">
        <v>711880.496644659</v>
      </c>
      <c r="AL61" t="n">
        <v>9162.11277527464</v>
      </c>
      <c r="AM61" t="n">
        <v>500119.213346088</v>
      </c>
      <c r="AN61" t="n">
        <v>843725.231961601</v>
      </c>
      <c r="AO61" t="n">
        <v>6844852.87109525</v>
      </c>
      <c r="AP61" t="n">
        <v>422677.44973176</v>
      </c>
      <c r="AQ61" t="n">
        <v>4580584.67948796</v>
      </c>
      <c r="AR61" t="n">
        <v>7041070.76397965</v>
      </c>
      <c r="AS61" t="n">
        <v>17307550.2213516</v>
      </c>
      <c r="AT61" t="n">
        <v>7553102.28374173</v>
      </c>
      <c r="AU61" t="n">
        <v>21336976.7041028</v>
      </c>
      <c r="AV61" t="n">
        <v>2769556.28036065</v>
      </c>
      <c r="AW61" t="n">
        <v>2690261.0896824</v>
      </c>
      <c r="AX61" t="n">
        <v>7888140.50166668</v>
      </c>
      <c r="AY61" t="n">
        <v>1012205.60739412</v>
      </c>
      <c r="AZ61" t="n">
        <v>7611621.95816708</v>
      </c>
      <c r="BA61" t="n">
        <v>12679077.7471128</v>
      </c>
      <c r="BB61" t="n">
        <v>21594796.8963086</v>
      </c>
      <c r="BC61" t="n">
        <v>6572504.09359237</v>
      </c>
      <c r="BD61" t="n">
        <v>41021048.890466</v>
      </c>
      <c r="BE61" t="n">
        <v>1812301.11620427</v>
      </c>
      <c r="BF61" t="n">
        <v>5930588.88547178</v>
      </c>
      <c r="BG61" t="n">
        <v>12785517.1534244</v>
      </c>
      <c r="BH61" t="n">
        <v>25816418.2922932</v>
      </c>
      <c r="BI61" t="n">
        <v>5653127.72906972</v>
      </c>
      <c r="BJ61" t="n">
        <v>7845554.77999906</v>
      </c>
      <c r="BK61" t="n">
        <v>981785.223027141</v>
      </c>
      <c r="BL61" t="n">
        <v>3864683.57082224</v>
      </c>
      <c r="BM61" t="n">
        <v>5102879.91355742</v>
      </c>
      <c r="BN61" t="n">
        <v>17745721.9916946</v>
      </c>
      <c r="BO61" t="n">
        <v>9072704.65268539</v>
      </c>
      <c r="BP61" t="n">
        <v>5522395.27310072</v>
      </c>
      <c r="BQ61" t="n">
        <v>43796831.4050531</v>
      </c>
      <c r="BR61" t="n">
        <v>463599.583935061</v>
      </c>
      <c r="BS61" t="n">
        <v>100681772.465068</v>
      </c>
      <c r="BT61" t="n">
        <v>8770433.83868349</v>
      </c>
      <c r="BU61" t="n">
        <v>0</v>
      </c>
      <c r="BV61" t="n">
        <v>0</v>
      </c>
      <c r="BW61" t="n">
        <v>75183037.276501</v>
      </c>
      <c r="BX61" t="n">
        <v>417853270.697024</v>
      </c>
      <c r="BY61" t="n">
        <v>0</v>
      </c>
      <c r="BZ61" t="n">
        <v>0</v>
      </c>
      <c r="CA61" t="n">
        <v>80728515.5982049</v>
      </c>
      <c r="CB61" t="n">
        <v>-84893218.9168203</v>
      </c>
      <c r="CC61" t="n">
        <v>0</v>
      </c>
      <c r="CD61" t="n">
        <v>0</v>
      </c>
      <c r="CE61" t="n">
        <v>2188212.94604843</v>
      </c>
      <c r="CF61" t="n">
        <v>5622108.45786439</v>
      </c>
      <c r="CG61" t="n">
        <v>0</v>
      </c>
      <c r="CH61" t="n">
        <v>0</v>
      </c>
      <c r="CI61" t="n">
        <v>0</v>
      </c>
      <c r="CJ61" t="n">
        <v>15392661.4602899</v>
      </c>
      <c r="CK61" t="n">
        <v>0</v>
      </c>
      <c r="CL61" t="n">
        <v>0</v>
      </c>
      <c r="CM61" t="n">
        <v>2595482.91325453</v>
      </c>
      <c r="CN61" t="n">
        <v>17226581.5966344</v>
      </c>
    </row>
    <row r="62">
      <c r="A62" t="s">
        <v>173</v>
      </c>
      <c r="B62" t="n">
        <v>1166436.38412336</v>
      </c>
      <c r="C62" t="n">
        <v>645742.3577716</v>
      </c>
      <c r="D62" t="n">
        <v>0</v>
      </c>
      <c r="E62" t="n">
        <v>269329.565135633</v>
      </c>
      <c r="F62" t="n">
        <v>4717.01394531127</v>
      </c>
      <c r="G62" t="n">
        <v>9885141.09360177</v>
      </c>
      <c r="H62" t="n">
        <v>26183936.4188731</v>
      </c>
      <c r="I62" t="n">
        <v>2943595.03142936</v>
      </c>
      <c r="J62" t="n">
        <v>1083304.62610026</v>
      </c>
      <c r="K62" t="n">
        <v>199417.499057006</v>
      </c>
      <c r="L62" t="n">
        <v>3841621.14087964</v>
      </c>
      <c r="M62" t="n">
        <v>1859583.12111252</v>
      </c>
      <c r="N62" t="n">
        <v>2514826.49763064</v>
      </c>
      <c r="O62" t="n">
        <v>210716.641118365</v>
      </c>
      <c r="P62" t="n">
        <v>767304.215732151</v>
      </c>
      <c r="Q62" t="n">
        <v>5434434.30095461</v>
      </c>
      <c r="R62" t="n">
        <v>1000356.12664011</v>
      </c>
      <c r="S62" t="n">
        <v>1968745.12434748</v>
      </c>
      <c r="T62" t="n">
        <v>9465998.12651162</v>
      </c>
      <c r="U62" t="n">
        <v>971718.908688695</v>
      </c>
      <c r="V62" t="n">
        <v>401841.588707605</v>
      </c>
      <c r="W62" t="n">
        <v>7184217.81851827</v>
      </c>
      <c r="X62" t="n">
        <v>789876.932213169</v>
      </c>
      <c r="Y62" t="n">
        <v>479669.099134951</v>
      </c>
      <c r="Z62" t="n">
        <v>5694516.19841062</v>
      </c>
      <c r="AA62" t="n">
        <v>2911855.34954087</v>
      </c>
      <c r="AB62" t="n">
        <v>88841789.4563151</v>
      </c>
      <c r="AC62" t="n">
        <v>25467856.050589</v>
      </c>
      <c r="AD62" t="n">
        <v>15194021.4159804</v>
      </c>
      <c r="AE62" t="n">
        <v>4940369.94836017</v>
      </c>
      <c r="AF62" t="n">
        <v>57284029.2708609</v>
      </c>
      <c r="AG62" t="n">
        <v>250142.500333974</v>
      </c>
      <c r="AH62" t="n">
        <v>749898.387791363</v>
      </c>
      <c r="AI62" t="n">
        <v>373664.345553209</v>
      </c>
      <c r="AJ62" t="n">
        <v>2512159.15344169</v>
      </c>
      <c r="AK62" t="n">
        <v>1179057.98013518</v>
      </c>
      <c r="AL62" t="n">
        <v>217723.64335432</v>
      </c>
      <c r="AM62" t="n">
        <v>1417178.62623842</v>
      </c>
      <c r="AN62" t="n">
        <v>1765622.42568086</v>
      </c>
      <c r="AO62" t="n">
        <v>5912727.06861404</v>
      </c>
      <c r="AP62" t="n">
        <v>1168634.93729871</v>
      </c>
      <c r="AQ62" t="n">
        <v>11502760.8109517</v>
      </c>
      <c r="AR62" t="n">
        <v>7191736.33422586</v>
      </c>
      <c r="AS62" t="n">
        <v>31086401.0152504</v>
      </c>
      <c r="AT62" t="n">
        <v>11635719.0736807</v>
      </c>
      <c r="AU62" t="n">
        <v>31598030.2477105</v>
      </c>
      <c r="AV62" t="n">
        <v>1952782.24570415</v>
      </c>
      <c r="AW62" t="n">
        <v>2207752.86482018</v>
      </c>
      <c r="AX62" t="n">
        <v>27180547.9711617</v>
      </c>
      <c r="AY62" t="n">
        <v>4343600.74730326</v>
      </c>
      <c r="AZ62" t="n">
        <v>5351974.53094618</v>
      </c>
      <c r="BA62" t="n">
        <v>13805689.6372056</v>
      </c>
      <c r="BB62" t="n">
        <v>79743836.8648629</v>
      </c>
      <c r="BC62" t="n">
        <v>41327368.8514162</v>
      </c>
      <c r="BD62" t="n">
        <v>36064103.5376542</v>
      </c>
      <c r="BE62" t="n">
        <v>2742038.35468122</v>
      </c>
      <c r="BF62" t="n">
        <v>7347185.53785167</v>
      </c>
      <c r="BG62" t="n">
        <v>24841552.0291701</v>
      </c>
      <c r="BH62" t="n">
        <v>62796706.0540378</v>
      </c>
      <c r="BI62" t="n">
        <v>14113231.1514381</v>
      </c>
      <c r="BJ62" t="n">
        <v>8367023.96234371</v>
      </c>
      <c r="BK62" t="n">
        <v>4574187.23758814</v>
      </c>
      <c r="BL62" t="n">
        <v>7457287.72649164</v>
      </c>
      <c r="BM62" t="n">
        <v>11280716.877799</v>
      </c>
      <c r="BN62" t="n">
        <v>22915067.9229687</v>
      </c>
      <c r="BO62" t="n">
        <v>22303317.1213121</v>
      </c>
      <c r="BP62" t="n">
        <v>18217260.0751804</v>
      </c>
      <c r="BQ62" t="n">
        <v>14302503.4770469</v>
      </c>
      <c r="BR62" t="n">
        <v>1593830.23305338</v>
      </c>
      <c r="BS62" t="n">
        <v>58874006.1576509</v>
      </c>
      <c r="BT62" t="n">
        <v>10229339.3941629</v>
      </c>
      <c r="BU62" t="n">
        <v>55136809.7569425</v>
      </c>
      <c r="BV62" t="n">
        <v>0</v>
      </c>
      <c r="BW62" t="n">
        <v>27143630.8489847</v>
      </c>
      <c r="BX62" t="n">
        <v>286405920.933668</v>
      </c>
      <c r="BY62" t="n">
        <v>2279976.61272193</v>
      </c>
      <c r="BZ62" t="n">
        <v>0</v>
      </c>
      <c r="CA62" t="n">
        <v>387916019.20545</v>
      </c>
      <c r="CB62" t="n">
        <v>-251882543.897479</v>
      </c>
      <c r="CC62" t="n">
        <v>0</v>
      </c>
      <c r="CD62" t="n">
        <v>0</v>
      </c>
      <c r="CE62" t="n">
        <v>0</v>
      </c>
      <c r="CF62" t="n">
        <v>11874683.1735409</v>
      </c>
      <c r="CG62" t="n">
        <v>0</v>
      </c>
      <c r="CH62" t="n">
        <v>0</v>
      </c>
      <c r="CI62" t="n">
        <v>0</v>
      </c>
      <c r="CJ62" t="n">
        <v>12393987.5944783</v>
      </c>
      <c r="CK62" t="n">
        <v>0</v>
      </c>
      <c r="CL62" t="n">
        <v>0</v>
      </c>
      <c r="CM62" t="n">
        <v>0</v>
      </c>
      <c r="CN62" t="n">
        <v>10228079.1920285</v>
      </c>
    </row>
    <row r="63">
      <c r="A63" t="s">
        <v>174</v>
      </c>
      <c r="B63" t="n">
        <v>0</v>
      </c>
      <c r="C63" t="n">
        <v>0</v>
      </c>
      <c r="D63" t="n">
        <v>0</v>
      </c>
      <c r="E63" t="n">
        <v>3659891.82963633</v>
      </c>
      <c r="F63" t="n">
        <v>45883.0566898158</v>
      </c>
      <c r="G63" t="n">
        <v>160156.214181141</v>
      </c>
      <c r="H63" t="n">
        <v>21964592.9769324</v>
      </c>
      <c r="I63" t="n">
        <v>3103615.60328388</v>
      </c>
      <c r="J63" t="n">
        <v>3981622.99663363</v>
      </c>
      <c r="K63" t="n">
        <v>315999.097374872</v>
      </c>
      <c r="L63" t="n">
        <v>13363111.8497733</v>
      </c>
      <c r="M63" t="n">
        <v>18272043.7590995</v>
      </c>
      <c r="N63" t="n">
        <v>6092124.79178329</v>
      </c>
      <c r="O63" t="n">
        <v>1132962.79232261</v>
      </c>
      <c r="P63" t="n">
        <v>3851283.74339397</v>
      </c>
      <c r="Q63" t="n">
        <v>17938293.6125974</v>
      </c>
      <c r="R63" t="n">
        <v>951717.451149151</v>
      </c>
      <c r="S63" t="n">
        <v>7439083.62549026</v>
      </c>
      <c r="T63" t="n">
        <v>77528988.8820063</v>
      </c>
      <c r="U63" t="n">
        <v>4604849.63964715</v>
      </c>
      <c r="V63" t="n">
        <v>2842654.2219275</v>
      </c>
      <c r="W63" t="n">
        <v>25157758.2866881</v>
      </c>
      <c r="X63" t="n">
        <v>820662.196853062</v>
      </c>
      <c r="Y63" t="n">
        <v>3176489.29530137</v>
      </c>
      <c r="Z63" t="n">
        <v>36491310.8621722</v>
      </c>
      <c r="AA63" t="n">
        <v>5101725.15459486</v>
      </c>
      <c r="AB63" t="n">
        <v>225333207.07043</v>
      </c>
      <c r="AC63" t="n">
        <v>7202751.67920494</v>
      </c>
      <c r="AD63" t="n">
        <v>26012206.5590847</v>
      </c>
      <c r="AE63" t="n">
        <v>40386621.8915209</v>
      </c>
      <c r="AF63" t="n">
        <v>86112681.7532749</v>
      </c>
      <c r="AG63" t="n">
        <v>3819431.82412122</v>
      </c>
      <c r="AH63" t="n">
        <v>18580.0304331668</v>
      </c>
      <c r="AI63" t="n">
        <v>1036857.75763062</v>
      </c>
      <c r="AJ63" t="n">
        <v>10775196.9697548</v>
      </c>
      <c r="AK63" t="n">
        <v>602408.14362451</v>
      </c>
      <c r="AL63" t="n">
        <v>1812.17403877475</v>
      </c>
      <c r="AM63" t="n">
        <v>13414410.3252365</v>
      </c>
      <c r="AN63" t="n">
        <v>3994689.10781638</v>
      </c>
      <c r="AO63" t="n">
        <v>3767577.93831084</v>
      </c>
      <c r="AP63" t="n">
        <v>330652.493507804</v>
      </c>
      <c r="AQ63" t="n">
        <v>4742383.12596472</v>
      </c>
      <c r="AR63" t="n">
        <v>2046389.54240822</v>
      </c>
      <c r="AS63" t="n">
        <v>15494345.3568751</v>
      </c>
      <c r="AT63" t="n">
        <v>13400582.0121677</v>
      </c>
      <c r="AU63" t="n">
        <v>17912227.472444</v>
      </c>
      <c r="AV63" t="n">
        <v>2331702.00384978</v>
      </c>
      <c r="AW63" t="n">
        <v>80955.9015235835</v>
      </c>
      <c r="AX63" t="n">
        <v>42634336.2935068</v>
      </c>
      <c r="AY63" t="n">
        <v>18593461.2608588</v>
      </c>
      <c r="AZ63" t="n">
        <v>8115039.39129359</v>
      </c>
      <c r="BA63" t="n">
        <v>8018911.82492475</v>
      </c>
      <c r="BB63" t="n">
        <v>34820319.3832424</v>
      </c>
      <c r="BC63" t="n">
        <v>155869.926101844</v>
      </c>
      <c r="BD63" t="n">
        <v>50225076.3013961</v>
      </c>
      <c r="BE63" t="n">
        <v>12093625.2899453</v>
      </c>
      <c r="BF63" t="n">
        <v>24637488.7547844</v>
      </c>
      <c r="BG63" t="n">
        <v>142157880.255144</v>
      </c>
      <c r="BH63" t="n">
        <v>56169906.7722223</v>
      </c>
      <c r="BI63" t="n">
        <v>33899273.3036974</v>
      </c>
      <c r="BJ63" t="n">
        <v>9853798.81661137</v>
      </c>
      <c r="BK63" t="n">
        <v>7105526.97954397</v>
      </c>
      <c r="BL63" t="n">
        <v>9819349.39296153</v>
      </c>
      <c r="BM63" t="n">
        <v>94170368.8562426</v>
      </c>
      <c r="BN63" t="n">
        <v>165451267.981098</v>
      </c>
      <c r="BO63" t="n">
        <v>28680816.5704027</v>
      </c>
      <c r="BP63" t="n">
        <v>0</v>
      </c>
      <c r="BQ63" t="n">
        <v>0</v>
      </c>
      <c r="BR63" t="n">
        <v>704791.422604666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15994999.7780967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762970.869662873</v>
      </c>
      <c r="C64" t="n">
        <v>126120.571002615</v>
      </c>
      <c r="D64" t="n">
        <v>0</v>
      </c>
      <c r="E64" t="n">
        <v>231718.694588357</v>
      </c>
      <c r="F64" t="n">
        <v>12513.5901096334</v>
      </c>
      <c r="G64" t="n">
        <v>20705803.6377591</v>
      </c>
      <c r="H64" t="n">
        <v>11344246.7441185</v>
      </c>
      <c r="I64" t="n">
        <v>3021280.20149578</v>
      </c>
      <c r="J64" t="n">
        <v>1413784.58410718</v>
      </c>
      <c r="K64" t="n">
        <v>793663.798999087</v>
      </c>
      <c r="L64" t="n">
        <v>19031543.318864</v>
      </c>
      <c r="M64" t="n">
        <v>3257627.35169273</v>
      </c>
      <c r="N64" t="n">
        <v>2325622.11650834</v>
      </c>
      <c r="O64" t="n">
        <v>185821.843687268</v>
      </c>
      <c r="P64" t="n">
        <v>1135639.69081761</v>
      </c>
      <c r="Q64" t="n">
        <v>19904631.0333844</v>
      </c>
      <c r="R64" t="n">
        <v>506562.999887056</v>
      </c>
      <c r="S64" t="n">
        <v>2196607.83239273</v>
      </c>
      <c r="T64" t="n">
        <v>7939481.54593991</v>
      </c>
      <c r="U64" t="n">
        <v>908784.052981595</v>
      </c>
      <c r="V64" t="n">
        <v>2059993.7682253</v>
      </c>
      <c r="W64" t="n">
        <v>10865998.9579419</v>
      </c>
      <c r="X64" t="n">
        <v>3854583.2527373</v>
      </c>
      <c r="Y64" t="n">
        <v>1001529.97607551</v>
      </c>
      <c r="Z64" t="n">
        <v>6802739.15030861</v>
      </c>
      <c r="AA64" t="n">
        <v>3550100.69701303</v>
      </c>
      <c r="AB64" t="n">
        <v>116126520.56822</v>
      </c>
      <c r="AC64" t="n">
        <v>17248978.7058835</v>
      </c>
      <c r="AD64" t="n">
        <v>11028461.5800555</v>
      </c>
      <c r="AE64" t="n">
        <v>11914844.8532772</v>
      </c>
      <c r="AF64" t="n">
        <v>45008859.792146</v>
      </c>
      <c r="AG64" t="n">
        <v>1940774.46366566</v>
      </c>
      <c r="AH64" t="n">
        <v>822453.937947746</v>
      </c>
      <c r="AI64" t="n">
        <v>2697581.34964766</v>
      </c>
      <c r="AJ64" t="n">
        <v>17964268.0999428</v>
      </c>
      <c r="AK64" t="n">
        <v>12695506.3505608</v>
      </c>
      <c r="AL64" t="n">
        <v>1044704.83208377</v>
      </c>
      <c r="AM64" t="n">
        <v>13013903.0104463</v>
      </c>
      <c r="AN64" t="n">
        <v>9737297.951979</v>
      </c>
      <c r="AO64" t="n">
        <v>12226672.303851</v>
      </c>
      <c r="AP64" t="n">
        <v>744030.119887064</v>
      </c>
      <c r="AQ64" t="n">
        <v>28558654.9103886</v>
      </c>
      <c r="AR64" t="n">
        <v>9061603.8435228</v>
      </c>
      <c r="AS64" t="n">
        <v>36272095.5058758</v>
      </c>
      <c r="AT64" t="n">
        <v>9182207.22177928</v>
      </c>
      <c r="AU64" t="n">
        <v>25198528.2497665</v>
      </c>
      <c r="AV64" t="n">
        <v>193632.171610384</v>
      </c>
      <c r="AW64" t="n">
        <v>6844596.27369677</v>
      </c>
      <c r="AX64" t="n">
        <v>188439676.008557</v>
      </c>
      <c r="AY64" t="n">
        <v>25488371.6212138</v>
      </c>
      <c r="AZ64" t="n">
        <v>13008370.740582</v>
      </c>
      <c r="BA64" t="n">
        <v>38025871.9101732</v>
      </c>
      <c r="BB64" t="n">
        <v>82979801.0906708</v>
      </c>
      <c r="BC64" t="n">
        <v>36394857.2576635</v>
      </c>
      <c r="BD64" t="n">
        <v>149738358.916358</v>
      </c>
      <c r="BE64" t="n">
        <v>11622978.3757014</v>
      </c>
      <c r="BF64" t="n">
        <v>11969509.1580001</v>
      </c>
      <c r="BG64" t="n">
        <v>60261854.1951198</v>
      </c>
      <c r="BH64" t="n">
        <v>146644502.35527</v>
      </c>
      <c r="BI64" t="n">
        <v>35852232.247232</v>
      </c>
      <c r="BJ64" t="n">
        <v>11427304.6728139</v>
      </c>
      <c r="BK64" t="n">
        <v>6763116.87183965</v>
      </c>
      <c r="BL64" t="n">
        <v>7402271.34785249</v>
      </c>
      <c r="BM64" t="n">
        <v>18054754.8519203</v>
      </c>
      <c r="BN64" t="n">
        <v>26247667.4365591</v>
      </c>
      <c r="BO64" t="n">
        <v>31188938.5781235</v>
      </c>
      <c r="BP64" t="n">
        <v>5442023.16731118</v>
      </c>
      <c r="BQ64" t="n">
        <v>28045294.8679796</v>
      </c>
      <c r="BR64" t="n">
        <v>1651775.83680339</v>
      </c>
      <c r="BS64" t="n">
        <v>87666202.6921661</v>
      </c>
      <c r="BT64" t="n">
        <v>9386507.44502929</v>
      </c>
      <c r="BU64" t="n">
        <v>149918335.310792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9174214.39910491</v>
      </c>
      <c r="CB64" t="n">
        <v>-7103070.86023964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425.86765478435</v>
      </c>
      <c r="C65" t="n">
        <v>12.5271321317356</v>
      </c>
      <c r="D65" t="n">
        <v>0</v>
      </c>
      <c r="E65" t="n">
        <v>63.3034596550045</v>
      </c>
      <c r="F65" t="n">
        <v>1.25231977526039</v>
      </c>
      <c r="G65" t="n">
        <v>7681.13781329048</v>
      </c>
      <c r="H65" t="n">
        <v>16769.9818232336</v>
      </c>
      <c r="I65" t="n">
        <v>850.524253181473</v>
      </c>
      <c r="J65" t="n">
        <v>2534.25835551482</v>
      </c>
      <c r="K65" t="n">
        <v>466.325133819325</v>
      </c>
      <c r="L65" t="n">
        <v>4495.59039577829</v>
      </c>
      <c r="M65" t="n">
        <v>2097.42740129982</v>
      </c>
      <c r="N65" t="n">
        <v>135.113842776687</v>
      </c>
      <c r="O65" t="n">
        <v>29.3914436536155</v>
      </c>
      <c r="P65" t="n">
        <v>90.1743682460204</v>
      </c>
      <c r="Q65" t="n">
        <v>979.198224798379</v>
      </c>
      <c r="R65" t="n">
        <v>187.99085354415</v>
      </c>
      <c r="S65" t="n">
        <v>192.354008452342</v>
      </c>
      <c r="T65" t="n">
        <v>14114.9351638604</v>
      </c>
      <c r="U65" t="n">
        <v>310.724951407406</v>
      </c>
      <c r="V65" t="n">
        <v>10.0298833609379</v>
      </c>
      <c r="W65" t="n">
        <v>16140.0358533988</v>
      </c>
      <c r="X65" t="n">
        <v>155.109618864536</v>
      </c>
      <c r="Y65" t="n">
        <v>1013.76610928419</v>
      </c>
      <c r="Z65" t="n">
        <v>9265.17722405118</v>
      </c>
      <c r="AA65" t="n">
        <v>3918.59092009643</v>
      </c>
      <c r="AB65" t="n">
        <v>13992.6490053355</v>
      </c>
      <c r="AC65" t="n">
        <v>12732.4735102093</v>
      </c>
      <c r="AD65" t="n">
        <v>8715.80351774058</v>
      </c>
      <c r="AE65" t="n">
        <v>749.672644108639</v>
      </c>
      <c r="AF65" t="n">
        <v>15314.7682424809</v>
      </c>
      <c r="AG65" t="n">
        <v>75.2163177895539</v>
      </c>
      <c r="AH65" t="n">
        <v>215.54664679307</v>
      </c>
      <c r="AI65" t="n">
        <v>6.27099924132368</v>
      </c>
      <c r="AJ65" t="n">
        <v>11747.0428625873</v>
      </c>
      <c r="AK65" t="n">
        <v>111.411508792708</v>
      </c>
      <c r="AL65" t="n">
        <v>134.392016485077</v>
      </c>
      <c r="AM65" t="n">
        <v>504.957942098578</v>
      </c>
      <c r="AN65" t="n">
        <v>544.772027004964</v>
      </c>
      <c r="AO65" t="n">
        <v>47.2066115786982</v>
      </c>
      <c r="AP65" t="n">
        <v>29.605897015121</v>
      </c>
      <c r="AQ65" t="n">
        <v>92.622467042813</v>
      </c>
      <c r="AR65" t="n">
        <v>44.7077079522518</v>
      </c>
      <c r="AS65" t="n">
        <v>3677.72535765581</v>
      </c>
      <c r="AT65" t="n">
        <v>122.260244098194</v>
      </c>
      <c r="AU65" t="n">
        <v>8076.38388067762</v>
      </c>
      <c r="AV65" t="n">
        <v>765.888269294176</v>
      </c>
      <c r="AW65" t="n">
        <v>9.45471308345026</v>
      </c>
      <c r="AX65" t="n">
        <v>182871.758988135</v>
      </c>
      <c r="AY65" t="n">
        <v>8622.29263808575</v>
      </c>
      <c r="AZ65" t="n">
        <v>591.780937678994</v>
      </c>
      <c r="BA65" t="n">
        <v>552.330535597852</v>
      </c>
      <c r="BB65" t="n">
        <v>14145.446475659</v>
      </c>
      <c r="BC65" t="n">
        <v>9153.43618476544</v>
      </c>
      <c r="BD65" t="n">
        <v>14709.1342474453</v>
      </c>
      <c r="BE65" t="n">
        <v>249368.42361804</v>
      </c>
      <c r="BF65" t="n">
        <v>979.54864838496</v>
      </c>
      <c r="BG65" t="n">
        <v>35279.3372415436</v>
      </c>
      <c r="BH65" t="n">
        <v>61571.6741365216</v>
      </c>
      <c r="BI65" t="n">
        <v>17699.7964182518</v>
      </c>
      <c r="BJ65" t="n">
        <v>18759.3438263991</v>
      </c>
      <c r="BK65" t="n">
        <v>243.754358892792</v>
      </c>
      <c r="BL65" t="n">
        <v>10111.3961876339</v>
      </c>
      <c r="BM65" t="n">
        <v>16056.8412754038</v>
      </c>
      <c r="BN65" t="n">
        <v>23372.8286007326</v>
      </c>
      <c r="BO65" t="n">
        <v>14167.9075661684</v>
      </c>
      <c r="BP65" t="n">
        <v>1386.73804243974</v>
      </c>
      <c r="BQ65" t="n">
        <v>27057.1697085312</v>
      </c>
      <c r="BR65" t="n">
        <v>941.833367730571</v>
      </c>
      <c r="BS65" t="n">
        <v>464897.407469372</v>
      </c>
      <c r="BT65" t="n">
        <v>16553.2486551709</v>
      </c>
      <c r="BU65" t="n">
        <v>99245.2108918959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905821.238796797</v>
      </c>
      <c r="CB65" t="n">
        <v>-1017563.76497065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1556.64578449719</v>
      </c>
      <c r="C66" t="n">
        <v>0</v>
      </c>
      <c r="D66" t="n">
        <v>0</v>
      </c>
      <c r="E66" t="n">
        <v>0</v>
      </c>
      <c r="F66" t="n">
        <v>0</v>
      </c>
      <c r="G66" t="n">
        <v>97835.9378544478</v>
      </c>
      <c r="H66" t="n">
        <v>2816.38713085777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12782.0290844281</v>
      </c>
      <c r="Y66" t="n">
        <v>1165.43424846605</v>
      </c>
      <c r="Z66" t="n">
        <v>0</v>
      </c>
      <c r="AA66" t="n">
        <v>863.544642880271</v>
      </c>
      <c r="AB66" t="n">
        <v>1256482.57507893</v>
      </c>
      <c r="AC66" t="n">
        <v>93965.5477500027</v>
      </c>
      <c r="AD66" t="n">
        <v>791918.027386789</v>
      </c>
      <c r="AE66" t="n">
        <v>0</v>
      </c>
      <c r="AF66" t="n">
        <v>2941832.70735595</v>
      </c>
      <c r="AG66" t="n">
        <v>28509.3791598585</v>
      </c>
      <c r="AH66" t="n">
        <v>4203.75382106178</v>
      </c>
      <c r="AI66" t="n">
        <v>0</v>
      </c>
      <c r="AJ66" t="n">
        <v>0</v>
      </c>
      <c r="AK66" t="n">
        <v>0</v>
      </c>
      <c r="AL66" t="n">
        <v>1537.5244339609</v>
      </c>
      <c r="AM66" t="n">
        <v>18574.2115857939</v>
      </c>
      <c r="AN66" t="n">
        <v>0</v>
      </c>
      <c r="AO66" t="n">
        <v>0</v>
      </c>
      <c r="AP66" t="n">
        <v>0</v>
      </c>
      <c r="AQ66" t="n">
        <v>5851.14398321819</v>
      </c>
      <c r="AR66" t="n">
        <v>20601.0623501043</v>
      </c>
      <c r="AS66" t="n">
        <v>27109.0390264095</v>
      </c>
      <c r="AT66" t="n">
        <v>2368.5157223836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49749.7979772929</v>
      </c>
      <c r="BB66" t="n">
        <v>24504.6617438193</v>
      </c>
      <c r="BC66" t="n">
        <v>0</v>
      </c>
      <c r="BD66" t="n">
        <v>203920.613667715</v>
      </c>
      <c r="BE66" t="n">
        <v>0</v>
      </c>
      <c r="BF66" t="n">
        <v>2653277.39816958</v>
      </c>
      <c r="BG66" t="n">
        <v>0</v>
      </c>
      <c r="BH66" t="n">
        <v>8621.78271460531</v>
      </c>
      <c r="BI66" t="n">
        <v>0</v>
      </c>
      <c r="BJ66" t="n">
        <v>0</v>
      </c>
      <c r="BK66" t="n">
        <v>1807804.55225431</v>
      </c>
      <c r="BL66" t="n">
        <v>291098.449959215</v>
      </c>
      <c r="BM66" t="n">
        <v>0</v>
      </c>
      <c r="BN66" t="n">
        <v>0</v>
      </c>
      <c r="BO66" t="n">
        <v>1755372.41298519</v>
      </c>
      <c r="BP66" t="n">
        <v>0</v>
      </c>
      <c r="BQ66" t="n">
        <v>23851.7768469056</v>
      </c>
      <c r="BR66" t="n">
        <v>140294.039103521</v>
      </c>
      <c r="BS66" t="n">
        <v>9340187.5649376</v>
      </c>
      <c r="BT66" t="n">
        <v>4634.92529201495</v>
      </c>
      <c r="BU66" t="n">
        <v>370442973.877867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9987114.03736893</v>
      </c>
      <c r="CB66" t="n">
        <v>-5910548.2523368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211893.10549762</v>
      </c>
      <c r="BC67" t="n">
        <v>0</v>
      </c>
      <c r="BD67" t="n">
        <v>277205.72597137</v>
      </c>
      <c r="BE67" t="n">
        <v>0</v>
      </c>
      <c r="BF67" t="n">
        <v>0</v>
      </c>
      <c r="BG67" t="n">
        <v>57397959.9182589</v>
      </c>
      <c r="BH67" t="n">
        <v>82088006.5984472</v>
      </c>
      <c r="BI67" t="n">
        <v>615487.238979118</v>
      </c>
      <c r="BJ67" t="n">
        <v>5547.16005010075</v>
      </c>
      <c r="BK67" t="n">
        <v>315811.086834295</v>
      </c>
      <c r="BL67" t="n">
        <v>12399.7225873901</v>
      </c>
      <c r="BM67" t="n">
        <v>0</v>
      </c>
      <c r="BN67" t="n">
        <v>0</v>
      </c>
      <c r="BO67" t="n">
        <v>175093.959787722</v>
      </c>
      <c r="BP67" t="n">
        <v>0</v>
      </c>
      <c r="BQ67" t="n">
        <v>2793013.89754985</v>
      </c>
      <c r="BR67" t="n">
        <v>0</v>
      </c>
      <c r="BS67" t="n">
        <v>36801430.2985646</v>
      </c>
      <c r="BT67" t="n">
        <v>0</v>
      </c>
      <c r="BU67" t="n">
        <v>4052163649.99335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3839513.23973389</v>
      </c>
      <c r="CB67" t="n">
        <v>-1444893.47252956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5916424.11404799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4029511665.75881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25719337.6572654</v>
      </c>
      <c r="CB68" t="n">
        <v>-19561317.2325359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8789914.81146267</v>
      </c>
      <c r="BR69" t="n">
        <v>0</v>
      </c>
      <c r="BS69" t="n">
        <v>4408299.67212753</v>
      </c>
      <c r="BT69" t="n">
        <v>0</v>
      </c>
      <c r="BU69" t="n">
        <v>908698340.053221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1770669.63526954</v>
      </c>
      <c r="CB69" t="n">
        <v>-412950.688836522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881871491.280653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176892.549081152</v>
      </c>
      <c r="C71" t="n">
        <v>0</v>
      </c>
      <c r="D71" t="n">
        <v>0</v>
      </c>
      <c r="E71" t="n">
        <v>0</v>
      </c>
      <c r="F71" t="n">
        <v>204.655743236692</v>
      </c>
      <c r="G71" t="n">
        <v>276693.314154145</v>
      </c>
      <c r="H71" t="n">
        <v>349513.977636015</v>
      </c>
      <c r="I71" t="n">
        <v>157462.219671183</v>
      </c>
      <c r="J71" t="n">
        <v>58062.6755187937</v>
      </c>
      <c r="K71" t="n">
        <v>13149.2601181204</v>
      </c>
      <c r="L71" t="n">
        <v>192106.153338423</v>
      </c>
      <c r="M71" t="n">
        <v>70278.8716645551</v>
      </c>
      <c r="N71" t="n">
        <v>7833.76753574071</v>
      </c>
      <c r="O71" t="n">
        <v>2197.09324583912</v>
      </c>
      <c r="P71" t="n">
        <v>16356.5630803319</v>
      </c>
      <c r="Q71" t="n">
        <v>74130.2833330396</v>
      </c>
      <c r="R71" t="n">
        <v>27930.0316427046</v>
      </c>
      <c r="S71" t="n">
        <v>44828.6602633973</v>
      </c>
      <c r="T71" t="n">
        <v>290164.711033371</v>
      </c>
      <c r="U71" t="n">
        <v>23674.2497795238</v>
      </c>
      <c r="V71" t="n">
        <v>7947.47770932635</v>
      </c>
      <c r="W71" t="n">
        <v>379109.184510606</v>
      </c>
      <c r="X71" t="n">
        <v>56866.8350101727</v>
      </c>
      <c r="Y71" t="n">
        <v>24893.4762276012</v>
      </c>
      <c r="Z71" t="n">
        <v>64063.2736110912</v>
      </c>
      <c r="AA71" t="n">
        <v>217453.554614611</v>
      </c>
      <c r="AB71" t="n">
        <v>7041874.39930328</v>
      </c>
      <c r="AC71" t="n">
        <v>1478778.53593386</v>
      </c>
      <c r="AD71" t="n">
        <v>1928527.03668194</v>
      </c>
      <c r="AE71" t="n">
        <v>237610.205979026</v>
      </c>
      <c r="AF71" t="n">
        <v>1796809.26930201</v>
      </c>
      <c r="AG71" t="n">
        <v>0</v>
      </c>
      <c r="AH71" t="n">
        <v>175379.920697362</v>
      </c>
      <c r="AI71" t="n">
        <v>0</v>
      </c>
      <c r="AJ71" t="n">
        <v>158011.037318525</v>
      </c>
      <c r="AK71" t="n">
        <v>44140.1186249519</v>
      </c>
      <c r="AL71" t="n">
        <v>0</v>
      </c>
      <c r="AM71" t="n">
        <v>538556.138351655</v>
      </c>
      <c r="AN71" t="n">
        <v>16072.6847293997</v>
      </c>
      <c r="AO71" t="n">
        <v>158624.535188496</v>
      </c>
      <c r="AP71" t="n">
        <v>5939124.83461641</v>
      </c>
      <c r="AQ71" t="n">
        <v>31721669.289621</v>
      </c>
      <c r="AR71" t="n">
        <v>255286.468071543</v>
      </c>
      <c r="AS71" t="n">
        <v>5719194.89168366</v>
      </c>
      <c r="AT71" t="n">
        <v>638407.793470037</v>
      </c>
      <c r="AU71" t="n">
        <v>592584.023665958</v>
      </c>
      <c r="AV71" t="n">
        <v>561975.147284161</v>
      </c>
      <c r="AW71" t="n">
        <v>0</v>
      </c>
      <c r="AX71" t="n">
        <v>9451839.28696829</v>
      </c>
      <c r="AY71" t="n">
        <v>397830.634088038</v>
      </c>
      <c r="AZ71" t="n">
        <v>961532.246505995</v>
      </c>
      <c r="BA71" t="n">
        <v>1521594.16588839</v>
      </c>
      <c r="BB71" t="n">
        <v>9780722.96957864</v>
      </c>
      <c r="BC71" t="n">
        <v>11006159.7580622</v>
      </c>
      <c r="BD71" t="n">
        <v>4937956.70185525</v>
      </c>
      <c r="BE71" t="n">
        <v>322349.485487323</v>
      </c>
      <c r="BF71" t="n">
        <v>4572800.46777983</v>
      </c>
      <c r="BG71" t="n">
        <v>2863231.97034985</v>
      </c>
      <c r="BH71" t="n">
        <v>6524886.72239114</v>
      </c>
      <c r="BI71" t="n">
        <v>1023607.44670094</v>
      </c>
      <c r="BJ71" t="n">
        <v>3503132.35084095</v>
      </c>
      <c r="BK71" t="n">
        <v>40991204.6248594</v>
      </c>
      <c r="BL71" t="n">
        <v>2142241.69599382</v>
      </c>
      <c r="BM71" t="n">
        <v>1211674.10728478</v>
      </c>
      <c r="BN71" t="n">
        <v>10119008.5755388</v>
      </c>
      <c r="BO71" t="n">
        <v>3444255.71067185</v>
      </c>
      <c r="BP71" t="n">
        <v>0</v>
      </c>
      <c r="BQ71" t="n">
        <v>58192.5276212604</v>
      </c>
      <c r="BR71" t="n">
        <v>101434.739824301</v>
      </c>
      <c r="BS71" t="n">
        <v>4174687.79793994</v>
      </c>
      <c r="BT71" t="n">
        <v>47394.1970159386</v>
      </c>
      <c r="BU71" t="n">
        <v>304615006.850012</v>
      </c>
      <c r="BV71" t="n">
        <v>0</v>
      </c>
      <c r="BW71" t="n">
        <v>0</v>
      </c>
      <c r="BX71" t="n">
        <v>10960261.464297</v>
      </c>
      <c r="BY71" t="n">
        <v>0</v>
      </c>
      <c r="BZ71" t="n">
        <v>0</v>
      </c>
      <c r="CA71" t="n">
        <v>3628737.86746426</v>
      </c>
      <c r="CB71" t="n">
        <v>-5033502.2792581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20009.7857477325</v>
      </c>
      <c r="C72" t="n">
        <v>0</v>
      </c>
      <c r="D72" t="n">
        <v>0</v>
      </c>
      <c r="E72" t="n">
        <v>0</v>
      </c>
      <c r="F72" t="n">
        <v>49.8271656908434</v>
      </c>
      <c r="G72" t="n">
        <v>50161.668104444</v>
      </c>
      <c r="H72" t="n">
        <v>82749.7961246585</v>
      </c>
      <c r="I72" t="n">
        <v>16966.7940016645</v>
      </c>
      <c r="J72" t="n">
        <v>9863.60181541882</v>
      </c>
      <c r="K72" t="n">
        <v>1026.70493150829</v>
      </c>
      <c r="L72" t="n">
        <v>23201.1951773693</v>
      </c>
      <c r="M72" t="n">
        <v>7457.9182602212</v>
      </c>
      <c r="N72" t="n">
        <v>1172.36164396727</v>
      </c>
      <c r="O72" t="n">
        <v>197.283453042709</v>
      </c>
      <c r="P72" t="n">
        <v>1932.50502711747</v>
      </c>
      <c r="Q72" t="n">
        <v>8875.16770846984</v>
      </c>
      <c r="R72" t="n">
        <v>4179.86590274827</v>
      </c>
      <c r="S72" t="n">
        <v>5367.06269145398</v>
      </c>
      <c r="T72" t="n">
        <v>25739.1672944743</v>
      </c>
      <c r="U72" t="n">
        <v>0</v>
      </c>
      <c r="V72" t="n">
        <v>0</v>
      </c>
      <c r="W72" t="n">
        <v>30549.9085885582</v>
      </c>
      <c r="X72" t="n">
        <v>6588.69686744481</v>
      </c>
      <c r="Y72" t="n">
        <v>1426.76062712609</v>
      </c>
      <c r="Z72" t="n">
        <v>7909.59045585923</v>
      </c>
      <c r="AA72" t="n">
        <v>17972.0267045792</v>
      </c>
      <c r="AB72" t="n">
        <v>463666.27051716</v>
      </c>
      <c r="AC72" t="n">
        <v>11503.5527754998</v>
      </c>
      <c r="AD72" t="n">
        <v>70384.5580203614</v>
      </c>
      <c r="AE72" t="n">
        <v>2963.29416671745</v>
      </c>
      <c r="AF72" t="n">
        <v>417582.282382366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3789.85398295398</v>
      </c>
      <c r="AN72" t="n">
        <v>1030.86682145273</v>
      </c>
      <c r="AO72" t="n">
        <v>10544.931165373</v>
      </c>
      <c r="AP72" t="n">
        <v>3663.41388457704</v>
      </c>
      <c r="AQ72" t="n">
        <v>16714.0197138894</v>
      </c>
      <c r="AR72" t="n">
        <v>34990.5442891914</v>
      </c>
      <c r="AS72" t="n">
        <v>441307.025162346</v>
      </c>
      <c r="AT72" t="n">
        <v>69590.6436291657</v>
      </c>
      <c r="AU72" t="n">
        <v>39208.847626085</v>
      </c>
      <c r="AV72" t="n">
        <v>21510.4099741294</v>
      </c>
      <c r="AW72" t="n">
        <v>0</v>
      </c>
      <c r="AX72" t="n">
        <v>0</v>
      </c>
      <c r="AY72" t="n">
        <v>46045.8709281542</v>
      </c>
      <c r="AZ72" t="n">
        <v>63555.1424862669</v>
      </c>
      <c r="BA72" t="n">
        <v>192866.594296388</v>
      </c>
      <c r="BB72" t="n">
        <v>343776.498707421</v>
      </c>
      <c r="BC72" t="n">
        <v>1010977.74862703</v>
      </c>
      <c r="BD72" t="n">
        <v>494434.911208424</v>
      </c>
      <c r="BE72" t="n">
        <v>37748.5782820252</v>
      </c>
      <c r="BF72" t="n">
        <v>73136.7275451112</v>
      </c>
      <c r="BG72" t="n">
        <v>393612.071531839</v>
      </c>
      <c r="BH72" t="n">
        <v>29554.1480450512</v>
      </c>
      <c r="BI72" t="n">
        <v>64586.5338029988</v>
      </c>
      <c r="BJ72" t="n">
        <v>116338.644698035</v>
      </c>
      <c r="BK72" t="n">
        <v>122015.971873117</v>
      </c>
      <c r="BL72" t="n">
        <v>345364.098761598</v>
      </c>
      <c r="BM72" t="n">
        <v>677721.963269082</v>
      </c>
      <c r="BN72" t="n">
        <v>1145659.18868468</v>
      </c>
      <c r="BO72" t="n">
        <v>47290.7829783568</v>
      </c>
      <c r="BP72" t="n">
        <v>2524.20883773451</v>
      </c>
      <c r="BQ72" t="n">
        <v>3073.69288467768</v>
      </c>
      <c r="BR72" t="n">
        <v>1407.80572744053</v>
      </c>
      <c r="BS72" t="n">
        <v>827862.023413168</v>
      </c>
      <c r="BT72" t="n">
        <v>74474.1216768871</v>
      </c>
      <c r="BU72" t="n">
        <v>327207163.420144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79154.4103212847</v>
      </c>
      <c r="CB72" t="n">
        <v>-120123.400644196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2296.10079034326</v>
      </c>
      <c r="C73" t="n">
        <v>0</v>
      </c>
      <c r="D73" t="n">
        <v>0</v>
      </c>
      <c r="E73" t="n">
        <v>5195.83699508802</v>
      </c>
      <c r="F73" t="n">
        <v>1822.23663179854</v>
      </c>
      <c r="G73" t="n">
        <v>2706140.38293348</v>
      </c>
      <c r="H73" t="n">
        <v>824620.278500956</v>
      </c>
      <c r="I73" t="n">
        <v>626908.514352052</v>
      </c>
      <c r="J73" t="n">
        <v>310689.366968681</v>
      </c>
      <c r="K73" t="n">
        <v>41750.0724866632</v>
      </c>
      <c r="L73" t="n">
        <v>905718.370173796</v>
      </c>
      <c r="M73" t="n">
        <v>322105.389944784</v>
      </c>
      <c r="N73" t="n">
        <v>56501.4250083259</v>
      </c>
      <c r="O73" t="n">
        <v>11884.9805058398</v>
      </c>
      <c r="P73" t="n">
        <v>97327.3105693072</v>
      </c>
      <c r="Q73" t="n">
        <v>331494.304342901</v>
      </c>
      <c r="R73" t="n">
        <v>155113.956021577</v>
      </c>
      <c r="S73" t="n">
        <v>239263.361997869</v>
      </c>
      <c r="T73" t="n">
        <v>1017763.37410241</v>
      </c>
      <c r="U73" t="n">
        <v>87083.349058561</v>
      </c>
      <c r="V73" t="n">
        <v>17196.4695307895</v>
      </c>
      <c r="W73" t="n">
        <v>1240971.15428236</v>
      </c>
      <c r="X73" t="n">
        <v>345323.864622441</v>
      </c>
      <c r="Y73" t="n">
        <v>55582.6699063834</v>
      </c>
      <c r="Z73" t="n">
        <v>353475.472485762</v>
      </c>
      <c r="AA73" t="n">
        <v>756610.540892446</v>
      </c>
      <c r="AB73" t="n">
        <v>7980120.5734719</v>
      </c>
      <c r="AC73" t="n">
        <v>146522.215766637</v>
      </c>
      <c r="AD73" t="n">
        <v>317330.263120327</v>
      </c>
      <c r="AE73" t="n">
        <v>174947.868176981</v>
      </c>
      <c r="AF73" t="n">
        <v>822148.69134945</v>
      </c>
      <c r="AG73" t="n">
        <v>0</v>
      </c>
      <c r="AH73" t="n">
        <v>19842.135066721</v>
      </c>
      <c r="AI73" t="n">
        <v>0</v>
      </c>
      <c r="AJ73" t="n">
        <v>0</v>
      </c>
      <c r="AK73" t="n">
        <v>0</v>
      </c>
      <c r="AL73" t="n">
        <v>5896.53013433501</v>
      </c>
      <c r="AM73" t="n">
        <v>715988.99086477</v>
      </c>
      <c r="AN73" t="n">
        <v>37261.610808577</v>
      </c>
      <c r="AO73" t="n">
        <v>465857.388927</v>
      </c>
      <c r="AP73" t="n">
        <v>193660.444882216</v>
      </c>
      <c r="AQ73" t="n">
        <v>752589.956651945</v>
      </c>
      <c r="AR73" t="n">
        <v>1548378.69399838</v>
      </c>
      <c r="AS73" t="n">
        <v>19422715.86049</v>
      </c>
      <c r="AT73" t="n">
        <v>3097106.64546188</v>
      </c>
      <c r="AU73" t="n">
        <v>1697639.15700497</v>
      </c>
      <c r="AV73" t="n">
        <v>973331.295138113</v>
      </c>
      <c r="AW73" t="n">
        <v>20262.9083024932</v>
      </c>
      <c r="AX73" t="n">
        <v>27311166.106143</v>
      </c>
      <c r="AY73" t="n">
        <v>2232654.2545866</v>
      </c>
      <c r="AZ73" t="n">
        <v>2195795.70832881</v>
      </c>
      <c r="BA73" t="n">
        <v>8667870.34219985</v>
      </c>
      <c r="BB73" t="n">
        <v>14559651.4387802</v>
      </c>
      <c r="BC73" t="n">
        <v>2759848.21920663</v>
      </c>
      <c r="BD73" t="n">
        <v>14327866.602183</v>
      </c>
      <c r="BE73" t="n">
        <v>1936228.60632423</v>
      </c>
      <c r="BF73" t="n">
        <v>2602124.84058831</v>
      </c>
      <c r="BG73" t="n">
        <v>11424260.3005494</v>
      </c>
      <c r="BH73" t="n">
        <v>1409087.56449155</v>
      </c>
      <c r="BI73" t="n">
        <v>1647593.83997689</v>
      </c>
      <c r="BJ73" t="n">
        <v>1828913.12604075</v>
      </c>
      <c r="BK73" t="n">
        <v>262588.503319388</v>
      </c>
      <c r="BL73" t="n">
        <v>848811.466924854</v>
      </c>
      <c r="BM73" t="n">
        <v>2604672.07549822</v>
      </c>
      <c r="BN73" t="n">
        <v>8741734.6410262</v>
      </c>
      <c r="BO73" t="n">
        <v>1751770.92049046</v>
      </c>
      <c r="BP73" t="n">
        <v>3006858.44787925</v>
      </c>
      <c r="BQ73" t="n">
        <v>3840405.0914193</v>
      </c>
      <c r="BR73" t="n">
        <v>176406.212516351</v>
      </c>
      <c r="BS73" t="n">
        <v>10126737.1319211</v>
      </c>
      <c r="BT73" t="n">
        <v>305940.467648055</v>
      </c>
      <c r="BU73" t="n">
        <v>559521011.336425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1124871.56874158</v>
      </c>
      <c r="C74" t="n">
        <v>53548.1544664483</v>
      </c>
      <c r="D74" t="n">
        <v>0</v>
      </c>
      <c r="E74" t="n">
        <v>23749.0580970633</v>
      </c>
      <c r="F74" t="n">
        <v>4437.46606617694</v>
      </c>
      <c r="G74" t="n">
        <v>6574622.73370428</v>
      </c>
      <c r="H74" t="n">
        <v>1248044.24954274</v>
      </c>
      <c r="I74" t="n">
        <v>1104279.81758129</v>
      </c>
      <c r="J74" t="n">
        <v>484652.240140228</v>
      </c>
      <c r="K74" t="n">
        <v>77103.2887282354</v>
      </c>
      <c r="L74" t="n">
        <v>1324192.74587429</v>
      </c>
      <c r="M74" t="n">
        <v>520437.348645998</v>
      </c>
      <c r="N74" t="n">
        <v>73955.102255695</v>
      </c>
      <c r="O74" t="n">
        <v>27853.2427769183</v>
      </c>
      <c r="P74" t="n">
        <v>138741.306297282</v>
      </c>
      <c r="Q74" t="n">
        <v>553199.673820472</v>
      </c>
      <c r="R74" t="n">
        <v>220984.72886295</v>
      </c>
      <c r="S74" t="n">
        <v>338565.89577259</v>
      </c>
      <c r="T74" t="n">
        <v>1915382.69788439</v>
      </c>
      <c r="U74" t="n">
        <v>223498.023815944</v>
      </c>
      <c r="V74" t="n">
        <v>64310.219351564</v>
      </c>
      <c r="W74" t="n">
        <v>2294231.13714319</v>
      </c>
      <c r="X74" t="n">
        <v>388415.397977282</v>
      </c>
      <c r="Y74" t="n">
        <v>149290.921143329</v>
      </c>
      <c r="Z74" t="n">
        <v>522713.749368066</v>
      </c>
      <c r="AA74" t="n">
        <v>1143241.23535361</v>
      </c>
      <c r="AB74" t="n">
        <v>23893201.0684828</v>
      </c>
      <c r="AC74" t="n">
        <v>3939345.62956237</v>
      </c>
      <c r="AD74" t="n">
        <v>5313007.11578901</v>
      </c>
      <c r="AE74" t="n">
        <v>4339469.41801037</v>
      </c>
      <c r="AF74" t="n">
        <v>13881283.7588769</v>
      </c>
      <c r="AG74" t="n">
        <v>5671992.01124901</v>
      </c>
      <c r="AH74" t="n">
        <v>4637.76902091543</v>
      </c>
      <c r="AI74" t="n">
        <v>12732.7791739158</v>
      </c>
      <c r="AJ74" t="n">
        <v>3115804.67049092</v>
      </c>
      <c r="AK74" t="n">
        <v>416707.155477032</v>
      </c>
      <c r="AL74" t="n">
        <v>38448.6879642242</v>
      </c>
      <c r="AM74" t="n">
        <v>3410762.91723664</v>
      </c>
      <c r="AN74" t="n">
        <v>842284.31238926</v>
      </c>
      <c r="AO74" t="n">
        <v>505643.584119091</v>
      </c>
      <c r="AP74" t="n">
        <v>324634.931390821</v>
      </c>
      <c r="AQ74" t="n">
        <v>857830.129055025</v>
      </c>
      <c r="AR74" t="n">
        <v>1668768.47441337</v>
      </c>
      <c r="AS74" t="n">
        <v>34488392.6122399</v>
      </c>
      <c r="AT74" t="n">
        <v>3817233.98917679</v>
      </c>
      <c r="AU74" t="n">
        <v>11983158.9317022</v>
      </c>
      <c r="AV74" t="n">
        <v>2821538.46153846</v>
      </c>
      <c r="AW74" t="n">
        <v>20207.4358003278</v>
      </c>
      <c r="AX74" t="n">
        <v>94824944.042197</v>
      </c>
      <c r="AY74" t="n">
        <v>6489719.62616822</v>
      </c>
      <c r="AZ74" t="n">
        <v>4918423.80084166</v>
      </c>
      <c r="BA74" t="n">
        <v>14035185.3605835</v>
      </c>
      <c r="BB74" t="n">
        <v>44266174.6255086</v>
      </c>
      <c r="BC74" t="n">
        <v>16722700.2184515</v>
      </c>
      <c r="BD74" t="n">
        <v>34157581.3496932</v>
      </c>
      <c r="BE74" t="n">
        <v>2178773.52695257</v>
      </c>
      <c r="BF74" t="n">
        <v>6763200.24863197</v>
      </c>
      <c r="BG74" t="n">
        <v>91197349.029739</v>
      </c>
      <c r="BH74" t="n">
        <v>124650748.992327</v>
      </c>
      <c r="BI74" t="n">
        <v>50617135.3273479</v>
      </c>
      <c r="BJ74" t="n">
        <v>20435737.6245711</v>
      </c>
      <c r="BK74" t="n">
        <v>1247108.01443324</v>
      </c>
      <c r="BL74" t="n">
        <v>5728671.83537425</v>
      </c>
      <c r="BM74" t="n">
        <v>50122629.9772658</v>
      </c>
      <c r="BN74" t="n">
        <v>27236815.7133473</v>
      </c>
      <c r="BO74" t="n">
        <v>5811137.26918119</v>
      </c>
      <c r="BP74" t="n">
        <v>1339575.33896137</v>
      </c>
      <c r="BQ74" t="n">
        <v>1518845.57403951</v>
      </c>
      <c r="BR74" t="n">
        <v>1281364.24742577</v>
      </c>
      <c r="BS74" t="n">
        <v>43156251.9038393</v>
      </c>
      <c r="BT74" t="n">
        <v>1274102.94876091</v>
      </c>
      <c r="BU74" t="n">
        <v>3521271356.2097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12126700.295096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1166568.44583014</v>
      </c>
      <c r="C75" t="n">
        <v>347441.954294242</v>
      </c>
      <c r="D75" t="n">
        <v>0</v>
      </c>
      <c r="E75" t="n">
        <v>101886.528179332</v>
      </c>
      <c r="F75" t="n">
        <v>5700.5616157268</v>
      </c>
      <c r="G75" t="n">
        <v>3503897.08307445</v>
      </c>
      <c r="H75" t="n">
        <v>17108025.9218884</v>
      </c>
      <c r="I75" t="n">
        <v>3233441.04801017</v>
      </c>
      <c r="J75" t="n">
        <v>2233731.97541244</v>
      </c>
      <c r="K75" t="n">
        <v>465443.023677298</v>
      </c>
      <c r="L75" t="n">
        <v>6093043.59871878</v>
      </c>
      <c r="M75" t="n">
        <v>1822166.99828561</v>
      </c>
      <c r="N75" t="n">
        <v>1046023.17225016</v>
      </c>
      <c r="O75" t="n">
        <v>103677.203290573</v>
      </c>
      <c r="P75" t="n">
        <v>539595.514942155</v>
      </c>
      <c r="Q75" t="n">
        <v>3299476.43446793</v>
      </c>
      <c r="R75" t="n">
        <v>400702.136061222</v>
      </c>
      <c r="S75" t="n">
        <v>943402.162068344</v>
      </c>
      <c r="T75" t="n">
        <v>7901749.51410169</v>
      </c>
      <c r="U75" t="n">
        <v>834792.484064291</v>
      </c>
      <c r="V75" t="n">
        <v>92726.7906604987</v>
      </c>
      <c r="W75" t="n">
        <v>16155526.8357142</v>
      </c>
      <c r="X75" t="n">
        <v>910813.667132782</v>
      </c>
      <c r="Y75" t="n">
        <v>912527.73139702</v>
      </c>
      <c r="Z75" t="n">
        <v>4980956.91007864</v>
      </c>
      <c r="AA75" t="n">
        <v>3119753.31197558</v>
      </c>
      <c r="AB75" t="n">
        <v>57153826.3616385</v>
      </c>
      <c r="AC75" t="n">
        <v>10790830.0218793</v>
      </c>
      <c r="AD75" t="n">
        <v>15856879.6029645</v>
      </c>
      <c r="AE75" t="n">
        <v>9988570.53310955</v>
      </c>
      <c r="AF75" t="n">
        <v>26326313.5157898</v>
      </c>
      <c r="AG75" t="n">
        <v>352056.487910121</v>
      </c>
      <c r="AH75" t="n">
        <v>182839.187849293</v>
      </c>
      <c r="AI75" t="n">
        <v>290522.736953481</v>
      </c>
      <c r="AJ75" t="n">
        <v>22827287.0967185</v>
      </c>
      <c r="AK75" t="n">
        <v>5614163.94777648</v>
      </c>
      <c r="AL75" t="n">
        <v>431589.823624466</v>
      </c>
      <c r="AM75" t="n">
        <v>5683924.55578768</v>
      </c>
      <c r="AN75" t="n">
        <v>2755296.15424451</v>
      </c>
      <c r="AO75" t="n">
        <v>1429821.27758069</v>
      </c>
      <c r="AP75" t="n">
        <v>217645.229232146</v>
      </c>
      <c r="AQ75" t="n">
        <v>5359055.12028966</v>
      </c>
      <c r="AR75" t="n">
        <v>1527133.37042929</v>
      </c>
      <c r="AS75" t="n">
        <v>15779431.3049248</v>
      </c>
      <c r="AT75" t="n">
        <v>4578787.45119801</v>
      </c>
      <c r="AU75" t="n">
        <v>23764059.1578606</v>
      </c>
      <c r="AV75" t="n">
        <v>519893.739331812</v>
      </c>
      <c r="AW75" t="n">
        <v>95504385.1598354</v>
      </c>
      <c r="AX75" t="n">
        <v>15318167.7987556</v>
      </c>
      <c r="AY75" t="n">
        <v>15221368.9365382</v>
      </c>
      <c r="AZ75" t="n">
        <v>2375170.33440418</v>
      </c>
      <c r="BA75" t="n">
        <v>5353758.36321358</v>
      </c>
      <c r="BB75" t="n">
        <v>22576017.018995</v>
      </c>
      <c r="BC75" t="n">
        <v>26016232.1696301</v>
      </c>
      <c r="BD75" t="n">
        <v>45671240.5699011</v>
      </c>
      <c r="BE75" t="n">
        <v>18673549.4654835</v>
      </c>
      <c r="BF75" t="n">
        <v>11234816.8521197</v>
      </c>
      <c r="BG75" t="n">
        <v>20904824.2123285</v>
      </c>
      <c r="BH75" t="n">
        <v>75117992.0975087</v>
      </c>
      <c r="BI75" t="n">
        <v>10035163.9622184</v>
      </c>
      <c r="BJ75" t="n">
        <v>4587178.33921052</v>
      </c>
      <c r="BK75" t="n">
        <v>1906347.57547325</v>
      </c>
      <c r="BL75" t="n">
        <v>6312737.09106197</v>
      </c>
      <c r="BM75" t="n">
        <v>11901875.9637284</v>
      </c>
      <c r="BN75" t="n">
        <v>40728908.6856824</v>
      </c>
      <c r="BO75" t="n">
        <v>21455088.1322508</v>
      </c>
      <c r="BP75" t="n">
        <v>5570950.60437443</v>
      </c>
      <c r="BQ75" t="n">
        <v>44234358.1757329</v>
      </c>
      <c r="BR75" t="n">
        <v>2908792.27440268</v>
      </c>
      <c r="BS75" t="n">
        <v>91084996.5057881</v>
      </c>
      <c r="BT75" t="n">
        <v>7101028.16353833</v>
      </c>
      <c r="BU75" t="n">
        <v>2267575759.01237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266316.992900065</v>
      </c>
      <c r="CB75" t="n">
        <v>-15858973.5967718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7172794029.09566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1290145355.56892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2627.69902948979</v>
      </c>
      <c r="C78" t="n">
        <v>1024.16163007297</v>
      </c>
      <c r="D78" t="n">
        <v>0</v>
      </c>
      <c r="E78" t="n">
        <v>165.172480024504</v>
      </c>
      <c r="F78" t="n">
        <v>0</v>
      </c>
      <c r="G78" t="n">
        <v>68242.0017834938</v>
      </c>
      <c r="H78" t="n">
        <v>1584.73597614523</v>
      </c>
      <c r="I78" t="n">
        <v>0</v>
      </c>
      <c r="J78" t="n">
        <v>0</v>
      </c>
      <c r="K78" t="n">
        <v>1002.78033566618</v>
      </c>
      <c r="L78" t="n">
        <v>32524.559502775</v>
      </c>
      <c r="M78" t="n">
        <v>36924.4449554411</v>
      </c>
      <c r="N78" t="n">
        <v>8756.21049102119</v>
      </c>
      <c r="O78" t="n">
        <v>7030.61127071584</v>
      </c>
      <c r="P78" t="n">
        <v>0</v>
      </c>
      <c r="Q78" t="n">
        <v>0</v>
      </c>
      <c r="R78" t="n">
        <v>0</v>
      </c>
      <c r="S78" t="n">
        <v>2775.17527239762</v>
      </c>
      <c r="T78" t="n">
        <v>0</v>
      </c>
      <c r="U78" t="n">
        <v>977.056377098464</v>
      </c>
      <c r="V78" t="n">
        <v>0</v>
      </c>
      <c r="W78" t="n">
        <v>0</v>
      </c>
      <c r="X78" t="n">
        <v>9084.93884521306</v>
      </c>
      <c r="Y78" t="n">
        <v>2950.97042062551</v>
      </c>
      <c r="Z78" t="n">
        <v>10080.0428386044</v>
      </c>
      <c r="AA78" t="n">
        <v>0</v>
      </c>
      <c r="AB78" t="n">
        <v>4478475.0636237</v>
      </c>
      <c r="AC78" t="n">
        <v>312408.52209151</v>
      </c>
      <c r="AD78" t="n">
        <v>323577.543682237</v>
      </c>
      <c r="AE78" t="n">
        <v>113069.959005683</v>
      </c>
      <c r="AF78" t="n">
        <v>1357176.34661045</v>
      </c>
      <c r="AG78" t="n">
        <v>160.417715012185</v>
      </c>
      <c r="AH78" t="n">
        <v>0</v>
      </c>
      <c r="AI78" t="n">
        <v>148309.682544703</v>
      </c>
      <c r="AJ78" t="n">
        <v>850972.935411193</v>
      </c>
      <c r="AK78" t="n">
        <v>73566.7348752145</v>
      </c>
      <c r="AL78" t="n">
        <v>6621.40467127614</v>
      </c>
      <c r="AM78" t="n">
        <v>166923.827354421</v>
      </c>
      <c r="AN78" t="n">
        <v>151652.791660246</v>
      </c>
      <c r="AO78" t="n">
        <v>37978.4988857618</v>
      </c>
      <c r="AP78" t="n">
        <v>19630.3923017796</v>
      </c>
      <c r="AQ78" t="n">
        <v>17347.4998633756</v>
      </c>
      <c r="AR78" t="n">
        <v>79651.2732892604</v>
      </c>
      <c r="AS78" t="n">
        <v>401222.386138706</v>
      </c>
      <c r="AT78" t="n">
        <v>261184.36934492</v>
      </c>
      <c r="AU78" t="n">
        <v>25287.9059668893</v>
      </c>
      <c r="AV78" t="n">
        <v>0</v>
      </c>
      <c r="AW78" t="n">
        <v>0</v>
      </c>
      <c r="AX78" t="n">
        <v>112005.735254142</v>
      </c>
      <c r="AY78" t="n">
        <v>225569.073490515</v>
      </c>
      <c r="AZ78" t="n">
        <v>53688.8941837351</v>
      </c>
      <c r="BA78" t="n">
        <v>80004.9199551871</v>
      </c>
      <c r="BB78" t="n">
        <v>457744.616463474</v>
      </c>
      <c r="BC78" t="n">
        <v>66440.1513377274</v>
      </c>
      <c r="BD78" t="n">
        <v>272856.944327499</v>
      </c>
      <c r="BE78" t="n">
        <v>45256.2375959946</v>
      </c>
      <c r="BF78" t="n">
        <v>181964.933855887</v>
      </c>
      <c r="BG78" t="n">
        <v>326474.361706395</v>
      </c>
      <c r="BH78" t="n">
        <v>1653265.8558426</v>
      </c>
      <c r="BI78" t="n">
        <v>142321.741002536</v>
      </c>
      <c r="BJ78" t="n">
        <v>232196.184554627</v>
      </c>
      <c r="BK78" t="n">
        <v>28934.9801478487</v>
      </c>
      <c r="BL78" t="n">
        <v>25929.1662087541</v>
      </c>
      <c r="BM78" t="n">
        <v>356594.193183847</v>
      </c>
      <c r="BN78" t="n">
        <v>2094564.72424668</v>
      </c>
      <c r="BO78" t="n">
        <v>137780.979625437</v>
      </c>
      <c r="BP78" t="n">
        <v>96.681919323052</v>
      </c>
      <c r="BQ78" t="n">
        <v>35318.4557938904</v>
      </c>
      <c r="BR78" t="n">
        <v>26529.4233988445</v>
      </c>
      <c r="BS78" t="n">
        <v>618250.101874739</v>
      </c>
      <c r="BT78" t="n">
        <v>16788.9890735817</v>
      </c>
      <c r="BU78" t="n">
        <v>1880428.31261612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3587624.10264972</v>
      </c>
      <c r="CB78" t="n">
        <v>-828533.659226213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7424108041.92429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1897353.70752832</v>
      </c>
      <c r="H80" t="n">
        <v>0</v>
      </c>
      <c r="I80" t="n">
        <v>569128.829061124</v>
      </c>
      <c r="J80" t="n">
        <v>368251.047093448</v>
      </c>
      <c r="K80" t="n">
        <v>73248.1242918236</v>
      </c>
      <c r="L80" t="n">
        <v>926934.922112003</v>
      </c>
      <c r="M80" t="n">
        <v>396359.57016086</v>
      </c>
      <c r="N80" t="n">
        <v>110932.653383542</v>
      </c>
      <c r="O80" t="n">
        <v>26075.3762166895</v>
      </c>
      <c r="P80" t="n">
        <v>89398.1638902989</v>
      </c>
      <c r="Q80" t="n">
        <v>1053078.89715222</v>
      </c>
      <c r="R80" t="n">
        <v>118025.934733621</v>
      </c>
      <c r="S80" t="n">
        <v>187420.406588398</v>
      </c>
      <c r="T80" t="n">
        <v>3577724.0118281</v>
      </c>
      <c r="U80" t="n">
        <v>344825.522458886</v>
      </c>
      <c r="V80" t="n">
        <v>21436.7397838547</v>
      </c>
      <c r="W80" t="n">
        <v>2949725.74775553</v>
      </c>
      <c r="X80" t="n">
        <v>128647.138183558</v>
      </c>
      <c r="Y80" t="n">
        <v>289295.804129417</v>
      </c>
      <c r="Z80" t="n">
        <v>2885725.49237908</v>
      </c>
      <c r="AA80" t="n">
        <v>619255.66914987</v>
      </c>
      <c r="AB80" t="n">
        <v>4264591.77724723</v>
      </c>
      <c r="AC80" t="n">
        <v>2295483.35557206</v>
      </c>
      <c r="AD80" t="n">
        <v>2018806.29816887</v>
      </c>
      <c r="AE80" t="n">
        <v>694315.106881659</v>
      </c>
      <c r="AF80" t="n">
        <v>3193328.39036878</v>
      </c>
      <c r="AG80" t="n">
        <v>5591.61258040568</v>
      </c>
      <c r="AH80" t="n">
        <v>0</v>
      </c>
      <c r="AI80" t="n">
        <v>0</v>
      </c>
      <c r="AJ80" t="n">
        <v>1346415.07522768</v>
      </c>
      <c r="AK80" t="n">
        <v>17638.3981154299</v>
      </c>
      <c r="AL80" t="n">
        <v>68981.4695828729</v>
      </c>
      <c r="AM80" t="n">
        <v>225410.900404825</v>
      </c>
      <c r="AN80" t="n">
        <v>514041.161237563</v>
      </c>
      <c r="AO80" t="n">
        <v>64525.2833562646</v>
      </c>
      <c r="AP80" t="n">
        <v>48832.7968829413</v>
      </c>
      <c r="AQ80" t="n">
        <v>109021.889311341</v>
      </c>
      <c r="AR80" t="n">
        <v>68934.8122354809</v>
      </c>
      <c r="AS80" t="n">
        <v>1468451.09169303</v>
      </c>
      <c r="AT80" t="n">
        <v>240618.571479769</v>
      </c>
      <c r="AU80" t="n">
        <v>281152.111904238</v>
      </c>
      <c r="AV80" t="n">
        <v>0</v>
      </c>
      <c r="AW80" t="n">
        <v>0</v>
      </c>
      <c r="AX80" t="n">
        <v>7445253.49140219</v>
      </c>
      <c r="AY80" t="n">
        <v>2502803.73831776</v>
      </c>
      <c r="AZ80" t="n">
        <v>1112074.47413499</v>
      </c>
      <c r="BA80" t="n">
        <v>496589.426165897</v>
      </c>
      <c r="BB80" t="n">
        <v>2947019.05347265</v>
      </c>
      <c r="BC80" t="n">
        <v>1858878.35258961</v>
      </c>
      <c r="BD80" t="n">
        <v>4061793.37423313</v>
      </c>
      <c r="BE80" t="n">
        <v>3847276.67398689</v>
      </c>
      <c r="BF80" t="n">
        <v>542779.128234158</v>
      </c>
      <c r="BG80" t="n">
        <v>2801553.64293017</v>
      </c>
      <c r="BH80" t="n">
        <v>5859352.49879994</v>
      </c>
      <c r="BI80" t="n">
        <v>3639402.80439826</v>
      </c>
      <c r="BJ80" t="n">
        <v>1325771.25197408</v>
      </c>
      <c r="BK80" t="n">
        <v>267402.088122469</v>
      </c>
      <c r="BL80" t="n">
        <v>1082909.10596541</v>
      </c>
      <c r="BM80" t="n">
        <v>4625284.69011244</v>
      </c>
      <c r="BN80" t="n">
        <v>6508023.55043637</v>
      </c>
      <c r="BO80" t="n">
        <v>4476458.78325214</v>
      </c>
      <c r="BP80" t="n">
        <v>1756612.94448708</v>
      </c>
      <c r="BQ80" t="n">
        <v>3956384.97553756</v>
      </c>
      <c r="BR80" t="n">
        <v>1023399.82797702</v>
      </c>
      <c r="BS80" t="n">
        <v>24163350.3943808</v>
      </c>
      <c r="BT80" t="n">
        <v>4218601.73670001</v>
      </c>
      <c r="BU80" t="n">
        <v>612071034.038775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-51520.8352095378</v>
      </c>
      <c r="C81" t="n">
        <v>1659992.7884599</v>
      </c>
      <c r="D81" t="n">
        <v>0</v>
      </c>
      <c r="E81" t="n">
        <v>0</v>
      </c>
      <c r="F81" t="n">
        <v>10001.9076412242</v>
      </c>
      <c r="G81" t="n">
        <v>14957420.4755555</v>
      </c>
      <c r="H81" t="n">
        <v>7327728.68507459</v>
      </c>
      <c r="I81" t="n">
        <v>0</v>
      </c>
      <c r="J81" t="n">
        <v>162961.670265491</v>
      </c>
      <c r="K81" t="n">
        <v>9823344.50042083</v>
      </c>
      <c r="L81" t="n">
        <v>1993258.55431604</v>
      </c>
      <c r="M81" t="n">
        <v>12063.1173527218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189435.679777521</v>
      </c>
      <c r="T81" t="n">
        <v>3514.46366584292</v>
      </c>
      <c r="U81" t="n">
        <v>127713.156466254</v>
      </c>
      <c r="V81" t="n">
        <v>0</v>
      </c>
      <c r="W81" t="n">
        <v>22902981.6947952</v>
      </c>
      <c r="X81" t="n">
        <v>0</v>
      </c>
      <c r="Y81" t="n">
        <v>0</v>
      </c>
      <c r="Z81" t="n">
        <v>77759.0701539272</v>
      </c>
      <c r="AA81" t="n">
        <v>152432.164713814</v>
      </c>
      <c r="AB81" t="n">
        <v>0</v>
      </c>
      <c r="AC81" t="n">
        <v>197460.93381265</v>
      </c>
      <c r="AD81" t="n">
        <v>0</v>
      </c>
      <c r="AE81" t="n">
        <v>0</v>
      </c>
      <c r="AF81" t="n">
        <v>890333.194340737</v>
      </c>
      <c r="AG81" t="n">
        <v>-174737.893137678</v>
      </c>
      <c r="AH81" t="n">
        <v>0</v>
      </c>
      <c r="AI81" t="n">
        <v>-122636.767832979</v>
      </c>
      <c r="AJ81" t="n">
        <v>1042906.6410037</v>
      </c>
      <c r="AK81" t="n">
        <v>8819.19905771496</v>
      </c>
      <c r="AL81" t="n">
        <v>132308.720347477</v>
      </c>
      <c r="AM81" t="n">
        <v>3681711.3732788</v>
      </c>
      <c r="AN81" t="n">
        <v>0</v>
      </c>
      <c r="AO81" t="n">
        <v>0</v>
      </c>
      <c r="AP81" t="n">
        <v>86661.019820431</v>
      </c>
      <c r="AQ81" t="n">
        <v>1434.49854357028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20560.7476635514</v>
      </c>
      <c r="AZ81" t="n">
        <v>0</v>
      </c>
      <c r="BA81" t="n">
        <v>0</v>
      </c>
      <c r="BB81" t="n">
        <v>0</v>
      </c>
      <c r="BC81" t="n">
        <v>850184.672889822</v>
      </c>
      <c r="BD81" t="n">
        <v>0</v>
      </c>
      <c r="BE81" t="n">
        <v>0</v>
      </c>
      <c r="BF81" t="n">
        <v>1184636.98622534</v>
      </c>
      <c r="BG81" t="n">
        <v>0</v>
      </c>
      <c r="BH81" t="n">
        <v>0</v>
      </c>
      <c r="BI81" t="n">
        <v>0</v>
      </c>
      <c r="BJ81" t="n">
        <v>0</v>
      </c>
      <c r="BK81" t="n">
        <v>-318116.277249144</v>
      </c>
      <c r="BL81" t="n">
        <v>2186484.41624313</v>
      </c>
      <c r="BM81" t="n">
        <v>0</v>
      </c>
      <c r="BN81" t="n">
        <v>0</v>
      </c>
      <c r="BO81" t="n">
        <v>89902489.2019487</v>
      </c>
      <c r="BP81" t="n">
        <v>-94781.2739831159</v>
      </c>
      <c r="BQ81" t="n">
        <v>0</v>
      </c>
      <c r="BR81" t="n">
        <v>0</v>
      </c>
      <c r="BS81" t="n">
        <v>0</v>
      </c>
      <c r="BT81" t="n">
        <v>0</v>
      </c>
      <c r="BU81" t="n">
        <v>370389928.637307</v>
      </c>
      <c r="BV81" t="n">
        <v>-14299870.5228938</v>
      </c>
      <c r="BW81" t="n">
        <v>-612357282.335386</v>
      </c>
      <c r="BX81" t="n">
        <v>0</v>
      </c>
      <c r="BY81" t="n">
        <v>-4290668.6319495</v>
      </c>
      <c r="BZ81" t="n">
        <v>12217135.3259149</v>
      </c>
      <c r="CA81" t="n">
        <v>119354927.254143</v>
      </c>
      <c r="CB81" t="n">
        <v>-74263329.0778835</v>
      </c>
      <c r="CC81" t="n">
        <v>0</v>
      </c>
      <c r="CD81" t="n">
        <v>-18933.9563361718</v>
      </c>
      <c r="CE81" t="n">
        <v>0</v>
      </c>
      <c r="CF81" t="n">
        <v>0</v>
      </c>
      <c r="CG81" t="n">
        <v>0</v>
      </c>
      <c r="CH81" t="n">
        <v>-2617619.46347576</v>
      </c>
      <c r="CI81" t="n">
        <v>156205.139773418</v>
      </c>
      <c r="CJ81" t="n">
        <v>0</v>
      </c>
      <c r="CK81" t="n">
        <v>0</v>
      </c>
      <c r="CL81" t="n">
        <v>10724360.4510691</v>
      </c>
      <c r="CM81" t="n">
        <v>-44541495.2894648</v>
      </c>
      <c r="CN81" t="n">
        <v>0</v>
      </c>
    </row>
    <row r="82">
      <c r="A82" t="s">
        <v>193</v>
      </c>
      <c r="B82" t="n">
        <v>2670496.62502771</v>
      </c>
      <c r="C82" t="n">
        <v>240966.695099017</v>
      </c>
      <c r="D82" t="n">
        <v>0</v>
      </c>
      <c r="E82" t="n">
        <v>14393.3685436747</v>
      </c>
      <c r="F82" t="n">
        <v>3926.80528872007</v>
      </c>
      <c r="G82" t="n">
        <v>4784898.49094662</v>
      </c>
      <c r="H82" t="n">
        <v>3927973.29161066</v>
      </c>
      <c r="I82" t="n">
        <v>1715880.94731861</v>
      </c>
      <c r="J82" t="n">
        <v>626450.057124486</v>
      </c>
      <c r="K82" t="n">
        <v>241333.293719377</v>
      </c>
      <c r="L82" t="n">
        <v>2522935.65266575</v>
      </c>
      <c r="M82" t="n">
        <v>2345414.67386491</v>
      </c>
      <c r="N82" t="n">
        <v>4467240.34339757</v>
      </c>
      <c r="O82" t="n">
        <v>200306.299119115</v>
      </c>
      <c r="P82" t="n">
        <v>1303239.46710209</v>
      </c>
      <c r="Q82" t="n">
        <v>3125911.40990122</v>
      </c>
      <c r="R82" t="n">
        <v>293809.241783695</v>
      </c>
      <c r="S82" t="n">
        <v>888735.476403049</v>
      </c>
      <c r="T82" t="n">
        <v>7773993.62884455</v>
      </c>
      <c r="U82" t="n">
        <v>619408.808861332</v>
      </c>
      <c r="V82" t="n">
        <v>160775.54837891</v>
      </c>
      <c r="W82" t="n">
        <v>7538188.02204192</v>
      </c>
      <c r="X82" t="n">
        <v>606125.939518689</v>
      </c>
      <c r="Y82" t="n">
        <v>4731593.5964278</v>
      </c>
      <c r="Z82" t="n">
        <v>5138578.55267202</v>
      </c>
      <c r="AA82" t="n">
        <v>2108644.94520776</v>
      </c>
      <c r="AB82" t="n">
        <v>20719885.3015749</v>
      </c>
      <c r="AC82" t="n">
        <v>557827.138020737</v>
      </c>
      <c r="AD82" t="n">
        <v>2946365.94867889</v>
      </c>
      <c r="AE82" t="n">
        <v>3694112.4276396</v>
      </c>
      <c r="AF82" t="n">
        <v>13493494.1897863</v>
      </c>
      <c r="AG82" t="n">
        <v>11799001.4962285</v>
      </c>
      <c r="AH82" t="n">
        <v>200969.990906335</v>
      </c>
      <c r="AI82" t="n">
        <v>1252503.38294993</v>
      </c>
      <c r="AJ82" t="n">
        <v>3206211.43813211</v>
      </c>
      <c r="AK82" t="n">
        <v>46300.7950530035</v>
      </c>
      <c r="AL82" t="n">
        <v>120434.860829114</v>
      </c>
      <c r="AM82" t="n">
        <v>1102008.84642359</v>
      </c>
      <c r="AN82" t="n">
        <v>272503.748125937</v>
      </c>
      <c r="AO82" t="n">
        <v>816538.131199275</v>
      </c>
      <c r="AP82" t="n">
        <v>354897.509740813</v>
      </c>
      <c r="AQ82" t="n">
        <v>8800648.56480365</v>
      </c>
      <c r="AR82" t="n">
        <v>563081.387071998</v>
      </c>
      <c r="AS82" t="n">
        <v>10753373.0402695</v>
      </c>
      <c r="AT82" t="n">
        <v>42164866.1434254</v>
      </c>
      <c r="AU82" t="n">
        <v>5509061.65217763</v>
      </c>
      <c r="AV82" t="n">
        <v>476239.316239316</v>
      </c>
      <c r="AW82" t="n">
        <v>116192.755851885</v>
      </c>
      <c r="AX82" t="n">
        <v>2404343.04621526</v>
      </c>
      <c r="AY82" t="n">
        <v>2880373.8317757</v>
      </c>
      <c r="AZ82" t="n">
        <v>505922.292954115</v>
      </c>
      <c r="BA82" t="n">
        <v>4377827.8359362</v>
      </c>
      <c r="BB82" t="n">
        <v>8110391.27939167</v>
      </c>
      <c r="BC82" t="n">
        <v>6805079.86054608</v>
      </c>
      <c r="BD82" t="n">
        <v>4158085.88957055</v>
      </c>
      <c r="BE82" t="n">
        <v>453573.671038454</v>
      </c>
      <c r="BF82" t="n">
        <v>1865264.78194754</v>
      </c>
      <c r="BG82" t="n">
        <v>0</v>
      </c>
      <c r="BH82" t="n">
        <v>0</v>
      </c>
      <c r="BI82" t="n">
        <v>2087304.54958136</v>
      </c>
      <c r="BJ82" t="n">
        <v>0</v>
      </c>
      <c r="BK82" t="n">
        <v>799901.073952558</v>
      </c>
      <c r="BL82" t="n">
        <v>963045.120953968</v>
      </c>
      <c r="BM82" t="n">
        <v>3956290.89453508</v>
      </c>
      <c r="BN82" t="n">
        <v>8508872.21481001</v>
      </c>
      <c r="BO82" t="n">
        <v>13581344.6922137</v>
      </c>
      <c r="BP82" t="n">
        <v>11142486.5694551</v>
      </c>
      <c r="BQ82" t="n">
        <v>8697583.77352714</v>
      </c>
      <c r="BR82" t="n">
        <v>16915.6996359838</v>
      </c>
      <c r="BS82" t="n">
        <v>0</v>
      </c>
      <c r="BT82" t="n">
        <v>0</v>
      </c>
      <c r="BU82" t="n">
        <v>-334699366.835181</v>
      </c>
      <c r="BV82" t="n">
        <v>0</v>
      </c>
      <c r="BW82" t="n">
        <v>0</v>
      </c>
      <c r="BX82" t="n">
        <v>44346108.9161738</v>
      </c>
      <c r="BY82" t="n">
        <v>0</v>
      </c>
      <c r="BZ82" t="n">
        <v>0</v>
      </c>
      <c r="CA82" t="n">
        <v>954625563.434173</v>
      </c>
      <c r="CB82" t="n">
        <v>-897878486.496716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226</v>
      </c>
    </row>
    <row r="2">
      <c r="A2" t="s">
        <v>227</v>
      </c>
    </row>
    <row r="3">
      <c r="A3" t="s">
        <v>228</v>
      </c>
    </row>
    <row r="4">
      <c r="A4" t="s">
        <v>64</v>
      </c>
    </row>
    <row r="5">
      <c r="A5" t="s">
        <v>1</v>
      </c>
    </row>
    <row r="6">
      <c r="A6" t="s">
        <v>229</v>
      </c>
    </row>
    <row r="7">
      <c r="A7" t="s">
        <v>1</v>
      </c>
    </row>
    <row r="9">
      <c r="A9" t="s">
        <v>230</v>
      </c>
      <c r="B9" t="s">
        <v>231</v>
      </c>
      <c r="C9" t="s">
        <v>232</v>
      </c>
      <c r="D9" t="s">
        <v>233</v>
      </c>
      <c r="E9" t="s">
        <v>234</v>
      </c>
    </row>
    <row r="10">
      <c r="A10" t="s">
        <v>235</v>
      </c>
      <c r="B10" t="n">
        <v>12031000</v>
      </c>
      <c r="C10" t="s">
        <v>236</v>
      </c>
      <c r="D10" t="n">
        <v>600000000</v>
      </c>
      <c r="E10" t="s">
        <v>237</v>
      </c>
    </row>
    <row r="11">
      <c r="A11" t="s">
        <v>238</v>
      </c>
      <c r="B11" t="n">
        <v>1000000</v>
      </c>
      <c r="C11" t="s">
        <v>236</v>
      </c>
      <c r="D11" t="n">
        <v>40000000</v>
      </c>
      <c r="E11" t="s">
        <v>239</v>
      </c>
    </row>
    <row r="12">
      <c r="A12" t="s">
        <v>240</v>
      </c>
      <c r="B12" t="n">
        <v>4220000</v>
      </c>
      <c r="C12" t="s">
        <v>236</v>
      </c>
      <c r="D12" t="n">
        <v>125000000</v>
      </c>
      <c r="E12" t="s">
        <v>241</v>
      </c>
    </row>
    <row r="13">
      <c r="A13" t="s">
        <v>242</v>
      </c>
      <c r="B13" t="n">
        <v>0</v>
      </c>
      <c r="C13" t="s">
        <v>236</v>
      </c>
      <c r="D13" t="n">
        <v>0</v>
      </c>
      <c r="E13"/>
    </row>
    <row r="14">
      <c r="A14" t="s">
        <v>243</v>
      </c>
      <c r="B14" t="n">
        <v>0</v>
      </c>
      <c r="C14" t="s">
        <v>236</v>
      </c>
      <c r="D14" t="n">
        <v>0</v>
      </c>
      <c r="E14"/>
    </row>
    <row r="15">
      <c r="A15" t="s">
        <v>244</v>
      </c>
      <c r="B15" t="n">
        <v>10710000</v>
      </c>
      <c r="C15" t="s">
        <v>236</v>
      </c>
      <c r="D15" t="n">
        <v>330000000</v>
      </c>
      <c r="E15" t="s">
        <v>245</v>
      </c>
    </row>
    <row r="16">
      <c r="A16" t="s">
        <v>246</v>
      </c>
      <c r="B16" t="n">
        <v>0</v>
      </c>
      <c r="C16" t="s">
        <v>236</v>
      </c>
      <c r="D16" t="n">
        <v>0</v>
      </c>
      <c r="E16"/>
    </row>
    <row r="17">
      <c r="A17" t="s">
        <v>247</v>
      </c>
      <c r="B17" t="n">
        <v>0</v>
      </c>
      <c r="C17" t="s">
        <v>236</v>
      </c>
      <c r="D17" t="n">
        <v>0</v>
      </c>
      <c r="E17"/>
    </row>
    <row r="18">
      <c r="A18" t="s">
        <v>248</v>
      </c>
      <c r="B18" t="n">
        <v>0</v>
      </c>
      <c r="C18" t="s">
        <v>236</v>
      </c>
      <c r="D18" t="n">
        <v>0</v>
      </c>
      <c r="E18"/>
    </row>
    <row r="19">
      <c r="A19" t="s">
        <v>249</v>
      </c>
      <c r="B19" t="n">
        <v>0</v>
      </c>
      <c r="C19" t="s">
        <v>236</v>
      </c>
      <c r="D19" t="n">
        <v>0</v>
      </c>
      <c r="E19"/>
    </row>
    <row r="20">
      <c r="A20" t="s">
        <v>250</v>
      </c>
      <c r="B20" t="n">
        <v>0</v>
      </c>
      <c r="C20" t="s">
        <v>236</v>
      </c>
      <c r="D20" t="n">
        <v>0</v>
      </c>
      <c r="E20"/>
    </row>
    <row r="21">
      <c r="A21" t="s">
        <v>251</v>
      </c>
      <c r="B21" t="n">
        <v>0</v>
      </c>
      <c r="C21" t="s">
        <v>236</v>
      </c>
      <c r="D21" t="n">
        <v>0</v>
      </c>
      <c r="E21"/>
    </row>
    <row r="22">
      <c r="A22" t="s">
        <v>252</v>
      </c>
      <c r="B22" t="n">
        <v>0</v>
      </c>
      <c r="C22" t="s">
        <v>236</v>
      </c>
      <c r="D22" t="n">
        <v>0</v>
      </c>
      <c r="E22"/>
    </row>
    <row r="23">
      <c r="A23" t="s">
        <v>253</v>
      </c>
      <c r="B23" t="n">
        <v>45919000</v>
      </c>
      <c r="C23" t="s">
        <v>236</v>
      </c>
      <c r="D23" t="n">
        <v>1950000000</v>
      </c>
      <c r="E23" t="s">
        <v>254</v>
      </c>
    </row>
    <row r="24">
      <c r="A24" t="s">
        <v>255</v>
      </c>
      <c r="B24" t="n">
        <v>28820000</v>
      </c>
      <c r="C24" t="s">
        <v>236</v>
      </c>
      <c r="D24" t="n">
        <v>1210000000</v>
      </c>
      <c r="E24" t="s">
        <v>254</v>
      </c>
    </row>
    <row r="25">
      <c r="A25" t="s">
        <v>256</v>
      </c>
      <c r="B25" t="n">
        <v>0</v>
      </c>
      <c r="C25" t="s">
        <v>236</v>
      </c>
      <c r="D25" t="n">
        <v>0</v>
      </c>
      <c r="E25"/>
    </row>
    <row r="26">
      <c r="A26" t="s">
        <v>257</v>
      </c>
      <c r="B26" t="n">
        <v>0</v>
      </c>
      <c r="C26" t="s">
        <v>236</v>
      </c>
      <c r="D26" t="n">
        <v>0</v>
      </c>
      <c r="E26"/>
    </row>
    <row r="27">
      <c r="A27" t="s">
        <v>258</v>
      </c>
      <c r="B27" t="n">
        <v>36140000</v>
      </c>
      <c r="C27" t="s">
        <v>236</v>
      </c>
      <c r="D27" t="n">
        <v>1730000000</v>
      </c>
      <c r="E27" t="s">
        <v>259</v>
      </c>
    </row>
    <row r="28">
      <c r="A28" t="s">
        <v>260</v>
      </c>
      <c r="B28" t="n">
        <v>2720000</v>
      </c>
      <c r="C28" t="s">
        <v>236</v>
      </c>
      <c r="D28" t="n">
        <v>60000000</v>
      </c>
      <c r="E28" t="s">
        <v>261</v>
      </c>
    </row>
    <row r="29">
      <c r="A29" t="s">
        <v>262</v>
      </c>
      <c r="B29" t="n">
        <v>0</v>
      </c>
      <c r="C29" t="s">
        <v>236</v>
      </c>
      <c r="D29" t="n">
        <v>0</v>
      </c>
      <c r="E29"/>
    </row>
    <row r="30">
      <c r="A30" t="s">
        <v>263</v>
      </c>
      <c r="B30" t="n">
        <v>1320000</v>
      </c>
      <c r="C30" t="s">
        <v>236</v>
      </c>
      <c r="D30" t="n">
        <v>70000000</v>
      </c>
      <c r="E30" t="s">
        <v>264</v>
      </c>
    </row>
    <row r="31">
      <c r="A31" t="s">
        <v>265</v>
      </c>
      <c r="B31" t="n">
        <v>0</v>
      </c>
      <c r="C31" t="s">
        <v>236</v>
      </c>
      <c r="D31" t="n">
        <v>0</v>
      </c>
      <c r="E31"/>
    </row>
    <row r="32">
      <c r="A32" t="s">
        <v>266</v>
      </c>
      <c r="B32" t="n">
        <v>0</v>
      </c>
      <c r="C32" t="s">
        <v>236</v>
      </c>
      <c r="D32" t="n">
        <v>0</v>
      </c>
      <c r="E32"/>
    </row>
    <row r="33">
      <c r="A33" t="s">
        <v>267</v>
      </c>
      <c r="B33" t="n">
        <v>0</v>
      </c>
      <c r="C33" t="s">
        <v>236</v>
      </c>
      <c r="D33" t="n">
        <v>0</v>
      </c>
      <c r="E33"/>
    </row>
    <row r="34">
      <c r="A34" t="s">
        <v>268</v>
      </c>
      <c r="B34" t="n">
        <v>2800000</v>
      </c>
      <c r="C34" t="s">
        <v>236</v>
      </c>
      <c r="D34" t="n">
        <v>65000000</v>
      </c>
      <c r="E34" t="s">
        <v>269</v>
      </c>
    </row>
    <row r="35">
      <c r="A35" t="s">
        <v>270</v>
      </c>
      <c r="B35" t="n">
        <v>264000</v>
      </c>
      <c r="C35" t="s">
        <v>236</v>
      </c>
      <c r="D35" t="n">
        <v>12000000</v>
      </c>
      <c r="E35"/>
    </row>
    <row r="36">
      <c r="A36" t="s">
        <v>271</v>
      </c>
      <c r="B36" t="n">
        <v>38660000</v>
      </c>
      <c r="C36" t="s">
        <v>236</v>
      </c>
      <c r="D36" t="n">
        <v>590000000</v>
      </c>
      <c r="E36" t="s">
        <v>272</v>
      </c>
    </row>
    <row r="37">
      <c r="A37" t="s">
        <v>273</v>
      </c>
      <c r="B37" t="n">
        <v>0</v>
      </c>
      <c r="C37" t="s">
        <v>236</v>
      </c>
      <c r="D37" t="n">
        <v>0</v>
      </c>
      <c r="E37"/>
    </row>
    <row r="38">
      <c r="A38" t="s">
        <v>274</v>
      </c>
      <c r="B38" t="n">
        <v>0</v>
      </c>
      <c r="C38" t="s">
        <v>236</v>
      </c>
      <c r="D38" t="n">
        <v>0</v>
      </c>
      <c r="E38"/>
    </row>
    <row r="39">
      <c r="A39" t="s">
        <v>275</v>
      </c>
      <c r="B39" t="n">
        <v>0</v>
      </c>
      <c r="C39" t="s">
        <v>236</v>
      </c>
      <c r="D39" t="n">
        <v>0</v>
      </c>
      <c r="E39"/>
    </row>
    <row r="40">
      <c r="A40" t="s">
        <v>276</v>
      </c>
      <c r="B40" t="n">
        <v>0</v>
      </c>
      <c r="C40" t="s">
        <v>236</v>
      </c>
      <c r="D40" t="n">
        <v>0</v>
      </c>
      <c r="E40"/>
    </row>
    <row r="41">
      <c r="A41" t="s">
        <v>277</v>
      </c>
      <c r="B41" t="n">
        <v>10720000</v>
      </c>
      <c r="C41" t="s">
        <v>236</v>
      </c>
      <c r="D41" t="n">
        <v>260000000</v>
      </c>
      <c r="E41" t="s">
        <v>278</v>
      </c>
    </row>
    <row r="42">
      <c r="A42" t="s">
        <v>279</v>
      </c>
      <c r="B42" t="n">
        <v>0</v>
      </c>
      <c r="C42" t="s">
        <v>236</v>
      </c>
      <c r="D42" t="n">
        <v>0</v>
      </c>
      <c r="E42"/>
    </row>
    <row r="43">
      <c r="A43" t="s">
        <v>280</v>
      </c>
      <c r="B43" t="n">
        <v>0</v>
      </c>
      <c r="C43" t="s">
        <v>236</v>
      </c>
      <c r="D43" t="n">
        <v>0</v>
      </c>
      <c r="E43"/>
    </row>
    <row r="44">
      <c r="A44" t="s">
        <v>281</v>
      </c>
      <c r="B44" t="n">
        <v>27870000</v>
      </c>
      <c r="C44" t="s">
        <v>236</v>
      </c>
      <c r="D44" t="n">
        <v>560000000</v>
      </c>
      <c r="E44" t="s">
        <v>282</v>
      </c>
    </row>
    <row r="45">
      <c r="A45" t="s">
        <v>283</v>
      </c>
      <c r="B45" t="n">
        <v>8220000</v>
      </c>
      <c r="C45" t="s">
        <v>236</v>
      </c>
      <c r="D45" t="n">
        <v>430000000</v>
      </c>
      <c r="E45" t="s">
        <v>284</v>
      </c>
    </row>
    <row r="46">
      <c r="A46" t="s">
        <v>285</v>
      </c>
      <c r="B46" t="n">
        <v>930000</v>
      </c>
      <c r="C46" t="s">
        <v>236</v>
      </c>
      <c r="D46" t="n">
        <v>40000000</v>
      </c>
      <c r="E46"/>
    </row>
    <row r="47">
      <c r="A47" t="s">
        <v>286</v>
      </c>
      <c r="B47" t="n">
        <v>0</v>
      </c>
      <c r="C47" t="s">
        <v>236</v>
      </c>
      <c r="D47" t="n">
        <v>0</v>
      </c>
      <c r="E47"/>
    </row>
    <row r="48">
      <c r="A48" t="s">
        <v>287</v>
      </c>
      <c r="B48" t="n">
        <v>50110000</v>
      </c>
      <c r="C48" t="s">
        <v>236</v>
      </c>
      <c r="D48" t="n">
        <v>3000000000</v>
      </c>
      <c r="E48" t="s">
        <v>288</v>
      </c>
    </row>
    <row r="49">
      <c r="A49" t="s">
        <v>289</v>
      </c>
      <c r="B49" t="n">
        <v>0</v>
      </c>
      <c r="C49" t="s">
        <v>236</v>
      </c>
      <c r="D49" t="n">
        <v>0</v>
      </c>
      <c r="E49"/>
    </row>
    <row r="50">
      <c r="A50" t="s">
        <v>290</v>
      </c>
      <c r="B50" t="n">
        <v>0</v>
      </c>
      <c r="C50" t="s">
        <v>236</v>
      </c>
      <c r="D50" t="n">
        <v>0</v>
      </c>
      <c r="E50"/>
    </row>
    <row r="51">
      <c r="A51" t="s">
        <v>291</v>
      </c>
      <c r="B51" t="n">
        <v>0</v>
      </c>
      <c r="C51" t="s">
        <v>236</v>
      </c>
      <c r="D51" t="n">
        <v>0</v>
      </c>
      <c r="E51"/>
    </row>
    <row r="52">
      <c r="A52" t="s">
        <v>292</v>
      </c>
      <c r="B52" t="n">
        <v>400000</v>
      </c>
      <c r="C52" t="s">
        <v>236</v>
      </c>
      <c r="D52" t="n">
        <v>22000000</v>
      </c>
      <c r="E52" t="s">
        <v>293</v>
      </c>
    </row>
    <row r="53">
      <c r="A53" t="s">
        <v>294</v>
      </c>
      <c r="B53" t="n">
        <v>22820000</v>
      </c>
      <c r="C53" t="s">
        <v>236</v>
      </c>
      <c r="D53" t="n">
        <v>500000000</v>
      </c>
      <c r="E53" t="s">
        <v>261</v>
      </c>
    </row>
    <row r="54">
      <c r="A54" t="s">
        <v>295</v>
      </c>
      <c r="B54" t="n">
        <v>12810000</v>
      </c>
      <c r="C54" t="s">
        <v>236</v>
      </c>
      <c r="D54" t="n">
        <v>380000000</v>
      </c>
      <c r="E54" t="s">
        <v>296</v>
      </c>
    </row>
    <row r="55">
      <c r="A55" t="s">
        <v>297</v>
      </c>
      <c r="B55" t="n">
        <v>0</v>
      </c>
      <c r="C55" t="s">
        <v>236</v>
      </c>
      <c r="D55" t="n">
        <v>0</v>
      </c>
      <c r="E55"/>
    </row>
    <row r="56">
      <c r="A56" t="s">
        <v>298</v>
      </c>
      <c r="B56" t="n">
        <v>11480000</v>
      </c>
      <c r="C56" t="s">
        <v>236</v>
      </c>
      <c r="D56" t="n">
        <v>620000000</v>
      </c>
      <c r="E56" t="s">
        <v>299</v>
      </c>
    </row>
    <row r="57">
      <c r="A57" t="s">
        <v>300</v>
      </c>
      <c r="B57" t="n">
        <v>3050000</v>
      </c>
      <c r="C57" t="s">
        <v>236</v>
      </c>
      <c r="D57" t="n">
        <v>90000000</v>
      </c>
      <c r="E57" t="s">
        <v>301</v>
      </c>
    </row>
    <row r="58">
      <c r="A58" t="s">
        <v>302</v>
      </c>
      <c r="B58" t="n">
        <v>93320000</v>
      </c>
      <c r="C58" t="s">
        <v>236</v>
      </c>
      <c r="D58" t="n">
        <v>5050000000</v>
      </c>
      <c r="E58" t="s">
        <v>303</v>
      </c>
    </row>
    <row r="59">
      <c r="A59" t="s">
        <v>304</v>
      </c>
      <c r="B59" t="n">
        <v>0</v>
      </c>
      <c r="C59" t="s">
        <v>236</v>
      </c>
      <c r="D59" t="n">
        <v>0</v>
      </c>
      <c r="E59"/>
    </row>
    <row r="60">
      <c r="A60" t="s">
        <v>305</v>
      </c>
      <c r="B60" t="n">
        <v>276040000</v>
      </c>
      <c r="C60" t="s">
        <v>236</v>
      </c>
      <c r="D60" t="n">
        <v>3690000000</v>
      </c>
      <c r="E60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307</v>
      </c>
    </row>
    <row r="2">
      <c r="A2" t="s">
        <v>308</v>
      </c>
    </row>
    <row r="3">
      <c r="A3" t="s">
        <v>309</v>
      </c>
    </row>
    <row r="4">
      <c r="A4" t="s">
        <v>1</v>
      </c>
    </row>
    <row r="5">
      <c r="A5" t="s">
        <v>310</v>
      </c>
    </row>
    <row r="6">
      <c r="A6" t="s">
        <v>311</v>
      </c>
    </row>
    <row r="7">
      <c r="A7" t="s">
        <v>312</v>
      </c>
    </row>
    <row r="8">
      <c r="A8" t="s">
        <v>313</v>
      </c>
    </row>
    <row r="9">
      <c r="A9" t="s">
        <v>314</v>
      </c>
    </row>
    <row r="10">
      <c r="A10" t="s">
        <v>315</v>
      </c>
    </row>
    <row r="11">
      <c r="A11" t="s">
        <v>316</v>
      </c>
    </row>
    <row r="12">
      <c r="A12" t="s">
        <v>317</v>
      </c>
    </row>
    <row r="13">
      <c r="A13" t="s">
        <v>1</v>
      </c>
    </row>
    <row r="14">
      <c r="A14" t="s">
        <v>318</v>
      </c>
    </row>
    <row r="15">
      <c r="A15" t="s">
        <v>1</v>
      </c>
    </row>
    <row r="17">
      <c r="A17" t="s">
        <v>319</v>
      </c>
    </row>
    <row r="18">
      <c r="A18" t="s">
        <v>320</v>
      </c>
    </row>
    <row r="20">
      <c r="A20" t="s">
        <v>321</v>
      </c>
    </row>
    <row r="21">
      <c r="A21" t="s">
        <v>322</v>
      </c>
    </row>
    <row r="23">
      <c r="A23" t="s">
        <v>323</v>
      </c>
    </row>
    <row r="25">
      <c r="A25" t="s">
        <v>230</v>
      </c>
      <c r="B25" t="s">
        <v>324</v>
      </c>
      <c r="C25" t="s">
        <v>325</v>
      </c>
      <c r="D25" t="s">
        <v>326</v>
      </c>
      <c r="E25" t="s">
        <v>327</v>
      </c>
    </row>
    <row r="26">
      <c r="A26" t="s">
        <v>238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235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242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240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243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244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246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248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247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249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250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251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256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252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253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255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257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258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260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265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263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262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266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267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270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268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271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280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281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273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275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276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277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274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279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283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285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286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287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289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290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291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292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294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295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298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297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300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304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302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305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1.71" hidden="0" customWidth="1"/>
  </cols>
  <sheetData>
    <row r="1">
      <c r="A1" t="s">
        <v>328</v>
      </c>
    </row>
    <row r="2">
      <c r="A2" t="s">
        <v>1</v>
      </c>
    </row>
    <row r="3">
      <c r="A3" t="s">
        <v>329</v>
      </c>
    </row>
    <row r="4">
      <c r="A4" t="s">
        <v>330</v>
      </c>
    </row>
    <row r="5">
      <c r="A5" t="s">
        <v>331</v>
      </c>
    </row>
    <row r="6">
      <c r="A6" t="s">
        <v>1</v>
      </c>
    </row>
    <row r="8">
      <c r="A8" t="s">
        <v>332</v>
      </c>
      <c r="B8" t="s">
        <v>333</v>
      </c>
      <c r="C8" t="s">
        <v>334</v>
      </c>
      <c r="D8" t="s">
        <v>335</v>
      </c>
      <c r="E8" t="s">
        <v>336</v>
      </c>
      <c r="F8" t="s">
        <v>337</v>
      </c>
      <c r="G8" t="s">
        <v>338</v>
      </c>
    </row>
    <row r="9">
      <c r="A9" t="s">
        <v>121</v>
      </c>
      <c r="B9" t="s">
        <v>339</v>
      </c>
      <c r="C9" t="s">
        <v>340</v>
      </c>
      <c r="D9" t="s">
        <v>341</v>
      </c>
      <c r="E9" t="n">
        <v>1</v>
      </c>
      <c r="F9"/>
      <c r="G9"/>
    </row>
    <row r="10">
      <c r="A10" t="s">
        <v>122</v>
      </c>
      <c r="B10" t="s">
        <v>342</v>
      </c>
      <c r="C10" t="s">
        <v>340</v>
      </c>
      <c r="D10" t="s">
        <v>341</v>
      </c>
      <c r="E10" t="n">
        <v>1</v>
      </c>
      <c r="F10"/>
      <c r="G10"/>
    </row>
    <row r="11">
      <c r="A11" t="s">
        <v>123</v>
      </c>
      <c r="B11" t="s">
        <v>343</v>
      </c>
      <c r="C11" t="s">
        <v>344</v>
      </c>
      <c r="D11" t="s">
        <v>345</v>
      </c>
      <c r="E11" t="n">
        <v>1</v>
      </c>
      <c r="F11"/>
      <c r="G11"/>
    </row>
    <row r="12">
      <c r="A12" t="s">
        <v>125</v>
      </c>
      <c r="B12" t="s">
        <v>346</v>
      </c>
      <c r="C12" t="s">
        <v>347</v>
      </c>
      <c r="D12" t="s">
        <v>348</v>
      </c>
      <c r="E12" t="n">
        <v>1</v>
      </c>
      <c r="F12"/>
      <c r="G12"/>
    </row>
    <row r="13">
      <c r="A13" t="s">
        <v>126</v>
      </c>
      <c r="B13" t="s">
        <v>349</v>
      </c>
      <c r="C13" t="s">
        <v>350</v>
      </c>
      <c r="D13" t="s">
        <v>351</v>
      </c>
      <c r="E13" t="n">
        <v>0.72</v>
      </c>
      <c r="F13" t="s">
        <v>352</v>
      </c>
      <c r="G13"/>
    </row>
    <row r="14">
      <c r="A14" t="s">
        <v>126</v>
      </c>
      <c r="B14" t="s">
        <v>349</v>
      </c>
      <c r="C14" t="s">
        <v>353</v>
      </c>
      <c r="D14" t="s">
        <v>354</v>
      </c>
      <c r="E14" t="n">
        <v>0.2</v>
      </c>
      <c r="F14" t="s">
        <v>355</v>
      </c>
      <c r="G14"/>
    </row>
    <row r="15">
      <c r="A15" t="s">
        <v>126</v>
      </c>
      <c r="B15" t="s">
        <v>349</v>
      </c>
      <c r="C15" t="s">
        <v>356</v>
      </c>
      <c r="D15" t="s">
        <v>357</v>
      </c>
      <c r="E15" t="n">
        <v>0.08</v>
      </c>
      <c r="F15" t="s">
        <v>358</v>
      </c>
      <c r="G15"/>
    </row>
    <row r="16">
      <c r="A16" t="s">
        <v>127</v>
      </c>
      <c r="B16" t="s">
        <v>359</v>
      </c>
      <c r="C16" t="s">
        <v>360</v>
      </c>
      <c r="D16" t="s">
        <v>359</v>
      </c>
      <c r="E16" t="n">
        <v>1</v>
      </c>
      <c r="F16"/>
      <c r="G16"/>
    </row>
    <row r="17">
      <c r="A17" t="s">
        <v>139</v>
      </c>
      <c r="B17" t="s">
        <v>361</v>
      </c>
      <c r="C17" t="s">
        <v>362</v>
      </c>
      <c r="D17" t="s">
        <v>363</v>
      </c>
      <c r="E17" t="n">
        <v>1</v>
      </c>
      <c r="F17"/>
      <c r="G17"/>
    </row>
    <row r="18">
      <c r="A18" t="s">
        <v>140</v>
      </c>
      <c r="B18" t="s">
        <v>364</v>
      </c>
      <c r="C18" t="s">
        <v>365</v>
      </c>
      <c r="D18" t="s">
        <v>366</v>
      </c>
      <c r="E18" t="n">
        <v>1</v>
      </c>
      <c r="F18"/>
      <c r="G18"/>
    </row>
    <row r="19">
      <c r="A19" t="s">
        <v>141</v>
      </c>
      <c r="B19" t="s">
        <v>367</v>
      </c>
      <c r="C19" t="s">
        <v>365</v>
      </c>
      <c r="D19" t="s">
        <v>366</v>
      </c>
      <c r="E19" t="n">
        <v>1</v>
      </c>
      <c r="F19"/>
      <c r="G19"/>
    </row>
    <row r="20">
      <c r="A20" t="s">
        <v>128</v>
      </c>
      <c r="B20" t="s">
        <v>368</v>
      </c>
      <c r="C20" t="s">
        <v>369</v>
      </c>
      <c r="D20" t="s">
        <v>370</v>
      </c>
      <c r="E20" t="n">
        <v>1</v>
      </c>
      <c r="F20"/>
      <c r="G20"/>
    </row>
    <row r="21">
      <c r="A21" t="s">
        <v>142</v>
      </c>
      <c r="B21" t="s">
        <v>371</v>
      </c>
      <c r="C21" t="s">
        <v>372</v>
      </c>
      <c r="D21" t="s">
        <v>373</v>
      </c>
      <c r="E21" t="n">
        <v>1</v>
      </c>
      <c r="F21"/>
      <c r="G21"/>
    </row>
    <row r="22">
      <c r="A22" t="s">
        <v>143</v>
      </c>
      <c r="B22" t="s">
        <v>374</v>
      </c>
      <c r="C22" t="s">
        <v>372</v>
      </c>
      <c r="D22" t="s">
        <v>373</v>
      </c>
      <c r="E22" t="n">
        <v>1</v>
      </c>
      <c r="F22"/>
      <c r="G22"/>
    </row>
    <row r="23">
      <c r="A23" t="s">
        <v>144</v>
      </c>
      <c r="B23" t="s">
        <v>375</v>
      </c>
      <c r="C23" t="s">
        <v>376</v>
      </c>
      <c r="D23" t="s">
        <v>377</v>
      </c>
      <c r="E23" t="n">
        <v>0.961</v>
      </c>
      <c r="F23" t="s">
        <v>378</v>
      </c>
      <c r="G23"/>
    </row>
    <row r="24">
      <c r="A24" t="s">
        <v>144</v>
      </c>
      <c r="B24" t="s">
        <v>375</v>
      </c>
      <c r="C24" t="s">
        <v>379</v>
      </c>
      <c r="D24" t="s">
        <v>380</v>
      </c>
      <c r="E24" t="n">
        <v>0.039</v>
      </c>
      <c r="F24" t="s">
        <v>381</v>
      </c>
      <c r="G24"/>
    </row>
    <row r="25">
      <c r="A25" t="s">
        <v>146</v>
      </c>
      <c r="B25" t="s">
        <v>382</v>
      </c>
      <c r="C25" t="s">
        <v>126</v>
      </c>
      <c r="D25" t="s">
        <v>383</v>
      </c>
      <c r="E25" t="n">
        <v>1</v>
      </c>
      <c r="F25"/>
      <c r="G25"/>
    </row>
    <row r="26">
      <c r="A26" t="s">
        <v>131</v>
      </c>
      <c r="B26" t="s">
        <v>384</v>
      </c>
      <c r="C26" t="s">
        <v>385</v>
      </c>
      <c r="D26" t="s">
        <v>384</v>
      </c>
      <c r="E26" t="n">
        <v>1</v>
      </c>
      <c r="F26"/>
      <c r="G26"/>
    </row>
    <row r="27">
      <c r="A27" t="s">
        <v>132</v>
      </c>
      <c r="B27" t="s">
        <v>386</v>
      </c>
      <c r="C27" t="s">
        <v>387</v>
      </c>
      <c r="D27" t="s">
        <v>388</v>
      </c>
      <c r="E27" t="n">
        <v>1</v>
      </c>
      <c r="F27"/>
      <c r="G27"/>
    </row>
    <row r="28">
      <c r="A28" t="s">
        <v>133</v>
      </c>
      <c r="B28" t="s">
        <v>389</v>
      </c>
      <c r="C28" t="s">
        <v>390</v>
      </c>
      <c r="D28" t="s">
        <v>391</v>
      </c>
      <c r="E28" t="n">
        <v>1</v>
      </c>
      <c r="F28"/>
      <c r="G28"/>
    </row>
    <row r="29">
      <c r="A29" t="s">
        <v>134</v>
      </c>
      <c r="B29" t="s">
        <v>392</v>
      </c>
      <c r="C29" t="s">
        <v>393</v>
      </c>
      <c r="D29" t="s">
        <v>394</v>
      </c>
      <c r="E29" t="n">
        <v>1</v>
      </c>
      <c r="F29"/>
      <c r="G29"/>
    </row>
    <row r="30">
      <c r="A30" t="s">
        <v>135</v>
      </c>
      <c r="B30" t="s">
        <v>395</v>
      </c>
      <c r="C30" t="s">
        <v>396</v>
      </c>
      <c r="D30" t="s">
        <v>397</v>
      </c>
      <c r="E30" t="n">
        <v>1</v>
      </c>
      <c r="F30"/>
      <c r="G30"/>
    </row>
    <row r="31">
      <c r="A31" t="s">
        <v>136</v>
      </c>
      <c r="B31" t="s">
        <v>398</v>
      </c>
      <c r="C31" t="s">
        <v>399</v>
      </c>
      <c r="D31" t="s">
        <v>400</v>
      </c>
      <c r="E31" t="n">
        <v>1</v>
      </c>
      <c r="F31"/>
      <c r="G31"/>
    </row>
    <row r="32">
      <c r="A32" t="s">
        <v>137</v>
      </c>
      <c r="B32" t="s">
        <v>401</v>
      </c>
      <c r="C32" t="s">
        <v>402</v>
      </c>
      <c r="D32" t="s">
        <v>403</v>
      </c>
      <c r="E32" t="n">
        <v>1</v>
      </c>
      <c r="F32"/>
      <c r="G32"/>
    </row>
    <row r="33">
      <c r="A33" t="s">
        <v>138</v>
      </c>
      <c r="B33" t="s">
        <v>404</v>
      </c>
      <c r="C33" t="s">
        <v>402</v>
      </c>
      <c r="D33" t="s">
        <v>403</v>
      </c>
      <c r="E33" t="n">
        <v>1</v>
      </c>
      <c r="F33"/>
      <c r="G33"/>
    </row>
    <row r="34">
      <c r="A34" t="s">
        <v>147</v>
      </c>
      <c r="B34" t="s">
        <v>405</v>
      </c>
      <c r="C34" t="s">
        <v>406</v>
      </c>
      <c r="D34" t="s">
        <v>407</v>
      </c>
      <c r="E34" t="n">
        <v>1</v>
      </c>
      <c r="F34"/>
      <c r="G34"/>
    </row>
    <row r="35">
      <c r="A35" t="s">
        <v>148</v>
      </c>
      <c r="B35" t="s">
        <v>408</v>
      </c>
      <c r="C35" t="s">
        <v>406</v>
      </c>
      <c r="D35" t="s">
        <v>407</v>
      </c>
      <c r="E35" t="n">
        <v>1</v>
      </c>
      <c r="F35"/>
      <c r="G35"/>
    </row>
    <row r="36">
      <c r="A36" t="s">
        <v>149</v>
      </c>
      <c r="B36" t="s">
        <v>409</v>
      </c>
      <c r="C36" t="s">
        <v>406</v>
      </c>
      <c r="D36" t="s">
        <v>407</v>
      </c>
      <c r="E36" t="n">
        <v>1</v>
      </c>
      <c r="F36"/>
      <c r="G36"/>
    </row>
    <row r="37">
      <c r="A37" t="s">
        <v>150</v>
      </c>
      <c r="B37" t="s">
        <v>410</v>
      </c>
      <c r="C37" t="s">
        <v>406</v>
      </c>
      <c r="D37" t="s">
        <v>407</v>
      </c>
      <c r="E37" t="n">
        <v>1</v>
      </c>
      <c r="F37"/>
      <c r="G37"/>
    </row>
    <row r="38">
      <c r="A38" t="s">
        <v>151</v>
      </c>
      <c r="B38" t="s">
        <v>411</v>
      </c>
      <c r="C38" t="s">
        <v>406</v>
      </c>
      <c r="D38" t="s">
        <v>407</v>
      </c>
      <c r="E38" t="n">
        <v>1</v>
      </c>
      <c r="F38"/>
      <c r="G38"/>
    </row>
    <row r="39">
      <c r="A39" t="s">
        <v>152</v>
      </c>
      <c r="B39" t="s">
        <v>412</v>
      </c>
      <c r="C39" t="s">
        <v>413</v>
      </c>
      <c r="D39" t="s">
        <v>414</v>
      </c>
      <c r="E39" t="n">
        <v>1</v>
      </c>
      <c r="F39"/>
      <c r="G39"/>
    </row>
    <row r="40">
      <c r="A40" t="s">
        <v>153</v>
      </c>
      <c r="B40" t="s">
        <v>415</v>
      </c>
      <c r="C40" t="s">
        <v>413</v>
      </c>
      <c r="D40" t="s">
        <v>414</v>
      </c>
      <c r="E40" t="n">
        <v>1</v>
      </c>
      <c r="F40"/>
      <c r="G40"/>
    </row>
    <row r="41">
      <c r="A41" t="s">
        <v>154</v>
      </c>
      <c r="B41" t="s">
        <v>416</v>
      </c>
      <c r="C41" t="s">
        <v>413</v>
      </c>
      <c r="D41" t="s">
        <v>414</v>
      </c>
      <c r="E41" t="n">
        <v>1</v>
      </c>
      <c r="F41"/>
      <c r="G41"/>
    </row>
    <row r="42">
      <c r="A42" t="s">
        <v>155</v>
      </c>
      <c r="B42" t="s">
        <v>417</v>
      </c>
      <c r="C42" t="s">
        <v>413</v>
      </c>
      <c r="D42" t="s">
        <v>414</v>
      </c>
      <c r="E42" t="n">
        <v>1</v>
      </c>
      <c r="F42"/>
      <c r="G42"/>
    </row>
    <row r="43">
      <c r="A43" t="s">
        <v>156</v>
      </c>
      <c r="B43" t="s">
        <v>418</v>
      </c>
      <c r="C43" t="s">
        <v>413</v>
      </c>
      <c r="D43" t="s">
        <v>414</v>
      </c>
      <c r="E43" t="n">
        <v>1</v>
      </c>
      <c r="F43"/>
      <c r="G43"/>
    </row>
    <row r="44">
      <c r="A44" t="s">
        <v>157</v>
      </c>
      <c r="B44" t="s">
        <v>419</v>
      </c>
      <c r="C44" t="s">
        <v>353</v>
      </c>
      <c r="D44" t="s">
        <v>420</v>
      </c>
      <c r="E44" t="n">
        <v>1</v>
      </c>
      <c r="F44" t="s">
        <v>421</v>
      </c>
      <c r="G44"/>
    </row>
    <row r="45">
      <c r="A45" t="s">
        <v>158</v>
      </c>
      <c r="B45" t="s">
        <v>422</v>
      </c>
      <c r="C45" t="s">
        <v>413</v>
      </c>
      <c r="D45" t="s">
        <v>414</v>
      </c>
      <c r="E45" t="n">
        <v>1</v>
      </c>
      <c r="F45"/>
      <c r="G45"/>
    </row>
    <row r="46">
      <c r="A46" t="s">
        <v>159</v>
      </c>
      <c r="B46" t="s">
        <v>423</v>
      </c>
      <c r="C46" t="s">
        <v>413</v>
      </c>
      <c r="D46" t="s">
        <v>414</v>
      </c>
      <c r="E46" t="n">
        <v>1</v>
      </c>
      <c r="F46"/>
      <c r="G46"/>
    </row>
    <row r="47">
      <c r="A47" t="s">
        <v>160</v>
      </c>
      <c r="B47" t="s">
        <v>424</v>
      </c>
      <c r="C47" t="s">
        <v>425</v>
      </c>
      <c r="D47" t="s">
        <v>426</v>
      </c>
      <c r="E47" t="n">
        <v>1</v>
      </c>
      <c r="F47"/>
      <c r="G47"/>
    </row>
    <row r="48">
      <c r="A48" t="s">
        <v>161</v>
      </c>
      <c r="B48" t="s">
        <v>427</v>
      </c>
      <c r="C48" t="s">
        <v>425</v>
      </c>
      <c r="D48" t="s">
        <v>426</v>
      </c>
      <c r="E48" t="n">
        <v>1</v>
      </c>
      <c r="F48"/>
      <c r="G48"/>
    </row>
    <row r="49">
      <c r="A49" t="s">
        <v>162</v>
      </c>
      <c r="B49" t="s">
        <v>428</v>
      </c>
      <c r="C49" t="s">
        <v>425</v>
      </c>
      <c r="D49" t="s">
        <v>426</v>
      </c>
      <c r="E49" t="n">
        <v>0.25</v>
      </c>
      <c r="F49" t="s">
        <v>429</v>
      </c>
      <c r="G49"/>
    </row>
    <row r="50">
      <c r="A50" t="s">
        <v>162</v>
      </c>
      <c r="B50" t="s">
        <v>428</v>
      </c>
      <c r="C50" t="s">
        <v>177</v>
      </c>
      <c r="D50" t="s">
        <v>430</v>
      </c>
      <c r="E50" t="n">
        <v>0.75</v>
      </c>
      <c r="F50"/>
      <c r="G50"/>
    </row>
    <row r="51">
      <c r="A51" t="s">
        <v>163</v>
      </c>
      <c r="B51" t="s">
        <v>431</v>
      </c>
      <c r="C51" t="s">
        <v>432</v>
      </c>
      <c r="D51" t="s">
        <v>433</v>
      </c>
      <c r="E51" t="n">
        <v>1</v>
      </c>
      <c r="F51"/>
      <c r="G51"/>
    </row>
    <row r="52">
      <c r="A52" t="s">
        <v>164</v>
      </c>
      <c r="B52" t="s">
        <v>434</v>
      </c>
      <c r="C52" t="s">
        <v>435</v>
      </c>
      <c r="D52" t="s">
        <v>436</v>
      </c>
      <c r="E52" t="n">
        <v>1</v>
      </c>
      <c r="F52"/>
      <c r="G52"/>
    </row>
    <row r="53">
      <c r="A53" t="s">
        <v>165</v>
      </c>
      <c r="B53" t="s">
        <v>437</v>
      </c>
      <c r="C53" t="s">
        <v>435</v>
      </c>
      <c r="D53" t="s">
        <v>436</v>
      </c>
      <c r="E53" t="n">
        <v>1</v>
      </c>
      <c r="F53"/>
      <c r="G53"/>
    </row>
    <row r="54">
      <c r="A54" t="s">
        <v>166</v>
      </c>
      <c r="B54" t="s">
        <v>438</v>
      </c>
      <c r="C54" t="s">
        <v>435</v>
      </c>
      <c r="D54" t="s">
        <v>436</v>
      </c>
      <c r="E54" t="n">
        <v>1</v>
      </c>
      <c r="F54"/>
      <c r="G54"/>
    </row>
    <row r="55">
      <c r="A55" t="s">
        <v>167</v>
      </c>
      <c r="B55" t="s">
        <v>439</v>
      </c>
      <c r="C55" t="s">
        <v>435</v>
      </c>
      <c r="D55" t="s">
        <v>436</v>
      </c>
      <c r="E55" t="n">
        <v>1</v>
      </c>
      <c r="F55"/>
      <c r="G55"/>
    </row>
    <row r="56">
      <c r="A56" t="s">
        <v>168</v>
      </c>
      <c r="B56" t="s">
        <v>440</v>
      </c>
      <c r="C56" t="s">
        <v>441</v>
      </c>
      <c r="D56" t="s">
        <v>442</v>
      </c>
      <c r="E56" t="n">
        <v>1</v>
      </c>
      <c r="F56"/>
      <c r="G56"/>
    </row>
    <row r="57">
      <c r="A57" t="s">
        <v>169</v>
      </c>
      <c r="B57" t="s">
        <v>443</v>
      </c>
      <c r="C57" t="s">
        <v>441</v>
      </c>
      <c r="D57" t="s">
        <v>442</v>
      </c>
      <c r="E57" t="n">
        <v>1</v>
      </c>
      <c r="F57"/>
      <c r="G57"/>
    </row>
    <row r="58">
      <c r="A58" t="s">
        <v>170</v>
      </c>
      <c r="B58" t="s">
        <v>444</v>
      </c>
      <c r="C58" t="s">
        <v>445</v>
      </c>
      <c r="D58" t="s">
        <v>446</v>
      </c>
      <c r="E58" t="n">
        <v>1</v>
      </c>
      <c r="F58" t="s">
        <v>447</v>
      </c>
      <c r="G58"/>
    </row>
    <row r="59">
      <c r="A59" t="s">
        <v>171</v>
      </c>
      <c r="B59" t="s">
        <v>448</v>
      </c>
      <c r="C59" t="s">
        <v>445</v>
      </c>
      <c r="D59" t="s">
        <v>446</v>
      </c>
      <c r="E59" t="n">
        <v>1</v>
      </c>
      <c r="F59"/>
      <c r="G59"/>
    </row>
    <row r="60">
      <c r="A60" t="s">
        <v>173</v>
      </c>
      <c r="B60" t="s">
        <v>449</v>
      </c>
      <c r="C60" t="s">
        <v>445</v>
      </c>
      <c r="D60" t="s">
        <v>446</v>
      </c>
      <c r="E60" t="n">
        <v>1</v>
      </c>
      <c r="F60"/>
      <c r="G60"/>
    </row>
    <row r="61">
      <c r="A61" t="s">
        <v>172</v>
      </c>
      <c r="B61" t="s">
        <v>450</v>
      </c>
      <c r="C61" t="s">
        <v>432</v>
      </c>
      <c r="D61" t="s">
        <v>433</v>
      </c>
      <c r="E61" t="n">
        <v>1</v>
      </c>
      <c r="F61" t="s">
        <v>451</v>
      </c>
      <c r="G61"/>
    </row>
    <row r="62">
      <c r="A62" t="s">
        <v>174</v>
      </c>
      <c r="B62" t="s">
        <v>452</v>
      </c>
      <c r="C62" t="s">
        <v>445</v>
      </c>
      <c r="D62" t="s">
        <v>446</v>
      </c>
      <c r="E62" t="n">
        <v>1</v>
      </c>
      <c r="F62"/>
      <c r="G62"/>
    </row>
    <row r="63">
      <c r="A63" t="s">
        <v>175</v>
      </c>
      <c r="B63" t="s">
        <v>453</v>
      </c>
      <c r="C63" t="s">
        <v>445</v>
      </c>
      <c r="D63" t="s">
        <v>446</v>
      </c>
      <c r="E63" t="n">
        <v>1</v>
      </c>
      <c r="F63"/>
      <c r="G63"/>
    </row>
    <row r="64">
      <c r="A64" t="s">
        <v>176</v>
      </c>
      <c r="B64" t="s">
        <v>454</v>
      </c>
      <c r="C64" t="s">
        <v>356</v>
      </c>
      <c r="D64" t="s">
        <v>455</v>
      </c>
      <c r="E64" t="n">
        <v>1</v>
      </c>
      <c r="F64"/>
      <c r="G64"/>
    </row>
    <row r="65">
      <c r="A65" t="s">
        <v>177</v>
      </c>
      <c r="B65" t="s">
        <v>456</v>
      </c>
      <c r="C65" t="s">
        <v>457</v>
      </c>
      <c r="D65" t="s">
        <v>458</v>
      </c>
      <c r="E65" t="n">
        <v>1</v>
      </c>
      <c r="F65"/>
      <c r="G65"/>
    </row>
    <row r="66">
      <c r="A66" t="s">
        <v>178</v>
      </c>
      <c r="B66" t="s">
        <v>459</v>
      </c>
      <c r="C66" t="s">
        <v>460</v>
      </c>
      <c r="D66" t="s">
        <v>461</v>
      </c>
      <c r="E66" t="n">
        <v>1</v>
      </c>
      <c r="F66"/>
      <c r="G66"/>
    </row>
    <row r="67">
      <c r="A67" t="s">
        <v>179</v>
      </c>
      <c r="B67" t="s">
        <v>462</v>
      </c>
      <c r="C67" t="s">
        <v>460</v>
      </c>
      <c r="D67" t="s">
        <v>461</v>
      </c>
      <c r="E67" t="n">
        <v>1</v>
      </c>
      <c r="F67"/>
      <c r="G67"/>
    </row>
    <row r="68">
      <c r="A68" t="s">
        <v>180</v>
      </c>
      <c r="B68" t="s">
        <v>463</v>
      </c>
      <c r="C68" t="s">
        <v>460</v>
      </c>
      <c r="D68" t="s">
        <v>461</v>
      </c>
      <c r="E68" t="n">
        <v>1</v>
      </c>
      <c r="F68"/>
      <c r="G68"/>
    </row>
    <row r="69">
      <c r="A69" t="s">
        <v>181</v>
      </c>
      <c r="B69" t="s">
        <v>464</v>
      </c>
      <c r="C69" t="s">
        <v>460</v>
      </c>
      <c r="D69" t="s">
        <v>461</v>
      </c>
      <c r="E69" t="n">
        <v>1</v>
      </c>
      <c r="F69"/>
      <c r="G69"/>
    </row>
    <row r="70">
      <c r="A70" t="s">
        <v>182</v>
      </c>
      <c r="B70" t="s">
        <v>465</v>
      </c>
      <c r="C70" t="s">
        <v>466</v>
      </c>
      <c r="D70" t="s">
        <v>467</v>
      </c>
      <c r="E70" t="n">
        <v>1</v>
      </c>
      <c r="F70"/>
      <c r="G70"/>
    </row>
    <row r="71">
      <c r="A71" t="s">
        <v>183</v>
      </c>
      <c r="B71" t="s">
        <v>468</v>
      </c>
      <c r="C71" t="s">
        <v>466</v>
      </c>
      <c r="D71" t="s">
        <v>467</v>
      </c>
      <c r="E71" t="n">
        <v>1</v>
      </c>
      <c r="F71"/>
      <c r="G71"/>
    </row>
    <row r="72">
      <c r="A72" t="s">
        <v>184</v>
      </c>
      <c r="B72" t="s">
        <v>469</v>
      </c>
      <c r="C72" t="s">
        <v>470</v>
      </c>
      <c r="D72" t="s">
        <v>471</v>
      </c>
      <c r="E72" t="n">
        <v>1</v>
      </c>
      <c r="F72"/>
      <c r="G72"/>
    </row>
    <row r="73">
      <c r="A73" t="s">
        <v>185</v>
      </c>
      <c r="B73" t="s">
        <v>472</v>
      </c>
      <c r="C73" t="s">
        <v>470</v>
      </c>
      <c r="D73" t="s">
        <v>471</v>
      </c>
      <c r="E73" t="n">
        <v>1</v>
      </c>
      <c r="F73"/>
      <c r="G73"/>
    </row>
    <row r="74">
      <c r="A74" t="s">
        <v>186</v>
      </c>
      <c r="B74" t="s">
        <v>473</v>
      </c>
      <c r="C74" t="s">
        <v>466</v>
      </c>
      <c r="D74" t="s">
        <v>467</v>
      </c>
      <c r="E74" t="n">
        <v>1</v>
      </c>
      <c r="F74"/>
      <c r="G74"/>
    </row>
    <row r="75">
      <c r="A75" t="s">
        <v>187</v>
      </c>
      <c r="B75" t="s">
        <v>474</v>
      </c>
      <c r="C75" t="s">
        <v>475</v>
      </c>
      <c r="D75" t="s">
        <v>476</v>
      </c>
      <c r="E75" t="n">
        <v>1</v>
      </c>
      <c r="F75"/>
      <c r="G75"/>
    </row>
    <row r="76">
      <c r="A76" t="s">
        <v>188</v>
      </c>
      <c r="B76" t="s">
        <v>477</v>
      </c>
      <c r="C76" t="s">
        <v>475</v>
      </c>
      <c r="D76" t="s">
        <v>476</v>
      </c>
      <c r="E76" t="n">
        <v>1</v>
      </c>
      <c r="F76"/>
      <c r="G76"/>
    </row>
    <row r="77">
      <c r="A77" t="s">
        <v>189</v>
      </c>
      <c r="B77" t="s">
        <v>478</v>
      </c>
      <c r="C77" t="s">
        <v>475</v>
      </c>
      <c r="D77" t="s">
        <v>476</v>
      </c>
      <c r="E77" t="n">
        <v>1</v>
      </c>
      <c r="F77"/>
      <c r="G77"/>
    </row>
    <row r="78">
      <c r="A78" t="s">
        <v>190</v>
      </c>
      <c r="B78" t="s">
        <v>479</v>
      </c>
      <c r="C78" t="s">
        <v>475</v>
      </c>
      <c r="D78" t="s">
        <v>476</v>
      </c>
      <c r="E78" t="n">
        <v>1</v>
      </c>
      <c r="F78"/>
      <c r="G78"/>
    </row>
    <row r="79">
      <c r="A79" t="s">
        <v>191</v>
      </c>
      <c r="B79" t="s">
        <v>480</v>
      </c>
      <c r="C79" t="s">
        <v>475</v>
      </c>
      <c r="D79" t="s">
        <v>476</v>
      </c>
      <c r="E79" t="n">
        <v>1</v>
      </c>
      <c r="F79"/>
      <c r="G79"/>
    </row>
    <row r="80">
      <c r="A80" t="s">
        <v>124</v>
      </c>
      <c r="B80" t="s">
        <v>481</v>
      </c>
      <c r="C80" t="s">
        <v>482</v>
      </c>
      <c r="D80" t="s">
        <v>483</v>
      </c>
      <c r="E80" t="n">
        <v>0</v>
      </c>
      <c r="F80"/>
      <c r="G80" t="s">
        <v>484</v>
      </c>
    </row>
    <row r="81">
      <c r="A81" t="s">
        <v>124</v>
      </c>
      <c r="B81" t="s">
        <v>481</v>
      </c>
      <c r="C81" t="s">
        <v>485</v>
      </c>
      <c r="D81" t="s">
        <v>486</v>
      </c>
      <c r="E81" t="n">
        <v>1</v>
      </c>
      <c r="F81"/>
      <c r="G81" t="s">
        <v>484</v>
      </c>
    </row>
    <row r="82">
      <c r="A82" t="s">
        <v>129</v>
      </c>
      <c r="B82" t="s">
        <v>487</v>
      </c>
      <c r="C82" t="s">
        <v>488</v>
      </c>
      <c r="D82" t="s">
        <v>489</v>
      </c>
      <c r="E82" t="n">
        <v>0.25</v>
      </c>
      <c r="F82"/>
      <c r="G82" t="s">
        <v>490</v>
      </c>
    </row>
    <row r="83">
      <c r="A83" t="s">
        <v>129</v>
      </c>
      <c r="B83" t="s">
        <v>487</v>
      </c>
      <c r="C83" t="s">
        <v>491</v>
      </c>
      <c r="D83" t="s">
        <v>492</v>
      </c>
      <c r="E83" t="n">
        <v>0.75</v>
      </c>
      <c r="F83"/>
      <c r="G83" t="s">
        <v>490</v>
      </c>
    </row>
    <row r="84">
      <c r="A84" t="s">
        <v>130</v>
      </c>
      <c r="B84" t="s">
        <v>493</v>
      </c>
      <c r="C84" t="s">
        <v>379</v>
      </c>
      <c r="D84" t="s">
        <v>380</v>
      </c>
      <c r="E84" t="n">
        <v>0.4</v>
      </c>
      <c r="F84"/>
      <c r="G84" t="s">
        <v>494</v>
      </c>
    </row>
    <row r="85">
      <c r="A85" t="s">
        <v>130</v>
      </c>
      <c r="B85" t="s">
        <v>493</v>
      </c>
      <c r="C85" t="s">
        <v>495</v>
      </c>
      <c r="D85" t="s">
        <v>496</v>
      </c>
      <c r="E85" t="n">
        <v>0.6</v>
      </c>
      <c r="F85"/>
      <c r="G85" t="s">
        <v>494</v>
      </c>
    </row>
    <row r="86">
      <c r="A86" t="s">
        <v>145</v>
      </c>
      <c r="B86" t="s">
        <v>497</v>
      </c>
      <c r="C86" t="s">
        <v>498</v>
      </c>
      <c r="D86" t="s">
        <v>499</v>
      </c>
      <c r="E86" t="n">
        <v>0.75</v>
      </c>
      <c r="F86"/>
      <c r="G86" t="s">
        <v>500</v>
      </c>
    </row>
    <row r="87">
      <c r="A87" t="s">
        <v>145</v>
      </c>
      <c r="B87" t="s">
        <v>497</v>
      </c>
      <c r="C87" t="s">
        <v>501</v>
      </c>
      <c r="D87" t="s">
        <v>502</v>
      </c>
      <c r="E87" t="n">
        <v>0.25</v>
      </c>
      <c r="F87"/>
      <c r="G87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503</v>
      </c>
    </row>
    <row r="2">
      <c r="A2" t="s">
        <v>1</v>
      </c>
    </row>
    <row r="3">
      <c r="A3" t="s">
        <v>504</v>
      </c>
    </row>
    <row r="4">
      <c r="A4" t="s">
        <v>505</v>
      </c>
    </row>
    <row r="5">
      <c r="A5" t="s">
        <v>506</v>
      </c>
    </row>
    <row r="6">
      <c r="A6" t="s">
        <v>507</v>
      </c>
    </row>
    <row r="7">
      <c r="A7" t="s">
        <v>508</v>
      </c>
    </row>
    <row r="8">
      <c r="A8" t="s">
        <v>509</v>
      </c>
    </row>
    <row r="9">
      <c r="A9" t="s">
        <v>1</v>
      </c>
    </row>
    <row r="11">
      <c r="A11" t="s">
        <v>332</v>
      </c>
      <c r="B11" t="s">
        <v>334</v>
      </c>
      <c r="C11" t="s">
        <v>336</v>
      </c>
      <c r="D11" t="s">
        <v>338</v>
      </c>
    </row>
    <row r="12">
      <c r="A12" t="n">
        <v>212</v>
      </c>
      <c r="B12" t="s">
        <v>482</v>
      </c>
      <c r="C12" t="n">
        <v>0</v>
      </c>
      <c r="D12" t="s">
        <v>484</v>
      </c>
    </row>
    <row r="13">
      <c r="A13" t="n">
        <v>212</v>
      </c>
      <c r="B13" t="s">
        <v>485</v>
      </c>
      <c r="C13" t="n">
        <v>1</v>
      </c>
      <c r="D13" t="s">
        <v>484</v>
      </c>
    </row>
    <row r="14">
      <c r="A14" t="n">
        <v>327</v>
      </c>
      <c r="B14" t="s">
        <v>488</v>
      </c>
      <c r="C14" t="n">
        <v>0.25</v>
      </c>
      <c r="D14" t="s">
        <v>490</v>
      </c>
    </row>
    <row r="15">
      <c r="A15" t="n">
        <v>327</v>
      </c>
      <c r="B15" t="s">
        <v>491</v>
      </c>
      <c r="C15" t="n">
        <v>0.75</v>
      </c>
      <c r="D15" t="s">
        <v>490</v>
      </c>
    </row>
    <row r="16">
      <c r="A16" t="n">
        <v>331</v>
      </c>
      <c r="B16" t="s">
        <v>379</v>
      </c>
      <c r="C16" t="n">
        <v>0.4</v>
      </c>
      <c r="D16" t="s">
        <v>494</v>
      </c>
    </row>
    <row r="17">
      <c r="A17" t="n">
        <v>331</v>
      </c>
      <c r="B17" t="s">
        <v>495</v>
      </c>
      <c r="C17" t="n">
        <v>0.6</v>
      </c>
      <c r="D17" t="s">
        <v>494</v>
      </c>
    </row>
    <row r="18">
      <c r="A18" t="n">
        <v>325</v>
      </c>
      <c r="B18" t="s">
        <v>498</v>
      </c>
      <c r="C18" t="n">
        <v>0.75</v>
      </c>
      <c r="D18" t="s">
        <v>500</v>
      </c>
    </row>
    <row r="19">
      <c r="A19" t="n">
        <v>325</v>
      </c>
      <c r="B19" t="s">
        <v>501</v>
      </c>
      <c r="C19" t="n">
        <v>0.25</v>
      </c>
      <c r="D19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510</v>
      </c>
    </row>
    <row r="2">
      <c r="A2" t="s">
        <v>511</v>
      </c>
    </row>
    <row r="3">
      <c r="A3" t="s">
        <v>512</v>
      </c>
    </row>
    <row r="4">
      <c r="A4" t="s">
        <v>513</v>
      </c>
    </row>
    <row r="5">
      <c r="A5" t="s">
        <v>1</v>
      </c>
    </row>
    <row r="7">
      <c r="A7" t="s">
        <v>514</v>
      </c>
      <c r="B7" t="s">
        <v>515</v>
      </c>
      <c r="C7" t="s">
        <v>516</v>
      </c>
    </row>
    <row r="8">
      <c r="A8" t="s">
        <v>340</v>
      </c>
      <c r="B8" t="s">
        <v>517</v>
      </c>
      <c r="C8" t="s">
        <v>518</v>
      </c>
    </row>
    <row r="9">
      <c r="A9" t="s">
        <v>482</v>
      </c>
      <c r="B9" t="s">
        <v>483</v>
      </c>
      <c r="C9" t="s">
        <v>519</v>
      </c>
    </row>
    <row r="10">
      <c r="A10" t="s">
        <v>344</v>
      </c>
      <c r="B10" t="s">
        <v>345</v>
      </c>
      <c r="C10" t="s">
        <v>520</v>
      </c>
    </row>
    <row r="11">
      <c r="A11" t="s">
        <v>485</v>
      </c>
      <c r="B11" t="s">
        <v>521</v>
      </c>
      <c r="C11" t="s">
        <v>522</v>
      </c>
    </row>
    <row r="12">
      <c r="A12" t="s">
        <v>347</v>
      </c>
      <c r="B12" t="s">
        <v>348</v>
      </c>
      <c r="C12" t="s">
        <v>523</v>
      </c>
    </row>
    <row r="13">
      <c r="A13" t="s">
        <v>362</v>
      </c>
      <c r="B13" t="s">
        <v>524</v>
      </c>
      <c r="C13" t="s">
        <v>525</v>
      </c>
    </row>
    <row r="14">
      <c r="A14" t="s">
        <v>365</v>
      </c>
      <c r="B14" t="s">
        <v>526</v>
      </c>
      <c r="C14" t="s">
        <v>527</v>
      </c>
    </row>
    <row r="15">
      <c r="A15" t="s">
        <v>369</v>
      </c>
      <c r="B15" t="s">
        <v>528</v>
      </c>
      <c r="C15" t="s">
        <v>529</v>
      </c>
    </row>
    <row r="16">
      <c r="A16" t="s">
        <v>372</v>
      </c>
      <c r="B16" t="s">
        <v>373</v>
      </c>
      <c r="C16" t="s">
        <v>530</v>
      </c>
    </row>
    <row r="17">
      <c r="A17" t="s">
        <v>376</v>
      </c>
      <c r="B17" t="s">
        <v>377</v>
      </c>
      <c r="C17" t="s">
        <v>531</v>
      </c>
    </row>
    <row r="18">
      <c r="A18" t="s">
        <v>498</v>
      </c>
      <c r="B18" t="s">
        <v>532</v>
      </c>
      <c r="C18" t="s">
        <v>533</v>
      </c>
    </row>
    <row r="19">
      <c r="A19" t="s">
        <v>501</v>
      </c>
      <c r="B19" t="s">
        <v>534</v>
      </c>
      <c r="C19" t="s">
        <v>535</v>
      </c>
    </row>
    <row r="20">
      <c r="A20" t="s">
        <v>126</v>
      </c>
      <c r="B20" t="s">
        <v>383</v>
      </c>
      <c r="C20" t="s">
        <v>536</v>
      </c>
    </row>
    <row r="21">
      <c r="A21" t="s">
        <v>488</v>
      </c>
      <c r="B21" t="s">
        <v>537</v>
      </c>
      <c r="C21" t="s">
        <v>538</v>
      </c>
    </row>
    <row r="22">
      <c r="A22" t="s">
        <v>491</v>
      </c>
      <c r="B22" t="s">
        <v>539</v>
      </c>
      <c r="C22" t="s">
        <v>540</v>
      </c>
    </row>
    <row r="23">
      <c r="A23" t="s">
        <v>379</v>
      </c>
      <c r="B23" t="s">
        <v>541</v>
      </c>
      <c r="C23" t="s">
        <v>542</v>
      </c>
    </row>
    <row r="24">
      <c r="A24" t="s">
        <v>495</v>
      </c>
      <c r="B24" t="s">
        <v>543</v>
      </c>
      <c r="C24" t="s">
        <v>544</v>
      </c>
    </row>
    <row r="25">
      <c r="A25" t="s">
        <v>385</v>
      </c>
      <c r="B25" t="s">
        <v>545</v>
      </c>
      <c r="C25" t="s">
        <v>546</v>
      </c>
    </row>
    <row r="26">
      <c r="A26" t="s">
        <v>390</v>
      </c>
      <c r="B26" t="s">
        <v>391</v>
      </c>
      <c r="C26" t="s">
        <v>547</v>
      </c>
    </row>
    <row r="27">
      <c r="A27" t="s">
        <v>393</v>
      </c>
      <c r="B27" t="s">
        <v>394</v>
      </c>
      <c r="C27" t="s">
        <v>548</v>
      </c>
    </row>
    <row r="28">
      <c r="A28" t="s">
        <v>387</v>
      </c>
      <c r="B28" t="s">
        <v>388</v>
      </c>
      <c r="C28" t="s">
        <v>549</v>
      </c>
    </row>
    <row r="29">
      <c r="A29" t="s">
        <v>396</v>
      </c>
      <c r="B29" t="s">
        <v>550</v>
      </c>
      <c r="C29" t="s">
        <v>551</v>
      </c>
    </row>
    <row r="30">
      <c r="A30" t="s">
        <v>399</v>
      </c>
      <c r="B30" t="s">
        <v>400</v>
      </c>
      <c r="C30" t="s">
        <v>552</v>
      </c>
    </row>
    <row r="31">
      <c r="A31" t="s">
        <v>402</v>
      </c>
      <c r="B31" t="s">
        <v>553</v>
      </c>
      <c r="C31" t="s">
        <v>554</v>
      </c>
    </row>
    <row r="32">
      <c r="A32" t="s">
        <v>350</v>
      </c>
      <c r="B32" t="s">
        <v>555</v>
      </c>
      <c r="C32" t="s">
        <v>556</v>
      </c>
    </row>
    <row r="33">
      <c r="A33" t="s">
        <v>353</v>
      </c>
      <c r="B33" t="s">
        <v>557</v>
      </c>
      <c r="C33" t="s">
        <v>558</v>
      </c>
    </row>
    <row r="34">
      <c r="A34" t="s">
        <v>356</v>
      </c>
      <c r="B34" t="s">
        <v>559</v>
      </c>
      <c r="C34" t="s">
        <v>560</v>
      </c>
    </row>
    <row r="35">
      <c r="A35" t="s">
        <v>360</v>
      </c>
      <c r="B35" t="s">
        <v>359</v>
      </c>
      <c r="C35" t="s">
        <v>561</v>
      </c>
    </row>
    <row r="36">
      <c r="A36" t="s">
        <v>406</v>
      </c>
      <c r="B36" t="s">
        <v>562</v>
      </c>
      <c r="C36" t="s">
        <v>563</v>
      </c>
    </row>
    <row r="37">
      <c r="A37" t="s">
        <v>413</v>
      </c>
      <c r="B37" t="s">
        <v>414</v>
      </c>
      <c r="C37" t="s">
        <v>564</v>
      </c>
    </row>
    <row r="38">
      <c r="A38" t="s">
        <v>470</v>
      </c>
      <c r="B38" t="s">
        <v>565</v>
      </c>
      <c r="C38" t="s">
        <v>566</v>
      </c>
    </row>
    <row r="39">
      <c r="A39" t="s">
        <v>425</v>
      </c>
      <c r="B39" t="s">
        <v>567</v>
      </c>
      <c r="C39" t="s">
        <v>568</v>
      </c>
    </row>
    <row r="40">
      <c r="A40" t="s">
        <v>177</v>
      </c>
      <c r="B40" t="s">
        <v>430</v>
      </c>
      <c r="C40" t="s">
        <v>569</v>
      </c>
    </row>
    <row r="41">
      <c r="A41" t="s">
        <v>432</v>
      </c>
      <c r="B41" t="s">
        <v>433</v>
      </c>
      <c r="C41" t="s">
        <v>570</v>
      </c>
    </row>
    <row r="42">
      <c r="A42" t="s">
        <v>435</v>
      </c>
      <c r="B42" t="s">
        <v>571</v>
      </c>
      <c r="C42" t="s">
        <v>572</v>
      </c>
    </row>
    <row r="43">
      <c r="A43" t="s">
        <v>441</v>
      </c>
      <c r="B43" t="s">
        <v>442</v>
      </c>
      <c r="C43" t="s">
        <v>573</v>
      </c>
    </row>
    <row r="44">
      <c r="A44" t="s">
        <v>445</v>
      </c>
      <c r="B44" t="s">
        <v>574</v>
      </c>
      <c r="C44" t="s">
        <v>575</v>
      </c>
    </row>
    <row r="45">
      <c r="A45" t="s">
        <v>475</v>
      </c>
      <c r="B45" t="s">
        <v>576</v>
      </c>
      <c r="C45" t="s">
        <v>577</v>
      </c>
    </row>
    <row r="46">
      <c r="A46" t="s">
        <v>457</v>
      </c>
      <c r="B46" t="s">
        <v>458</v>
      </c>
      <c r="C46" t="s">
        <v>578</v>
      </c>
    </row>
    <row r="47">
      <c r="A47" t="s">
        <v>460</v>
      </c>
      <c r="B47" t="s">
        <v>579</v>
      </c>
      <c r="C47" t="s">
        <v>580</v>
      </c>
    </row>
    <row r="48">
      <c r="A48" t="s">
        <v>466</v>
      </c>
      <c r="B48" t="s">
        <v>581</v>
      </c>
      <c r="C48" t="s">
        <v>582</v>
      </c>
    </row>
    <row r="49">
      <c r="A49" t="s">
        <v>583</v>
      </c>
      <c r="B49" t="s">
        <v>584</v>
      </c>
      <c r="C49" t="s">
        <v>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IFERROR(INDEX('1_DCS_numerator_by_BEA'!$B$2:$B$74, MATCH($A3, '1_DCS_numerator_by_BEA'!$A$2:$A$74,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IFERROR(INDEX('1_DCS_numerator_by_BEA'!$B$2:$B$74, MATCH($A4, '1_DCS_numerator_by_BEA'!$A$2:$A$74,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IFERROR(INDEX('1_DCS_numerator_by_BEA'!$B$2:$B$74, MATCH($A5, '1_DCS_numerator_by_BEA'!$A$2:$A$74,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IFERROR(INDEX('1_DCS_numerator_by_BEA'!$B$2:$B$74, MATCH($A6, '1_DCS_numerator_by_BEA'!$A$2:$A$74,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IFERROR(INDEX('1_DCS_numerator_by_BEA'!$B$2:$B$74, MATCH($A7, '1_DCS_numerator_by_BEA'!$A$2:$A$74,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IFERROR(INDEX('1_DCS_numerator_by_BEA'!$B$2:$B$74, MATCH($A8, '1_DCS_numerator_by_BEA'!$A$2:$A$74,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IFERROR(INDEX('1_DCS_numerator_by_BEA'!$B$2:$B$74, MATCH($A9, '1_DCS_numerator_by_BEA'!$A$2:$A$74,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IFERROR(INDEX('1_DCS_numerator_by_BEA'!$B$2:$B$74, MATCH($A10, '1_DCS_numerator_by_BEA'!$A$2:$A$74,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IFERROR(INDEX('1_DCS_numerator_by_BEA'!$B$2:$B$74, MATCH($A11, '1_DCS_numerator_by_BEA'!$A$2:$A$74,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IFERROR(INDEX('1_DCS_numerator_by_BEA'!$B$2:$B$74, MATCH($A12, '1_DCS_numerator_by_BEA'!$A$2:$A$74,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IFERROR(INDEX('1_DCS_numerator_by_BEA'!$B$2:$B$74, MATCH($A13, '1_DCS_numerator_by_BEA'!$A$2:$A$74,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IFERROR(INDEX('1_DCS_numerator_by_BEA'!$B$2:$B$74, MATCH($A14, '1_DCS_numerator_by_BEA'!$A$2:$A$74,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IFERROR(INDEX('1_DCS_numerator_by_BEA'!$B$2:$B$74, MATCH($A15, '1_DCS_numerator_by_BEA'!$A$2:$A$74,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IFERROR(INDEX('1_DCS_numerator_by_BEA'!$B$2:$B$74, MATCH($A16, '1_DCS_numerator_by_BEA'!$A$2:$A$74,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IFERROR(INDEX('1_DCS_numerator_by_BEA'!$B$2:$B$74, MATCH($A17, '1_DCS_numerator_by_BEA'!$A$2:$A$74,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IFERROR(INDEX('1_DCS_numerator_by_BEA'!$B$2:$B$74, MATCH($A18, '1_DCS_numerator_by_BEA'!$A$2:$A$74,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IFERROR(INDEX('1_DCS_numerator_by_BEA'!$B$2:$B$74, MATCH($A19, '1_DCS_numerator_by_BEA'!$A$2:$A$74,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IFERROR(INDEX('1_DCS_numerator_by_BEA'!$B$2:$B$74, MATCH($A20, '1_DCS_numerator_by_BEA'!$A$2:$A$74,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IFERROR(INDEX('1_DCS_numerator_by_BEA'!$B$2:$B$74, MATCH($A21, '1_DCS_numerator_by_BEA'!$A$2:$A$74,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IFERROR(INDEX('1_DCS_numerator_by_BEA'!$B$2:$B$74, MATCH($A22, '1_DCS_numerator_by_BEA'!$A$2:$A$74,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IFERROR(INDEX('1_DCS_numerator_by_BEA'!$B$2:$B$74, MATCH($A23, '1_DCS_numerator_by_BEA'!$A$2:$A$74,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IFERROR(INDEX('1_DCS_numerator_by_BEA'!$B$2:$B$74, MATCH($A24, '1_DCS_numerator_by_BEA'!$A$2:$A$74,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IFERROR(INDEX('1_DCS_numerator_by_BEA'!$B$2:$B$74, MATCH($A25, '1_DCS_numerator_by_BEA'!$A$2:$A$74,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IFERROR(INDEX('1_DCS_numerator_by_BEA'!$B$2:$B$74, MATCH($A26, '1_DCS_numerator_by_BEA'!$A$2:$A$74,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IFERROR(INDEX('1_DCS_numerator_by_BEA'!$B$2:$B$74, MATCH($A27, '1_DCS_numerator_by_BEA'!$A$2:$A$74,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IFERROR(INDEX('1_DCS_numerator_by_BEA'!$B$2:$B$74, MATCH($A28, '1_DCS_numerator_by_BEA'!$A$2:$A$74,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IFERROR(INDEX('1_DCS_numerator_by_BEA'!$B$2:$B$74, MATCH($A29, '1_DCS_numerator_by_BEA'!$A$2:$A$74,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IFERROR(INDEX('1_DCS_numerator_by_BEA'!$B$2:$B$74, MATCH($A30, '1_DCS_numerator_by_BEA'!$A$2:$A$74,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IFERROR(INDEX('1_DCS_numerator_by_BEA'!$B$2:$B$74, MATCH($A31, '1_DCS_numerator_by_BEA'!$A$2:$A$74,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IFERROR(INDEX('1_DCS_numerator_by_BEA'!$B$2:$B$74, MATCH($A32, '1_DCS_numerator_by_BEA'!$A$2:$A$74,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IFERROR(INDEX('1_DCS_numerator_by_BEA'!$B$2:$B$74, MATCH($A33, '1_DCS_numerator_by_BEA'!$A$2:$A$74,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IFERROR(INDEX('1_DCS_numerator_by_BEA'!$B$2:$B$74, MATCH($A34, '1_DCS_numerator_by_BEA'!$A$2:$A$74,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IFERROR(INDEX('1_DCS_numerator_by_BEA'!$B$2:$B$74, MATCH($A35, '1_DCS_numerator_by_BEA'!$A$2:$A$74,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IFERROR(INDEX('1_DCS_numerator_by_BEA'!$B$2:$B$74, MATCH($A36, '1_DCS_numerator_by_BEA'!$A$2:$A$74,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IFERROR(INDEX('1_DCS_numerator_by_BEA'!$B$2:$B$74, MATCH($A37, '1_DCS_numerator_by_BEA'!$A$2:$A$74,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IFERROR(INDEX('1_DCS_numerator_by_BEA'!$B$2:$B$74, MATCH($A38, '1_DCS_numerator_by_BEA'!$A$2:$A$74,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IFERROR(INDEX('1_DCS_numerator_by_BEA'!$B$2:$B$74, MATCH($A39, '1_DCS_numerator_by_BEA'!$A$2:$A$74,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IFERROR(INDEX('1_DCS_numerator_by_BEA'!$B$2:$B$74, MATCH($A40, '1_DCS_numerator_by_BEA'!$A$2:$A$74,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IFERROR(INDEX('1_DCS_numerator_by_BEA'!$B$2:$B$74, MATCH($A41, '1_DCS_numerator_by_BEA'!$A$2:$A$74,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IFERROR(INDEX('1_DCS_numerator_by_BEA'!$B$2:$B$74, MATCH($A42, '1_DCS_numerator_by_BEA'!$A$2:$A$74,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IFERROR(INDEX('1_DCS_numerator_by_BEA'!$B$2:$B$74, MATCH($A43, '1_DCS_numerator_by_BEA'!$A$2:$A$74,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IFERROR(INDEX('1_DCS_numerator_by_BEA'!$B$2:$B$74, MATCH($A44, '1_DCS_numerator_by_BEA'!$A$2:$A$74,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IFERROR(INDEX('1_DCS_numerator_by_BEA'!$B$2:$B$74, MATCH($A45, '1_DCS_numerator_by_BEA'!$A$2:$A$74,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IFERROR(INDEX('1_DCS_numerator_by_BEA'!$B$2:$B$74, MATCH($A46, '1_DCS_numerator_by_BEA'!$A$2:$A$74,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IFERROR(INDEX('1_DCS_numerator_by_BEA'!$B$2:$B$74, MATCH($A47, '1_DCS_numerator_by_BEA'!$A$2:$A$74,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IFERROR(INDEX('1_DCS_numerator_by_BEA'!$B$2:$B$74, MATCH($A48, '1_DCS_numerator_by_BEA'!$A$2:$A$74,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IFERROR(INDEX('1_DCS_numerator_by_BEA'!$B$2:$B$74, MATCH($A49, '1_DCS_numerator_by_BEA'!$A$2:$A$74,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IFERROR(INDEX('1_DCS_numerator_by_BEA'!$B$2:$B$74, MATCH($A50, '1_DCS_numerator_by_BEA'!$A$2:$A$74,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IFERROR(INDEX('1_DCS_numerator_by_BEA'!$B$2:$B$74, MATCH($A51, '1_DCS_numerator_by_BEA'!$A$2:$A$74,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IFERROR(INDEX('1_DCS_numerator_by_BEA'!$B$2:$B$74, MATCH($A52, '1_DCS_numerator_by_BEA'!$A$2:$A$74,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IFERROR(INDEX('1_DCS_numerator_by_BEA'!$B$2:$B$74, MATCH($A53, '1_DCS_numerator_by_BEA'!$A$2:$A$74,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IFERROR(INDEX('1_DCS_numerator_by_BEA'!$B$2:$B$74, MATCH($A54, '1_DCS_numerator_by_BEA'!$A$2:$A$74,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IFERROR(INDEX('1_DCS_numerator_by_BEA'!$B$2:$B$74, MATCH($A55, '1_DCS_numerator_by_BEA'!$A$2:$A$74,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IFERROR(INDEX('1_DCS_numerator_by_BEA'!$B$2:$B$74, MATCH($A56, '1_DCS_numerator_by_BEA'!$A$2:$A$74,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IFERROR(INDEX('1_DCS_numerator_by_BEA'!$B$2:$B$74, MATCH($A57, '1_DCS_numerator_by_BEA'!$A$2:$A$74,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IFERROR(INDEX('1_DCS_numerator_by_BEA'!$B$2:$B$74, MATCH($A58, '1_DCS_numerator_by_BEA'!$A$2:$A$74,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IFERROR(INDEX('1_DCS_numerator_by_BEA'!$B$2:$B$74, MATCH($A59, '1_DCS_numerator_by_BEA'!$A$2:$A$74,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IFERROR(INDEX('1_DCS_numerator_by_BEA'!$B$2:$B$74, MATCH($A60, '1_DCS_numerator_by_BEA'!$A$2:$A$74,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IFERROR(INDEX('1_DCS_numerator_by_BEA'!$B$2:$B$74, MATCH($A61, '1_DCS_numerator_by_BEA'!$A$2:$A$74,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IFERROR(INDEX('1_DCS_numerator_by_BEA'!$B$2:$B$74, MATCH($A62, '1_DCS_numerator_by_BEA'!$A$2:$A$74,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IFERROR(INDEX('1_DCS_numerator_by_BEA'!$B$2:$B$74, MATCH($A63, '1_DCS_numerator_by_BEA'!$A$2:$A$74,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IFERROR(INDEX('1_DCS_numerator_by_BEA'!$B$2:$B$74, MATCH($A64, '1_DCS_numerator_by_BEA'!$A$2:$A$74,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IFERROR(INDEX('1_DCS_numerator_by_BEA'!$B$2:$B$74, MATCH($A65, '1_DCS_numerator_by_BEA'!$A$2:$A$74,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IFERROR(INDEX('1_DCS_numerator_by_BEA'!$B$2:$B$74, MATCH($A66, '1_DCS_numerator_by_BEA'!$A$2:$A$74,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IFERROR(INDEX('1_DCS_numerator_by_BEA'!$B$2:$B$74, MATCH($A67, '1_DCS_numerator_by_BEA'!$A$2:$A$74,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IFERROR(INDEX('1_DCS_numerator_by_BEA'!$B$2:$B$74, MATCH($A68, '1_DCS_numerator_by_BEA'!$A$2:$A$74,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IFERROR(INDEX('1_DCS_numerator_by_BEA'!$B$2:$B$74, MATCH($A69, '1_DCS_numerator_by_BEA'!$A$2:$A$74,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IFERROR(INDEX('1_DCS_numerator_by_BEA'!$B$2:$B$74, MATCH($A70, '1_DCS_numerator_by_BEA'!$A$2:$A$74,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IFERROR(INDEX('1_DCS_numerator_by_BEA'!$B$2:$B$74, MATCH($A71, '1_DCS_numerator_by_BEA'!$A$2:$A$74,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IFERROR(INDEX('1_DCS_numerator_by_BEA'!$B$2:$B$74, MATCH($A72, '1_DCS_numerator_by_BEA'!$A$2:$A$74,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IFERROR(INDEX('1_DCS_numerator_by_BEA'!$B$2:$B$74, MATCH($A73, '1_DCS_numerator_by_BEA'!$A$2:$A$74,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IFERROR(INDEX('1_DCS_numerator_by_BEA'!$B$2:$B$74, MATCH($A74, '1_DCS_numerator_by_BEA'!$A$2:$A$74,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IFERROR(INDEX('1_DCS_numerator_by_BEA'!$B$2:$B$74, MATCH($A75, '1_DCS_numerator_by_BEA'!$A$2:$A$74,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IFERROR(INDEX('1_DCS_numerator_by_BEA'!$B$2:$B$74, MATCH($A76, '1_DCS_numerator_by_BEA'!$A$2:$A$74,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IFERROR(INDEX('1_DCS_numerator_by_BEA'!$B$2:$B$74, MATCH($A77, '1_DCS_numerator_by_BEA'!$A$2:$A$74,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IFERROR(INDEX('1_DCS_numerator_by_BEA'!$B$2:$B$74, MATCH($A78, '1_DCS_numerator_by_BEA'!$A$2:$A$74,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IFERROR(INDEX('1_DCS_numerator_by_BEA'!$B$2:$B$74, MATCH($A79, '1_DCS_numerator_by_BEA'!$A$2:$A$74,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IFERROR(INDEX('1_DCS_numerator_by_BEA'!$B$2:$B$74, MATCH($A80, '1_DCS_numerator_by_BEA'!$A$2:$A$74,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IFERROR(INDEX('1_DCS_numerator_by_BEA'!$B$2:$B$74, MATCH($A81, '1_DCS_numerator_by_BEA'!$A$2:$A$74,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SUMIFS('6_Calc_DCS_num_ISIC'!$E$3:$E$81, '6_Calc_DCS_num_ISIC'!$B$3:$B$81, $A85)</f>
      </c>
      <c r="C85" t="str">
        <f>B85</f>
      </c>
    </row>
    <row r="86">
      <c r="A86" t="s">
        <v>482</v>
      </c>
      <c r="B86" t="str">
        <f>SUMIFS('6_Calc_DCS_num_ISIC'!$E$3:$E$81, '6_Calc_DCS_num_ISIC'!$B$3:$B$81, $A86)</f>
      </c>
      <c r="C86" t="str">
        <f>B86</f>
      </c>
    </row>
    <row r="87">
      <c r="A87" t="s">
        <v>344</v>
      </c>
      <c r="B87" t="str">
        <f>SUMIFS('6_Calc_DCS_num_ISIC'!$E$3:$E$81, '6_Calc_DCS_num_ISIC'!$B$3:$B$81, $A87)</f>
      </c>
      <c r="C87" t="str">
        <f>B87</f>
      </c>
    </row>
    <row r="88">
      <c r="A88" t="s">
        <v>485</v>
      </c>
      <c r="B88" t="str">
        <f>SUMIFS('6_Calc_DCS_num_ISIC'!$E$3:$E$81, '6_Calc_DCS_num_ISIC'!$B$3:$B$81, $A88)</f>
      </c>
      <c r="C88" t="str">
        <f>B88</f>
      </c>
    </row>
    <row r="89">
      <c r="A89" t="s">
        <v>347</v>
      </c>
      <c r="B89" t="str">
        <f>SUMIFS('6_Calc_DCS_num_ISIC'!$E$3:$E$81, '6_Calc_DCS_num_ISIC'!$B$3:$B$81, $A89)</f>
      </c>
      <c r="C89" t="str">
        <f>B89</f>
      </c>
    </row>
    <row r="90">
      <c r="A90" t="s">
        <v>362</v>
      </c>
      <c r="B90" t="str">
        <f>SUMIFS('6_Calc_DCS_num_ISIC'!$E$3:$E$81, '6_Calc_DCS_num_ISIC'!$B$3:$B$81, $A90)</f>
      </c>
      <c r="C90" t="str">
        <f>B90</f>
      </c>
    </row>
    <row r="91">
      <c r="A91" t="s">
        <v>365</v>
      </c>
      <c r="B91" t="str">
        <f>SUMIFS('6_Calc_DCS_num_ISIC'!$E$3:$E$81, '6_Calc_DCS_num_ISIC'!$B$3:$B$81, $A91)</f>
      </c>
      <c r="C91" t="str">
        <f>B91</f>
      </c>
    </row>
    <row r="92">
      <c r="A92" t="s">
        <v>369</v>
      </c>
      <c r="B92" t="str">
        <f>SUMIFS('6_Calc_DCS_num_ISIC'!$E$3:$E$81, '6_Calc_DCS_num_ISIC'!$B$3:$B$81, $A92)</f>
      </c>
      <c r="C92" t="str">
        <f>B92</f>
      </c>
    </row>
    <row r="93">
      <c r="A93" t="s">
        <v>372</v>
      </c>
      <c r="B93" t="str">
        <f>SUMIFS('6_Calc_DCS_num_ISIC'!$E$3:$E$81, '6_Calc_DCS_num_ISIC'!$B$3:$B$81, $A93)</f>
      </c>
      <c r="C93" t="str">
        <f>B93</f>
      </c>
    </row>
    <row r="94">
      <c r="A94" t="s">
        <v>376</v>
      </c>
      <c r="B94" t="str">
        <f>SUMIFS('6_Calc_DCS_num_ISIC'!$E$3:$E$81, '6_Calc_DCS_num_ISIC'!$B$3:$B$81, $A94)</f>
      </c>
      <c r="C94" t="str">
        <f>B94</f>
      </c>
    </row>
    <row r="95">
      <c r="A95" t="s">
        <v>498</v>
      </c>
      <c r="B95" t="str">
        <f>SUMIFS('6_Calc_DCS_num_ISIC'!$E$3:$E$81, '6_Calc_DCS_num_ISIC'!$B$3:$B$81, $A95)</f>
      </c>
      <c r="C95" t="str">
        <f>B95</f>
      </c>
    </row>
    <row r="96">
      <c r="A96" t="s">
        <v>501</v>
      </c>
      <c r="B96" t="str">
        <f>SUMIFS('6_Calc_DCS_num_ISIC'!$E$3:$E$81, '6_Calc_DCS_num_ISIC'!$B$3:$B$81, $A96)</f>
      </c>
      <c r="C96" t="str">
        <f>B96</f>
      </c>
    </row>
    <row r="97">
      <c r="A97" t="s">
        <v>126</v>
      </c>
      <c r="B97" t="str">
        <f>SUMIFS('6_Calc_DCS_num_ISIC'!$E$3:$E$81, '6_Calc_DCS_num_ISIC'!$B$3:$B$81, $A97)</f>
      </c>
      <c r="C97" t="str">
        <f>B97</f>
      </c>
    </row>
    <row r="98">
      <c r="A98" t="s">
        <v>488</v>
      </c>
      <c r="B98" t="str">
        <f>SUMIFS('6_Calc_DCS_num_ISIC'!$E$3:$E$81, '6_Calc_DCS_num_ISIC'!$B$3:$B$81, $A98)</f>
      </c>
      <c r="C98" t="str">
        <f>B98</f>
      </c>
    </row>
    <row r="99">
      <c r="A99" t="s">
        <v>491</v>
      </c>
      <c r="B99" t="str">
        <f>SUMIFS('6_Calc_DCS_num_ISIC'!$E$3:$E$81, '6_Calc_DCS_num_ISIC'!$B$3:$B$81, $A99)</f>
      </c>
      <c r="C99" t="str">
        <f>B99</f>
      </c>
    </row>
    <row r="100">
      <c r="A100" t="s">
        <v>379</v>
      </c>
      <c r="B100" t="str">
        <f>SUMIFS('6_Calc_DCS_num_ISIC'!$E$3:$E$81, '6_Calc_DCS_num_ISIC'!$B$3:$B$81, $A100)</f>
      </c>
      <c r="C100" t="str">
        <f>B100</f>
      </c>
    </row>
    <row r="101">
      <c r="A101" t="s">
        <v>495</v>
      </c>
      <c r="B101" t="str">
        <f>SUMIFS('6_Calc_DCS_num_ISIC'!$E$3:$E$81, '6_Calc_DCS_num_ISIC'!$B$3:$B$81, $A101)</f>
      </c>
      <c r="C101" t="str">
        <f>B101</f>
      </c>
    </row>
    <row r="102">
      <c r="A102" t="s">
        <v>385</v>
      </c>
      <c r="B102" t="str">
        <f>SUMIFS('6_Calc_DCS_num_ISIC'!$E$3:$E$81, '6_Calc_DCS_num_ISIC'!$B$3:$B$81, $A102)</f>
      </c>
      <c r="C102" t="str">
        <f>B102</f>
      </c>
    </row>
    <row r="103">
      <c r="A103" t="s">
        <v>390</v>
      </c>
      <c r="B103" t="str">
        <f>SUMIFS('6_Calc_DCS_num_ISIC'!$E$3:$E$81, '6_Calc_DCS_num_ISIC'!$B$3:$B$81, $A103)</f>
      </c>
      <c r="C103" t="str">
        <f>B103</f>
      </c>
    </row>
    <row r="104">
      <c r="A104" t="s">
        <v>393</v>
      </c>
      <c r="B104" t="str">
        <f>SUMIFS('6_Calc_DCS_num_ISIC'!$E$3:$E$81, '6_Calc_DCS_num_ISIC'!$B$3:$B$81, $A104)</f>
      </c>
      <c r="C104" t="str">
        <f>B104</f>
      </c>
    </row>
    <row r="105">
      <c r="A105" t="s">
        <v>387</v>
      </c>
      <c r="B105" t="str">
        <f>SUMIFS('6_Calc_DCS_num_ISIC'!$E$3:$E$81, '6_Calc_DCS_num_ISIC'!$B$3:$B$81, $A105)</f>
      </c>
      <c r="C105" t="str">
        <f>B105</f>
      </c>
    </row>
    <row r="106">
      <c r="A106" t="s">
        <v>396</v>
      </c>
      <c r="B106" t="str">
        <f>SUMIFS('6_Calc_DCS_num_ISIC'!$E$3:$E$81, '6_Calc_DCS_num_ISIC'!$B$3:$B$81, $A106)</f>
      </c>
      <c r="C106" t="str">
        <f>B106</f>
      </c>
    </row>
    <row r="107">
      <c r="A107" t="s">
        <v>399</v>
      </c>
      <c r="B107" t="str">
        <f>SUMIFS('6_Calc_DCS_num_ISIC'!$E$3:$E$81, '6_Calc_DCS_num_ISIC'!$B$3:$B$81, $A107)</f>
      </c>
      <c r="C107" t="str">
        <f>B107</f>
      </c>
    </row>
    <row r="108">
      <c r="A108" t="s">
        <v>402</v>
      </c>
      <c r="B108" t="str">
        <f>SUMIFS('6_Calc_DCS_num_ISIC'!$E$3:$E$81, '6_Calc_DCS_num_ISIC'!$B$3:$B$81, $A108)</f>
      </c>
      <c r="C108" t="str">
        <f>B108</f>
      </c>
    </row>
    <row r="109">
      <c r="A109" t="s">
        <v>350</v>
      </c>
      <c r="B109" t="str">
        <f>SUMIFS('6_Calc_DCS_num_ISIC'!$E$3:$E$81, '6_Calc_DCS_num_ISIC'!$B$3:$B$81, $A109)</f>
      </c>
      <c r="C109" t="str">
        <f>B109</f>
      </c>
    </row>
    <row r="110">
      <c r="A110" t="s">
        <v>353</v>
      </c>
      <c r="B110" t="str">
        <f>SUMIFS('6_Calc_DCS_num_ISIC'!$E$3:$E$81, '6_Calc_DCS_num_ISIC'!$B$3:$B$81, $A110)</f>
      </c>
      <c r="C110" t="str">
        <f>B110</f>
      </c>
    </row>
    <row r="111">
      <c r="A111" t="s">
        <v>356</v>
      </c>
      <c r="B111" t="str">
        <f>SUMIFS('6_Calc_DCS_num_ISIC'!$E$3:$E$81, '6_Calc_DCS_num_ISIC'!$B$3:$B$81, $A111)</f>
      </c>
      <c r="C111" t="str">
        <f>B111</f>
      </c>
    </row>
    <row r="112">
      <c r="A112" t="s">
        <v>360</v>
      </c>
      <c r="B112" t="str">
        <f>SUMIFS('6_Calc_DCS_num_ISIC'!$E$3:$E$81, '6_Calc_DCS_num_ISIC'!$B$3:$B$81, $A112)</f>
      </c>
      <c r="C112" t="str">
        <f>B112</f>
      </c>
    </row>
    <row r="113">
      <c r="A113" t="s">
        <v>406</v>
      </c>
      <c r="B113" t="str">
        <f>SUMIFS('6_Calc_DCS_num_ISIC'!$E$3:$E$81, '6_Calc_DCS_num_ISIC'!$B$3:$B$81, $A113)</f>
      </c>
      <c r="C113" t="str">
        <f>B113</f>
      </c>
    </row>
    <row r="114">
      <c r="A114" t="s">
        <v>413</v>
      </c>
      <c r="B114" t="str">
        <f>SUMIFS('6_Calc_DCS_num_ISIC'!$E$3:$E$81, '6_Calc_DCS_num_ISIC'!$B$3:$B$81, $A114)</f>
      </c>
      <c r="C114" t="str">
        <f>B114</f>
      </c>
    </row>
    <row r="115">
      <c r="A115" t="s">
        <v>470</v>
      </c>
      <c r="B115" t="str">
        <f>SUMIFS('6_Calc_DCS_num_ISIC'!$E$3:$E$81, '6_Calc_DCS_num_ISIC'!$B$3:$B$81, $A115)</f>
      </c>
      <c r="C115" t="str">
        <f>B115</f>
      </c>
    </row>
    <row r="116">
      <c r="A116" t="s">
        <v>425</v>
      </c>
      <c r="B116" t="str">
        <f>SUMIFS('6_Calc_DCS_num_ISIC'!$E$3:$E$81, '6_Calc_DCS_num_ISIC'!$B$3:$B$81, $A116)</f>
      </c>
      <c r="C116" t="str">
        <f>B116</f>
      </c>
    </row>
    <row r="117">
      <c r="A117" t="s">
        <v>177</v>
      </c>
      <c r="B117" t="str">
        <f>SUMIFS('6_Calc_DCS_num_ISIC'!$E$3:$E$81, '6_Calc_DCS_num_ISIC'!$B$3:$B$81, $A117)</f>
      </c>
      <c r="C117" t="str">
        <f>B117</f>
      </c>
    </row>
    <row r="118">
      <c r="A118" t="s">
        <v>432</v>
      </c>
      <c r="B118" t="str">
        <f>SUMIFS('6_Calc_DCS_num_ISIC'!$E$3:$E$81, '6_Calc_DCS_num_ISIC'!$B$3:$B$81, $A118)</f>
      </c>
      <c r="C118" t="str">
        <f>B118</f>
      </c>
    </row>
    <row r="119">
      <c r="A119" t="s">
        <v>435</v>
      </c>
      <c r="B119" t="str">
        <f>SUMIFS('6_Calc_DCS_num_ISIC'!$E$3:$E$81, '6_Calc_DCS_num_ISIC'!$B$3:$B$81, $A119)</f>
      </c>
      <c r="C119" t="str">
        <f>B119</f>
      </c>
    </row>
    <row r="120">
      <c r="A120" t="s">
        <v>441</v>
      </c>
      <c r="B120" t="str">
        <f>SUMIFS('6_Calc_DCS_num_ISIC'!$E$3:$E$81, '6_Calc_DCS_num_ISIC'!$B$3:$B$81, $A120)</f>
      </c>
      <c r="C120" t="str">
        <f>B120</f>
      </c>
    </row>
    <row r="121">
      <c r="A121" t="s">
        <v>445</v>
      </c>
      <c r="B121" t="str">
        <f>SUMIFS('6_Calc_DCS_num_ISIC'!$E$3:$E$81, '6_Calc_DCS_num_ISIC'!$B$3:$B$81, $A121)</f>
      </c>
      <c r="C121" t="str">
        <f>B121</f>
      </c>
    </row>
    <row r="122">
      <c r="A122" t="s">
        <v>475</v>
      </c>
      <c r="B122" t="str">
        <f>SUMIFS('6_Calc_DCS_num_ISIC'!$E$3:$E$81, '6_Calc_DCS_num_ISIC'!$B$3:$B$81, $A122)</f>
      </c>
      <c r="C122" t="str">
        <f>B122</f>
      </c>
    </row>
    <row r="123">
      <c r="A123" t="s">
        <v>457</v>
      </c>
      <c r="B123" t="str">
        <f>SUMIFS('6_Calc_DCS_num_ISIC'!$E$3:$E$81, '6_Calc_DCS_num_ISIC'!$B$3:$B$81, $A123)</f>
      </c>
      <c r="C123" t="str">
        <f>B123</f>
      </c>
    </row>
    <row r="124">
      <c r="A124" t="s">
        <v>460</v>
      </c>
      <c r="B124" t="str">
        <f>SUMIFS('6_Calc_DCS_num_ISIC'!$E$3:$E$81, '6_Calc_DCS_num_ISIC'!$B$3:$B$81, $A124)</f>
      </c>
      <c r="C124" t="str">
        <f>B124</f>
      </c>
    </row>
    <row r="125">
      <c r="A125" t="s">
        <v>466</v>
      </c>
      <c r="B125" t="str">
        <f>SUMIFS('6_Calc_DCS_num_ISIC'!$E$3:$E$81, '6_Calc_DCS_num_ISIC'!$B$3:$B$81, $A125)</f>
      </c>
      <c r="C125" t="str">
        <f>B125</f>
      </c>
    </row>
    <row r="126">
      <c r="A126" t="s">
        <v>583</v>
      </c>
      <c r="B126" t="str">
        <f>SUMIFS('6_Calc_DCS_num_ISIC'!$E$3:$E$81, '6_Calc_DCS_num_ISIC'!$B$3:$B$81,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IFERROR(INDEX('2_DCS_denominator_by_BEA'!$B$2:$B$74, MATCH($A3, '2_DCS_denominator_by_BEA'!$A$2:$A$74,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IFERROR(INDEX('2_DCS_denominator_by_BEA'!$B$2:$B$74, MATCH($A4, '2_DCS_denominator_by_BEA'!$A$2:$A$74,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IFERROR(INDEX('2_DCS_denominator_by_BEA'!$B$2:$B$74, MATCH($A5, '2_DCS_denominator_by_BEA'!$A$2:$A$74,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IFERROR(INDEX('2_DCS_denominator_by_BEA'!$B$2:$B$74, MATCH($A6, '2_DCS_denominator_by_BEA'!$A$2:$A$74,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IFERROR(INDEX('2_DCS_denominator_by_BEA'!$B$2:$B$74, MATCH($A7, '2_DCS_denominator_by_BEA'!$A$2:$A$74,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IFERROR(INDEX('2_DCS_denominator_by_BEA'!$B$2:$B$74, MATCH($A8, '2_DCS_denominator_by_BEA'!$A$2:$A$74,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IFERROR(INDEX('2_DCS_denominator_by_BEA'!$B$2:$B$74, MATCH($A9, '2_DCS_denominator_by_BEA'!$A$2:$A$74,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IFERROR(INDEX('2_DCS_denominator_by_BEA'!$B$2:$B$74, MATCH($A10, '2_DCS_denominator_by_BEA'!$A$2:$A$74,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IFERROR(INDEX('2_DCS_denominator_by_BEA'!$B$2:$B$74, MATCH($A11, '2_DCS_denominator_by_BEA'!$A$2:$A$74,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IFERROR(INDEX('2_DCS_denominator_by_BEA'!$B$2:$B$74, MATCH($A12, '2_DCS_denominator_by_BEA'!$A$2:$A$74,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IFERROR(INDEX('2_DCS_denominator_by_BEA'!$B$2:$B$74, MATCH($A13, '2_DCS_denominator_by_BEA'!$A$2:$A$74,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IFERROR(INDEX('2_DCS_denominator_by_BEA'!$B$2:$B$74, MATCH($A14, '2_DCS_denominator_by_BEA'!$A$2:$A$74,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IFERROR(INDEX('2_DCS_denominator_by_BEA'!$B$2:$B$74, MATCH($A15, '2_DCS_denominator_by_BEA'!$A$2:$A$74,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IFERROR(INDEX('2_DCS_denominator_by_BEA'!$B$2:$B$74, MATCH($A16, '2_DCS_denominator_by_BEA'!$A$2:$A$74,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IFERROR(INDEX('2_DCS_denominator_by_BEA'!$B$2:$B$74, MATCH($A17, '2_DCS_denominator_by_BEA'!$A$2:$A$74,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IFERROR(INDEX('2_DCS_denominator_by_BEA'!$B$2:$B$74, MATCH($A18, '2_DCS_denominator_by_BEA'!$A$2:$A$74,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IFERROR(INDEX('2_DCS_denominator_by_BEA'!$B$2:$B$74, MATCH($A19, '2_DCS_denominator_by_BEA'!$A$2:$A$74,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IFERROR(INDEX('2_DCS_denominator_by_BEA'!$B$2:$B$74, MATCH($A20, '2_DCS_denominator_by_BEA'!$A$2:$A$74,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IFERROR(INDEX('2_DCS_denominator_by_BEA'!$B$2:$B$74, MATCH($A21, '2_DCS_denominator_by_BEA'!$A$2:$A$74,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IFERROR(INDEX('2_DCS_denominator_by_BEA'!$B$2:$B$74, MATCH($A22, '2_DCS_denominator_by_BEA'!$A$2:$A$74,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IFERROR(INDEX('2_DCS_denominator_by_BEA'!$B$2:$B$74, MATCH($A23, '2_DCS_denominator_by_BEA'!$A$2:$A$74,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IFERROR(INDEX('2_DCS_denominator_by_BEA'!$B$2:$B$74, MATCH($A24, '2_DCS_denominator_by_BEA'!$A$2:$A$74,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IFERROR(INDEX('2_DCS_denominator_by_BEA'!$B$2:$B$74, MATCH($A25, '2_DCS_denominator_by_BEA'!$A$2:$A$74,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IFERROR(INDEX('2_DCS_denominator_by_BEA'!$B$2:$B$74, MATCH($A26, '2_DCS_denominator_by_BEA'!$A$2:$A$74,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IFERROR(INDEX('2_DCS_denominator_by_BEA'!$B$2:$B$74, MATCH($A27, '2_DCS_denominator_by_BEA'!$A$2:$A$74,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IFERROR(INDEX('2_DCS_denominator_by_BEA'!$B$2:$B$74, MATCH($A28, '2_DCS_denominator_by_BEA'!$A$2:$A$74,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IFERROR(INDEX('2_DCS_denominator_by_BEA'!$B$2:$B$74, MATCH($A29, '2_DCS_denominator_by_BEA'!$A$2:$A$74,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IFERROR(INDEX('2_DCS_denominator_by_BEA'!$B$2:$B$74, MATCH($A30, '2_DCS_denominator_by_BEA'!$A$2:$A$74,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IFERROR(INDEX('2_DCS_denominator_by_BEA'!$B$2:$B$74, MATCH($A31, '2_DCS_denominator_by_BEA'!$A$2:$A$74,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IFERROR(INDEX('2_DCS_denominator_by_BEA'!$B$2:$B$74, MATCH($A32, '2_DCS_denominator_by_BEA'!$A$2:$A$74,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IFERROR(INDEX('2_DCS_denominator_by_BEA'!$B$2:$B$74, MATCH($A33, '2_DCS_denominator_by_BEA'!$A$2:$A$74,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IFERROR(INDEX('2_DCS_denominator_by_BEA'!$B$2:$B$74, MATCH($A34, '2_DCS_denominator_by_BEA'!$A$2:$A$74,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IFERROR(INDEX('2_DCS_denominator_by_BEA'!$B$2:$B$74, MATCH($A35, '2_DCS_denominator_by_BEA'!$A$2:$A$74,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IFERROR(INDEX('2_DCS_denominator_by_BEA'!$B$2:$B$74, MATCH($A36, '2_DCS_denominator_by_BEA'!$A$2:$A$74,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IFERROR(INDEX('2_DCS_denominator_by_BEA'!$B$2:$B$74, MATCH($A37, '2_DCS_denominator_by_BEA'!$A$2:$A$74,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IFERROR(INDEX('2_DCS_denominator_by_BEA'!$B$2:$B$74, MATCH($A38, '2_DCS_denominator_by_BEA'!$A$2:$A$74,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IFERROR(INDEX('2_DCS_denominator_by_BEA'!$B$2:$B$74, MATCH($A39, '2_DCS_denominator_by_BEA'!$A$2:$A$74,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IFERROR(INDEX('2_DCS_denominator_by_BEA'!$B$2:$B$74, MATCH($A40, '2_DCS_denominator_by_BEA'!$A$2:$A$74,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IFERROR(INDEX('2_DCS_denominator_by_BEA'!$B$2:$B$74, MATCH($A41, '2_DCS_denominator_by_BEA'!$A$2:$A$74,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IFERROR(INDEX('2_DCS_denominator_by_BEA'!$B$2:$B$74, MATCH($A42, '2_DCS_denominator_by_BEA'!$A$2:$A$74,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IFERROR(INDEX('2_DCS_denominator_by_BEA'!$B$2:$B$74, MATCH($A43, '2_DCS_denominator_by_BEA'!$A$2:$A$74,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IFERROR(INDEX('2_DCS_denominator_by_BEA'!$B$2:$B$74, MATCH($A44, '2_DCS_denominator_by_BEA'!$A$2:$A$74,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IFERROR(INDEX('2_DCS_denominator_by_BEA'!$B$2:$B$74, MATCH($A45, '2_DCS_denominator_by_BEA'!$A$2:$A$74,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IFERROR(INDEX('2_DCS_denominator_by_BEA'!$B$2:$B$74, MATCH($A46, '2_DCS_denominator_by_BEA'!$A$2:$A$74,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IFERROR(INDEX('2_DCS_denominator_by_BEA'!$B$2:$B$74, MATCH($A47, '2_DCS_denominator_by_BEA'!$A$2:$A$74,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IFERROR(INDEX('2_DCS_denominator_by_BEA'!$B$2:$B$74, MATCH($A48, '2_DCS_denominator_by_BEA'!$A$2:$A$74,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IFERROR(INDEX('2_DCS_denominator_by_BEA'!$B$2:$B$74, MATCH($A49, '2_DCS_denominator_by_BEA'!$A$2:$A$74,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IFERROR(INDEX('2_DCS_denominator_by_BEA'!$B$2:$B$74, MATCH($A50, '2_DCS_denominator_by_BEA'!$A$2:$A$74,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IFERROR(INDEX('2_DCS_denominator_by_BEA'!$B$2:$B$74, MATCH($A51, '2_DCS_denominator_by_BEA'!$A$2:$A$74,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IFERROR(INDEX('2_DCS_denominator_by_BEA'!$B$2:$B$74, MATCH($A52, '2_DCS_denominator_by_BEA'!$A$2:$A$74,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IFERROR(INDEX('2_DCS_denominator_by_BEA'!$B$2:$B$74, MATCH($A53, '2_DCS_denominator_by_BEA'!$A$2:$A$74,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IFERROR(INDEX('2_DCS_denominator_by_BEA'!$B$2:$B$74, MATCH($A54, '2_DCS_denominator_by_BEA'!$A$2:$A$74,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IFERROR(INDEX('2_DCS_denominator_by_BEA'!$B$2:$B$74, MATCH($A55, '2_DCS_denominator_by_BEA'!$A$2:$A$74,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IFERROR(INDEX('2_DCS_denominator_by_BEA'!$B$2:$B$74, MATCH($A56, '2_DCS_denominator_by_BEA'!$A$2:$A$74,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IFERROR(INDEX('2_DCS_denominator_by_BEA'!$B$2:$B$74, MATCH($A57, '2_DCS_denominator_by_BEA'!$A$2:$A$74,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IFERROR(INDEX('2_DCS_denominator_by_BEA'!$B$2:$B$74, MATCH($A58, '2_DCS_denominator_by_BEA'!$A$2:$A$74,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IFERROR(INDEX('2_DCS_denominator_by_BEA'!$B$2:$B$74, MATCH($A59, '2_DCS_denominator_by_BEA'!$A$2:$A$74,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IFERROR(INDEX('2_DCS_denominator_by_BEA'!$B$2:$B$74, MATCH($A60, '2_DCS_denominator_by_BEA'!$A$2:$A$74,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IFERROR(INDEX('2_DCS_denominator_by_BEA'!$B$2:$B$74, MATCH($A61, '2_DCS_denominator_by_BEA'!$A$2:$A$74,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IFERROR(INDEX('2_DCS_denominator_by_BEA'!$B$2:$B$74, MATCH($A62, '2_DCS_denominator_by_BEA'!$A$2:$A$74,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IFERROR(INDEX('2_DCS_denominator_by_BEA'!$B$2:$B$74, MATCH($A63, '2_DCS_denominator_by_BEA'!$A$2:$A$74,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IFERROR(INDEX('2_DCS_denominator_by_BEA'!$B$2:$B$74, MATCH($A64, '2_DCS_denominator_by_BEA'!$A$2:$A$74,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IFERROR(INDEX('2_DCS_denominator_by_BEA'!$B$2:$B$74, MATCH($A65, '2_DCS_denominator_by_BEA'!$A$2:$A$74,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IFERROR(INDEX('2_DCS_denominator_by_BEA'!$B$2:$B$74, MATCH($A66, '2_DCS_denominator_by_BEA'!$A$2:$A$74,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IFERROR(INDEX('2_DCS_denominator_by_BEA'!$B$2:$B$74, MATCH($A67, '2_DCS_denominator_by_BEA'!$A$2:$A$74,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IFERROR(INDEX('2_DCS_denominator_by_BEA'!$B$2:$B$74, MATCH($A68, '2_DCS_denominator_by_BEA'!$A$2:$A$74,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IFERROR(INDEX('2_DCS_denominator_by_BEA'!$B$2:$B$74, MATCH($A69, '2_DCS_denominator_by_BEA'!$A$2:$A$74,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IFERROR(INDEX('2_DCS_denominator_by_BEA'!$B$2:$B$74, MATCH($A70, '2_DCS_denominator_by_BEA'!$A$2:$A$74,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IFERROR(INDEX('2_DCS_denominator_by_BEA'!$B$2:$B$74, MATCH($A71, '2_DCS_denominator_by_BEA'!$A$2:$A$74,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IFERROR(INDEX('2_DCS_denominator_by_BEA'!$B$2:$B$74, MATCH($A72, '2_DCS_denominator_by_BEA'!$A$2:$A$74,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IFERROR(INDEX('2_DCS_denominator_by_BEA'!$B$2:$B$74, MATCH($A73, '2_DCS_denominator_by_BEA'!$A$2:$A$74,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IFERROR(INDEX('2_DCS_denominator_by_BEA'!$B$2:$B$74, MATCH($A74, '2_DCS_denominator_by_BEA'!$A$2:$A$74,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IFERROR(INDEX('2_DCS_denominator_by_BEA'!$B$2:$B$74, MATCH($A75, '2_DCS_denominator_by_BEA'!$A$2:$A$74,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IFERROR(INDEX('2_DCS_denominator_by_BEA'!$B$2:$B$74, MATCH($A76, '2_DCS_denominator_by_BEA'!$A$2:$A$74,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IFERROR(INDEX('2_DCS_denominator_by_BEA'!$B$2:$B$74, MATCH($A77, '2_DCS_denominator_by_BEA'!$A$2:$A$74,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IFERROR(INDEX('2_DCS_denominator_by_BEA'!$B$2:$B$74, MATCH($A78, '2_DCS_denominator_by_BEA'!$A$2:$A$74,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IFERROR(INDEX('2_DCS_denominator_by_BEA'!$B$2:$B$74, MATCH($A79, '2_DCS_denominator_by_BEA'!$A$2:$A$74,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IFERROR(INDEX('2_DCS_denominator_by_BEA'!$B$2:$B$74, MATCH($A80, '2_DCS_denominator_by_BEA'!$A$2:$A$74,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IFERROR(INDEX('2_DCS_denominator_by_BEA'!$B$2:$B$74, MATCH($A81, '2_DCS_denominator_by_BEA'!$A$2:$A$74,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SUMIFS('7_Calc_DCS_den_ISIC'!$E$3:$E$81, '7_Calc_DCS_den_ISIC'!$B$3:$B$81, $A85)</f>
      </c>
      <c r="C85" t="str">
        <f>B85</f>
      </c>
    </row>
    <row r="86">
      <c r="A86" t="s">
        <v>482</v>
      </c>
      <c r="B86" t="str">
        <f>SUMIFS('7_Calc_DCS_den_ISIC'!$E$3:$E$81, '7_Calc_DCS_den_ISIC'!$B$3:$B$81, $A86)</f>
      </c>
      <c r="C86" t="str">
        <f>B86</f>
      </c>
    </row>
    <row r="87">
      <c r="A87" t="s">
        <v>344</v>
      </c>
      <c r="B87" t="str">
        <f>SUMIFS('7_Calc_DCS_den_ISIC'!$E$3:$E$81, '7_Calc_DCS_den_ISIC'!$B$3:$B$81, $A87)</f>
      </c>
      <c r="C87" t="str">
        <f>B87</f>
      </c>
    </row>
    <row r="88">
      <c r="A88" t="s">
        <v>485</v>
      </c>
      <c r="B88" t="str">
        <f>SUMIFS('7_Calc_DCS_den_ISIC'!$E$3:$E$81, '7_Calc_DCS_den_ISIC'!$B$3:$B$81, $A88)</f>
      </c>
      <c r="C88" t="str">
        <f>B88</f>
      </c>
    </row>
    <row r="89">
      <c r="A89" t="s">
        <v>347</v>
      </c>
      <c r="B89" t="str">
        <f>SUMIFS('7_Calc_DCS_den_ISIC'!$E$3:$E$81, '7_Calc_DCS_den_ISIC'!$B$3:$B$81, $A89)</f>
      </c>
      <c r="C89" t="str">
        <f>B89</f>
      </c>
    </row>
    <row r="90">
      <c r="A90" t="s">
        <v>362</v>
      </c>
      <c r="B90" t="str">
        <f>SUMIFS('7_Calc_DCS_den_ISIC'!$E$3:$E$81, '7_Calc_DCS_den_ISIC'!$B$3:$B$81, $A90)</f>
      </c>
      <c r="C90" t="str">
        <f>B90</f>
      </c>
    </row>
    <row r="91">
      <c r="A91" t="s">
        <v>365</v>
      </c>
      <c r="B91" t="str">
        <f>SUMIFS('7_Calc_DCS_den_ISIC'!$E$3:$E$81, '7_Calc_DCS_den_ISIC'!$B$3:$B$81, $A91)</f>
      </c>
      <c r="C91" t="str">
        <f>B91</f>
      </c>
    </row>
    <row r="92">
      <c r="A92" t="s">
        <v>369</v>
      </c>
      <c r="B92" t="str">
        <f>SUMIFS('7_Calc_DCS_den_ISIC'!$E$3:$E$81, '7_Calc_DCS_den_ISIC'!$B$3:$B$81, $A92)</f>
      </c>
      <c r="C92" t="str">
        <f>B92</f>
      </c>
    </row>
    <row r="93">
      <c r="A93" t="s">
        <v>372</v>
      </c>
      <c r="B93" t="str">
        <f>SUMIFS('7_Calc_DCS_den_ISIC'!$E$3:$E$81, '7_Calc_DCS_den_ISIC'!$B$3:$B$81, $A93)</f>
      </c>
      <c r="C93" t="str">
        <f>B93</f>
      </c>
    </row>
    <row r="94">
      <c r="A94" t="s">
        <v>376</v>
      </c>
      <c r="B94" t="str">
        <f>SUMIFS('7_Calc_DCS_den_ISIC'!$E$3:$E$81, '7_Calc_DCS_den_ISIC'!$B$3:$B$81, $A94)</f>
      </c>
      <c r="C94" t="str">
        <f>B94</f>
      </c>
    </row>
    <row r="95">
      <c r="A95" t="s">
        <v>498</v>
      </c>
      <c r="B95" t="str">
        <f>SUMIFS('7_Calc_DCS_den_ISIC'!$E$3:$E$81, '7_Calc_DCS_den_ISIC'!$B$3:$B$81, $A95)</f>
      </c>
      <c r="C95" t="str">
        <f>B95</f>
      </c>
    </row>
    <row r="96">
      <c r="A96" t="s">
        <v>501</v>
      </c>
      <c r="B96" t="str">
        <f>SUMIFS('7_Calc_DCS_den_ISIC'!$E$3:$E$81, '7_Calc_DCS_den_ISIC'!$B$3:$B$81, $A96)</f>
      </c>
      <c r="C96" t="str">
        <f>B96</f>
      </c>
    </row>
    <row r="97">
      <c r="A97" t="s">
        <v>126</v>
      </c>
      <c r="B97" t="str">
        <f>SUMIFS('7_Calc_DCS_den_ISIC'!$E$3:$E$81, '7_Calc_DCS_den_ISIC'!$B$3:$B$81, $A97)</f>
      </c>
      <c r="C97" t="str">
        <f>B97</f>
      </c>
    </row>
    <row r="98">
      <c r="A98" t="s">
        <v>488</v>
      </c>
      <c r="B98" t="str">
        <f>SUMIFS('7_Calc_DCS_den_ISIC'!$E$3:$E$81, '7_Calc_DCS_den_ISIC'!$B$3:$B$81, $A98)</f>
      </c>
      <c r="C98" t="str">
        <f>B98</f>
      </c>
    </row>
    <row r="99">
      <c r="A99" t="s">
        <v>491</v>
      </c>
      <c r="B99" t="str">
        <f>SUMIFS('7_Calc_DCS_den_ISIC'!$E$3:$E$81, '7_Calc_DCS_den_ISIC'!$B$3:$B$81, $A99)</f>
      </c>
      <c r="C99" t="str">
        <f>B99</f>
      </c>
    </row>
    <row r="100">
      <c r="A100" t="s">
        <v>379</v>
      </c>
      <c r="B100" t="str">
        <f>SUMIFS('7_Calc_DCS_den_ISIC'!$E$3:$E$81, '7_Calc_DCS_den_ISIC'!$B$3:$B$81, $A100)</f>
      </c>
      <c r="C100" t="str">
        <f>B100</f>
      </c>
    </row>
    <row r="101">
      <c r="A101" t="s">
        <v>495</v>
      </c>
      <c r="B101" t="str">
        <f>SUMIFS('7_Calc_DCS_den_ISIC'!$E$3:$E$81, '7_Calc_DCS_den_ISIC'!$B$3:$B$81, $A101)</f>
      </c>
      <c r="C101" t="str">
        <f>B101</f>
      </c>
    </row>
    <row r="102">
      <c r="A102" t="s">
        <v>385</v>
      </c>
      <c r="B102" t="str">
        <f>SUMIFS('7_Calc_DCS_den_ISIC'!$E$3:$E$81, '7_Calc_DCS_den_ISIC'!$B$3:$B$81, $A102)</f>
      </c>
      <c r="C102" t="str">
        <f>B102</f>
      </c>
    </row>
    <row r="103">
      <c r="A103" t="s">
        <v>390</v>
      </c>
      <c r="B103" t="str">
        <f>SUMIFS('7_Calc_DCS_den_ISIC'!$E$3:$E$81, '7_Calc_DCS_den_ISIC'!$B$3:$B$81, $A103)</f>
      </c>
      <c r="C103" t="str">
        <f>B103</f>
      </c>
    </row>
    <row r="104">
      <c r="A104" t="s">
        <v>393</v>
      </c>
      <c r="B104" t="str">
        <f>SUMIFS('7_Calc_DCS_den_ISIC'!$E$3:$E$81, '7_Calc_DCS_den_ISIC'!$B$3:$B$81, $A104)</f>
      </c>
      <c r="C104" t="str">
        <f>B104</f>
      </c>
    </row>
    <row r="105">
      <c r="A105" t="s">
        <v>387</v>
      </c>
      <c r="B105" t="str">
        <f>SUMIFS('7_Calc_DCS_den_ISIC'!$E$3:$E$81, '7_Calc_DCS_den_ISIC'!$B$3:$B$81, $A105)</f>
      </c>
      <c r="C105" t="str">
        <f>B105</f>
      </c>
    </row>
    <row r="106">
      <c r="A106" t="s">
        <v>396</v>
      </c>
      <c r="B106" t="str">
        <f>SUMIFS('7_Calc_DCS_den_ISIC'!$E$3:$E$81, '7_Calc_DCS_den_ISIC'!$B$3:$B$81, $A106)</f>
      </c>
      <c r="C106" t="str">
        <f>B106</f>
      </c>
    </row>
    <row r="107">
      <c r="A107" t="s">
        <v>399</v>
      </c>
      <c r="B107" t="str">
        <f>SUMIFS('7_Calc_DCS_den_ISIC'!$E$3:$E$81, '7_Calc_DCS_den_ISIC'!$B$3:$B$81, $A107)</f>
      </c>
      <c r="C107" t="str">
        <f>B107</f>
      </c>
    </row>
    <row r="108">
      <c r="A108" t="s">
        <v>402</v>
      </c>
      <c r="B108" t="str">
        <f>SUMIFS('7_Calc_DCS_den_ISIC'!$E$3:$E$81, '7_Calc_DCS_den_ISIC'!$B$3:$B$81, $A108)</f>
      </c>
      <c r="C108" t="str">
        <f>B108</f>
      </c>
    </row>
    <row r="109">
      <c r="A109" t="s">
        <v>350</v>
      </c>
      <c r="B109" t="str">
        <f>SUMIFS('7_Calc_DCS_den_ISIC'!$E$3:$E$81, '7_Calc_DCS_den_ISIC'!$B$3:$B$81, $A109)</f>
      </c>
      <c r="C109" t="str">
        <f>B109</f>
      </c>
    </row>
    <row r="110">
      <c r="A110" t="s">
        <v>353</v>
      </c>
      <c r="B110" t="str">
        <f>SUMIFS('7_Calc_DCS_den_ISIC'!$E$3:$E$81, '7_Calc_DCS_den_ISIC'!$B$3:$B$81, $A110)</f>
      </c>
      <c r="C110" t="str">
        <f>B110</f>
      </c>
    </row>
    <row r="111">
      <c r="A111" t="s">
        <v>356</v>
      </c>
      <c r="B111" t="str">
        <f>SUMIFS('7_Calc_DCS_den_ISIC'!$E$3:$E$81, '7_Calc_DCS_den_ISIC'!$B$3:$B$81, $A111)</f>
      </c>
      <c r="C111" t="str">
        <f>B111</f>
      </c>
    </row>
    <row r="112">
      <c r="A112" t="s">
        <v>360</v>
      </c>
      <c r="B112" t="str">
        <f>SUMIFS('7_Calc_DCS_den_ISIC'!$E$3:$E$81, '7_Calc_DCS_den_ISIC'!$B$3:$B$81, $A112)</f>
      </c>
      <c r="C112" t="str">
        <f>B112</f>
      </c>
    </row>
    <row r="113">
      <c r="A113" t="s">
        <v>406</v>
      </c>
      <c r="B113" t="str">
        <f>SUMIFS('7_Calc_DCS_den_ISIC'!$E$3:$E$81, '7_Calc_DCS_den_ISIC'!$B$3:$B$81, $A113)</f>
      </c>
      <c r="C113" t="str">
        <f>B113</f>
      </c>
    </row>
    <row r="114">
      <c r="A114" t="s">
        <v>413</v>
      </c>
      <c r="B114" t="str">
        <f>SUMIFS('7_Calc_DCS_den_ISIC'!$E$3:$E$81, '7_Calc_DCS_den_ISIC'!$B$3:$B$81, $A114)</f>
      </c>
      <c r="C114" t="str">
        <f>B114</f>
      </c>
    </row>
    <row r="115">
      <c r="A115" t="s">
        <v>470</v>
      </c>
      <c r="B115" t="str">
        <f>SUMIFS('7_Calc_DCS_den_ISIC'!$E$3:$E$81, '7_Calc_DCS_den_ISIC'!$B$3:$B$81, $A115)</f>
      </c>
      <c r="C115" t="str">
        <f>B115</f>
      </c>
    </row>
    <row r="116">
      <c r="A116" t="s">
        <v>425</v>
      </c>
      <c r="B116" t="str">
        <f>SUMIFS('7_Calc_DCS_den_ISIC'!$E$3:$E$81, '7_Calc_DCS_den_ISIC'!$B$3:$B$81, $A116)</f>
      </c>
      <c r="C116" t="str">
        <f>B116</f>
      </c>
    </row>
    <row r="117">
      <c r="A117" t="s">
        <v>177</v>
      </c>
      <c r="B117" t="str">
        <f>SUMIFS('7_Calc_DCS_den_ISIC'!$E$3:$E$81, '7_Calc_DCS_den_ISIC'!$B$3:$B$81, $A117)</f>
      </c>
      <c r="C117" t="str">
        <f>B117</f>
      </c>
    </row>
    <row r="118">
      <c r="A118" t="s">
        <v>432</v>
      </c>
      <c r="B118" t="str">
        <f>SUMIFS('7_Calc_DCS_den_ISIC'!$E$3:$E$81, '7_Calc_DCS_den_ISIC'!$B$3:$B$81, $A118)</f>
      </c>
      <c r="C118" t="str">
        <f>B118</f>
      </c>
    </row>
    <row r="119">
      <c r="A119" t="s">
        <v>435</v>
      </c>
      <c r="B119" t="str">
        <f>SUMIFS('7_Calc_DCS_den_ISIC'!$E$3:$E$81, '7_Calc_DCS_den_ISIC'!$B$3:$B$81, $A119)</f>
      </c>
      <c r="C119" t="str">
        <f>B119</f>
      </c>
    </row>
    <row r="120">
      <c r="A120" t="s">
        <v>441</v>
      </c>
      <c r="B120" t="str">
        <f>SUMIFS('7_Calc_DCS_den_ISIC'!$E$3:$E$81, '7_Calc_DCS_den_ISIC'!$B$3:$B$81, $A120)</f>
      </c>
      <c r="C120" t="str">
        <f>B120</f>
      </c>
    </row>
    <row r="121">
      <c r="A121" t="s">
        <v>445</v>
      </c>
      <c r="B121" t="str">
        <f>SUMIFS('7_Calc_DCS_den_ISIC'!$E$3:$E$81, '7_Calc_DCS_den_ISIC'!$B$3:$B$81, $A121)</f>
      </c>
      <c r="C121" t="str">
        <f>B121</f>
      </c>
    </row>
    <row r="122">
      <c r="A122" t="s">
        <v>475</v>
      </c>
      <c r="B122" t="str">
        <f>SUMIFS('7_Calc_DCS_den_ISIC'!$E$3:$E$81, '7_Calc_DCS_den_ISIC'!$B$3:$B$81, $A122)</f>
      </c>
      <c r="C122" t="str">
        <f>B122</f>
      </c>
    </row>
    <row r="123">
      <c r="A123" t="s">
        <v>457</v>
      </c>
      <c r="B123" t="str">
        <f>SUMIFS('7_Calc_DCS_den_ISIC'!$E$3:$E$81, '7_Calc_DCS_den_ISIC'!$B$3:$B$81, $A123)</f>
      </c>
      <c r="C123" t="str">
        <f>B123</f>
      </c>
    </row>
    <row r="124">
      <c r="A124" t="s">
        <v>460</v>
      </c>
      <c r="B124" t="str">
        <f>SUMIFS('7_Calc_DCS_den_ISIC'!$E$3:$E$81, '7_Calc_DCS_den_ISIC'!$B$3:$B$81, $A124)</f>
      </c>
      <c r="C124" t="str">
        <f>B124</f>
      </c>
    </row>
    <row r="125">
      <c r="A125" t="s">
        <v>466</v>
      </c>
      <c r="B125" t="str">
        <f>SUMIFS('7_Calc_DCS_den_ISIC'!$E$3:$E$81, '7_Calc_DCS_den_ISIC'!$B$3:$B$81, $A125)</f>
      </c>
      <c r="C125" t="str">
        <f>B125</f>
      </c>
    </row>
    <row r="126">
      <c r="A126" t="s">
        <v>583</v>
      </c>
      <c r="B126" t="str">
        <f>SUMIFS('7_Calc_DCS_den_ISIC'!$E$3:$E$81, '7_Calc_DCS_den_ISIC'!$B$3:$B$81,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IFERROR(INDEX('5_Exp_total_by_BEA'!$B$2:$B$74, MATCH($A3, '5_Exp_total_by_BEA'!$A$2:$A$74,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IFERROR(INDEX('5_Exp_total_by_BEA'!$B$2:$B$74, MATCH($A4, '5_Exp_total_by_BEA'!$A$2:$A$74,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IFERROR(INDEX('5_Exp_total_by_BEA'!$B$2:$B$74, MATCH($A5, '5_Exp_total_by_BEA'!$A$2:$A$74,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IFERROR(INDEX('5_Exp_total_by_BEA'!$B$2:$B$74, MATCH($A6, '5_Exp_total_by_BEA'!$A$2:$A$74,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IFERROR(INDEX('5_Exp_total_by_BEA'!$B$2:$B$74, MATCH($A7, '5_Exp_total_by_BEA'!$A$2:$A$74,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IFERROR(INDEX('5_Exp_total_by_BEA'!$B$2:$B$74, MATCH($A8, '5_Exp_total_by_BEA'!$A$2:$A$74,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IFERROR(INDEX('5_Exp_total_by_BEA'!$B$2:$B$74, MATCH($A9, '5_Exp_total_by_BEA'!$A$2:$A$74,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IFERROR(INDEX('5_Exp_total_by_BEA'!$B$2:$B$74, MATCH($A10, '5_Exp_total_by_BEA'!$A$2:$A$74,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IFERROR(INDEX('5_Exp_total_by_BEA'!$B$2:$B$74, MATCH($A11, '5_Exp_total_by_BEA'!$A$2:$A$74,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IFERROR(INDEX('5_Exp_total_by_BEA'!$B$2:$B$74, MATCH($A12, '5_Exp_total_by_BEA'!$A$2:$A$74,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IFERROR(INDEX('5_Exp_total_by_BEA'!$B$2:$B$74, MATCH($A13, '5_Exp_total_by_BEA'!$A$2:$A$74,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IFERROR(INDEX('5_Exp_total_by_BEA'!$B$2:$B$74, MATCH($A14, '5_Exp_total_by_BEA'!$A$2:$A$74,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IFERROR(INDEX('5_Exp_total_by_BEA'!$B$2:$B$74, MATCH($A15, '5_Exp_total_by_BEA'!$A$2:$A$74,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IFERROR(INDEX('5_Exp_total_by_BEA'!$B$2:$B$74, MATCH($A16, '5_Exp_total_by_BEA'!$A$2:$A$74,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IFERROR(INDEX('5_Exp_total_by_BEA'!$B$2:$B$74, MATCH($A17, '5_Exp_total_by_BEA'!$A$2:$A$74,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IFERROR(INDEX('5_Exp_total_by_BEA'!$B$2:$B$74, MATCH($A18, '5_Exp_total_by_BEA'!$A$2:$A$74,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IFERROR(INDEX('5_Exp_total_by_BEA'!$B$2:$B$74, MATCH($A19, '5_Exp_total_by_BEA'!$A$2:$A$74,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IFERROR(INDEX('5_Exp_total_by_BEA'!$B$2:$B$74, MATCH($A20, '5_Exp_total_by_BEA'!$A$2:$A$74,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IFERROR(INDEX('5_Exp_total_by_BEA'!$B$2:$B$74, MATCH($A21, '5_Exp_total_by_BEA'!$A$2:$A$74,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IFERROR(INDEX('5_Exp_total_by_BEA'!$B$2:$B$74, MATCH($A22, '5_Exp_total_by_BEA'!$A$2:$A$74,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IFERROR(INDEX('5_Exp_total_by_BEA'!$B$2:$B$74, MATCH($A23, '5_Exp_total_by_BEA'!$A$2:$A$74,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IFERROR(INDEX('5_Exp_total_by_BEA'!$B$2:$B$74, MATCH($A24, '5_Exp_total_by_BEA'!$A$2:$A$74,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IFERROR(INDEX('5_Exp_total_by_BEA'!$B$2:$B$74, MATCH($A25, '5_Exp_total_by_BEA'!$A$2:$A$74,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IFERROR(INDEX('5_Exp_total_by_BEA'!$B$2:$B$74, MATCH($A26, '5_Exp_total_by_BEA'!$A$2:$A$74,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IFERROR(INDEX('5_Exp_total_by_BEA'!$B$2:$B$74, MATCH($A27, '5_Exp_total_by_BEA'!$A$2:$A$74,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IFERROR(INDEX('5_Exp_total_by_BEA'!$B$2:$B$74, MATCH($A28, '5_Exp_total_by_BEA'!$A$2:$A$74,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IFERROR(INDEX('5_Exp_total_by_BEA'!$B$2:$B$74, MATCH($A29, '5_Exp_total_by_BEA'!$A$2:$A$74,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IFERROR(INDEX('5_Exp_total_by_BEA'!$B$2:$B$74, MATCH($A30, '5_Exp_total_by_BEA'!$A$2:$A$74,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IFERROR(INDEX('5_Exp_total_by_BEA'!$B$2:$B$74, MATCH($A31, '5_Exp_total_by_BEA'!$A$2:$A$74,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IFERROR(INDEX('5_Exp_total_by_BEA'!$B$2:$B$74, MATCH($A32, '5_Exp_total_by_BEA'!$A$2:$A$74,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IFERROR(INDEX('5_Exp_total_by_BEA'!$B$2:$B$74, MATCH($A33, '5_Exp_total_by_BEA'!$A$2:$A$74,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IFERROR(INDEX('5_Exp_total_by_BEA'!$B$2:$B$74, MATCH($A34, '5_Exp_total_by_BEA'!$A$2:$A$74,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IFERROR(INDEX('5_Exp_total_by_BEA'!$B$2:$B$74, MATCH($A35, '5_Exp_total_by_BEA'!$A$2:$A$74,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IFERROR(INDEX('5_Exp_total_by_BEA'!$B$2:$B$74, MATCH($A36, '5_Exp_total_by_BEA'!$A$2:$A$74,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IFERROR(INDEX('5_Exp_total_by_BEA'!$B$2:$B$74, MATCH($A37, '5_Exp_total_by_BEA'!$A$2:$A$74,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IFERROR(INDEX('5_Exp_total_by_BEA'!$B$2:$B$74, MATCH($A38, '5_Exp_total_by_BEA'!$A$2:$A$74,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IFERROR(INDEX('5_Exp_total_by_BEA'!$B$2:$B$74, MATCH($A39, '5_Exp_total_by_BEA'!$A$2:$A$74,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IFERROR(INDEX('5_Exp_total_by_BEA'!$B$2:$B$74, MATCH($A40, '5_Exp_total_by_BEA'!$A$2:$A$74,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IFERROR(INDEX('5_Exp_total_by_BEA'!$B$2:$B$74, MATCH($A41, '5_Exp_total_by_BEA'!$A$2:$A$74,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IFERROR(INDEX('5_Exp_total_by_BEA'!$B$2:$B$74, MATCH($A42, '5_Exp_total_by_BEA'!$A$2:$A$74,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IFERROR(INDEX('5_Exp_total_by_BEA'!$B$2:$B$74, MATCH($A43, '5_Exp_total_by_BEA'!$A$2:$A$74,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IFERROR(INDEX('5_Exp_total_by_BEA'!$B$2:$B$74, MATCH($A44, '5_Exp_total_by_BEA'!$A$2:$A$74,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IFERROR(INDEX('5_Exp_total_by_BEA'!$B$2:$B$74, MATCH($A45, '5_Exp_total_by_BEA'!$A$2:$A$74,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IFERROR(INDEX('5_Exp_total_by_BEA'!$B$2:$B$74, MATCH($A46, '5_Exp_total_by_BEA'!$A$2:$A$74,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IFERROR(INDEX('5_Exp_total_by_BEA'!$B$2:$B$74, MATCH($A47, '5_Exp_total_by_BEA'!$A$2:$A$74,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IFERROR(INDEX('5_Exp_total_by_BEA'!$B$2:$B$74, MATCH($A48, '5_Exp_total_by_BEA'!$A$2:$A$74,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IFERROR(INDEX('5_Exp_total_by_BEA'!$B$2:$B$74, MATCH($A49, '5_Exp_total_by_BEA'!$A$2:$A$74,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IFERROR(INDEX('5_Exp_total_by_BEA'!$B$2:$B$74, MATCH($A50, '5_Exp_total_by_BEA'!$A$2:$A$74,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IFERROR(INDEX('5_Exp_total_by_BEA'!$B$2:$B$74, MATCH($A51, '5_Exp_total_by_BEA'!$A$2:$A$74,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IFERROR(INDEX('5_Exp_total_by_BEA'!$B$2:$B$74, MATCH($A52, '5_Exp_total_by_BEA'!$A$2:$A$74,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IFERROR(INDEX('5_Exp_total_by_BEA'!$B$2:$B$74, MATCH($A53, '5_Exp_total_by_BEA'!$A$2:$A$74,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IFERROR(INDEX('5_Exp_total_by_BEA'!$B$2:$B$74, MATCH($A54, '5_Exp_total_by_BEA'!$A$2:$A$74,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IFERROR(INDEX('5_Exp_total_by_BEA'!$B$2:$B$74, MATCH($A55, '5_Exp_total_by_BEA'!$A$2:$A$74,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IFERROR(INDEX('5_Exp_total_by_BEA'!$B$2:$B$74, MATCH($A56, '5_Exp_total_by_BEA'!$A$2:$A$74,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IFERROR(INDEX('5_Exp_total_by_BEA'!$B$2:$B$74, MATCH($A57, '5_Exp_total_by_BEA'!$A$2:$A$74,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IFERROR(INDEX('5_Exp_total_by_BEA'!$B$2:$B$74, MATCH($A58, '5_Exp_total_by_BEA'!$A$2:$A$74,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IFERROR(INDEX('5_Exp_total_by_BEA'!$B$2:$B$74, MATCH($A59, '5_Exp_total_by_BEA'!$A$2:$A$74,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IFERROR(INDEX('5_Exp_total_by_BEA'!$B$2:$B$74, MATCH($A60, '5_Exp_total_by_BEA'!$A$2:$A$74,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IFERROR(INDEX('5_Exp_total_by_BEA'!$B$2:$B$74, MATCH($A61, '5_Exp_total_by_BEA'!$A$2:$A$74,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IFERROR(INDEX('5_Exp_total_by_BEA'!$B$2:$B$74, MATCH($A62, '5_Exp_total_by_BEA'!$A$2:$A$74,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IFERROR(INDEX('5_Exp_total_by_BEA'!$B$2:$B$74, MATCH($A63, '5_Exp_total_by_BEA'!$A$2:$A$74,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IFERROR(INDEX('5_Exp_total_by_BEA'!$B$2:$B$74, MATCH($A64, '5_Exp_total_by_BEA'!$A$2:$A$74,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IFERROR(INDEX('5_Exp_total_by_BEA'!$B$2:$B$74, MATCH($A65, '5_Exp_total_by_BEA'!$A$2:$A$74,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IFERROR(INDEX('5_Exp_total_by_BEA'!$B$2:$B$74, MATCH($A66, '5_Exp_total_by_BEA'!$A$2:$A$74,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IFERROR(INDEX('5_Exp_total_by_BEA'!$B$2:$B$74, MATCH($A67, '5_Exp_total_by_BEA'!$A$2:$A$74,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IFERROR(INDEX('5_Exp_total_by_BEA'!$B$2:$B$74, MATCH($A68, '5_Exp_total_by_BEA'!$A$2:$A$74,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IFERROR(INDEX('5_Exp_total_by_BEA'!$B$2:$B$74, MATCH($A69, '5_Exp_total_by_BEA'!$A$2:$A$74,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IFERROR(INDEX('5_Exp_total_by_BEA'!$B$2:$B$74, MATCH($A70, '5_Exp_total_by_BEA'!$A$2:$A$74,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IFERROR(INDEX('5_Exp_total_by_BEA'!$B$2:$B$74, MATCH($A71, '5_Exp_total_by_BEA'!$A$2:$A$74,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IFERROR(INDEX('5_Exp_total_by_BEA'!$B$2:$B$74, MATCH($A72, '5_Exp_total_by_BEA'!$A$2:$A$74,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IFERROR(INDEX('5_Exp_total_by_BEA'!$B$2:$B$74, MATCH($A73, '5_Exp_total_by_BEA'!$A$2:$A$74,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IFERROR(INDEX('5_Exp_total_by_BEA'!$B$2:$B$74, MATCH($A74, '5_Exp_total_by_BEA'!$A$2:$A$74,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IFERROR(INDEX('5_Exp_total_by_BEA'!$B$2:$B$74, MATCH($A75, '5_Exp_total_by_BEA'!$A$2:$A$74,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IFERROR(INDEX('5_Exp_total_by_BEA'!$B$2:$B$74, MATCH($A76, '5_Exp_total_by_BEA'!$A$2:$A$74,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IFERROR(INDEX('5_Exp_total_by_BEA'!$B$2:$B$74, MATCH($A77, '5_Exp_total_by_BEA'!$A$2:$A$74,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IFERROR(INDEX('5_Exp_total_by_BEA'!$B$2:$B$74, MATCH($A78, '5_Exp_total_by_BEA'!$A$2:$A$74,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IFERROR(INDEX('5_Exp_total_by_BEA'!$B$2:$B$74, MATCH($A79, '5_Exp_total_by_BEA'!$A$2:$A$74,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IFERROR(INDEX('5_Exp_total_by_BEA'!$B$2:$B$74, MATCH($A80, '5_Exp_total_by_BEA'!$A$2:$A$74,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IFERROR(INDEX('5_Exp_total_by_BEA'!$B$2:$B$74, MATCH($A81, '5_Exp_total_by_BEA'!$A$2:$A$74, 0)), 0)</f>
      </c>
      <c r="E81" t="str">
        <f>C81*D81</f>
      </c>
    </row>
    <row r="83">
      <c r="A83" t="s">
        <v>592</v>
      </c>
    </row>
    <row r="84">
      <c r="A84" t="s">
        <v>334</v>
      </c>
      <c r="B84" t="s">
        <v>590</v>
      </c>
      <c r="C84" t="s">
        <v>593</v>
      </c>
    </row>
    <row r="85">
      <c r="A85" t="s">
        <v>340</v>
      </c>
      <c r="B85" t="str">
        <f>SUMIFS('8_Calc_Exp_ISIC'!$E$3:$E$81, '8_Calc_Exp_ISIC'!$B$3:$B$81, $A85)</f>
      </c>
      <c r="C85" t="str">
        <f>B85/Keys!$C$2</f>
      </c>
    </row>
    <row r="86">
      <c r="A86" t="s">
        <v>482</v>
      </c>
      <c r="B86" t="str">
        <f>SUMIFS('8_Calc_Exp_ISIC'!$E$3:$E$81, '8_Calc_Exp_ISIC'!$B$3:$B$81, $A86)</f>
      </c>
      <c r="C86" t="str">
        <f>B86/Keys!$C$2</f>
      </c>
    </row>
    <row r="87">
      <c r="A87" t="s">
        <v>344</v>
      </c>
      <c r="B87" t="str">
        <f>SUMIFS('8_Calc_Exp_ISIC'!$E$3:$E$81, '8_Calc_Exp_ISIC'!$B$3:$B$81, $A87)</f>
      </c>
      <c r="C87" t="str">
        <f>B87/Keys!$C$2</f>
      </c>
    </row>
    <row r="88">
      <c r="A88" t="s">
        <v>485</v>
      </c>
      <c r="B88" t="str">
        <f>SUMIFS('8_Calc_Exp_ISIC'!$E$3:$E$81, '8_Calc_Exp_ISIC'!$B$3:$B$81, $A88)</f>
      </c>
      <c r="C88" t="str">
        <f>B88/Keys!$C$2</f>
      </c>
    </row>
    <row r="89">
      <c r="A89" t="s">
        <v>347</v>
      </c>
      <c r="B89" t="str">
        <f>SUMIFS('8_Calc_Exp_ISIC'!$E$3:$E$81, '8_Calc_Exp_ISIC'!$B$3:$B$81, $A89)</f>
      </c>
      <c r="C89" t="str">
        <f>B89/Keys!$C$2</f>
      </c>
    </row>
    <row r="90">
      <c r="A90" t="s">
        <v>362</v>
      </c>
      <c r="B90" t="str">
        <f>SUMIFS('8_Calc_Exp_ISIC'!$E$3:$E$81, '8_Calc_Exp_ISIC'!$B$3:$B$81, $A90)</f>
      </c>
      <c r="C90" t="str">
        <f>B90/Keys!$C$2</f>
      </c>
    </row>
    <row r="91">
      <c r="A91" t="s">
        <v>365</v>
      </c>
      <c r="B91" t="str">
        <f>SUMIFS('8_Calc_Exp_ISIC'!$E$3:$E$81, '8_Calc_Exp_ISIC'!$B$3:$B$81, $A91)</f>
      </c>
      <c r="C91" t="str">
        <f>B91/Keys!$C$2</f>
      </c>
    </row>
    <row r="92">
      <c r="A92" t="s">
        <v>369</v>
      </c>
      <c r="B92" t="str">
        <f>SUMIFS('8_Calc_Exp_ISIC'!$E$3:$E$81, '8_Calc_Exp_ISIC'!$B$3:$B$81, $A92)</f>
      </c>
      <c r="C92" t="str">
        <f>B92/Keys!$C$2</f>
      </c>
    </row>
    <row r="93">
      <c r="A93" t="s">
        <v>372</v>
      </c>
      <c r="B93" t="str">
        <f>SUMIFS('8_Calc_Exp_ISIC'!$E$3:$E$81, '8_Calc_Exp_ISIC'!$B$3:$B$81, $A93)</f>
      </c>
      <c r="C93" t="str">
        <f>B93/Keys!$C$2</f>
      </c>
    </row>
    <row r="94">
      <c r="A94" t="s">
        <v>376</v>
      </c>
      <c r="B94" t="str">
        <f>SUMIFS('8_Calc_Exp_ISIC'!$E$3:$E$81, '8_Calc_Exp_ISIC'!$B$3:$B$81, $A94)</f>
      </c>
      <c r="C94" t="str">
        <f>B94/Keys!$C$2</f>
      </c>
    </row>
    <row r="95">
      <c r="A95" t="s">
        <v>498</v>
      </c>
      <c r="B95" t="str">
        <f>SUMIFS('8_Calc_Exp_ISIC'!$E$3:$E$81, '8_Calc_Exp_ISIC'!$B$3:$B$81, $A95)</f>
      </c>
      <c r="C95" t="str">
        <f>B95/Keys!$C$2</f>
      </c>
    </row>
    <row r="96">
      <c r="A96" t="s">
        <v>501</v>
      </c>
      <c r="B96" t="str">
        <f>SUMIFS('8_Calc_Exp_ISIC'!$E$3:$E$81, '8_Calc_Exp_ISIC'!$B$3:$B$81, $A96)</f>
      </c>
      <c r="C96" t="str">
        <f>B96/Keys!$C$2</f>
      </c>
    </row>
    <row r="97">
      <c r="A97" t="s">
        <v>126</v>
      </c>
      <c r="B97" t="str">
        <f>SUMIFS('8_Calc_Exp_ISIC'!$E$3:$E$81, '8_Calc_Exp_ISIC'!$B$3:$B$81, $A97)</f>
      </c>
      <c r="C97" t="str">
        <f>B97/Keys!$C$2</f>
      </c>
    </row>
    <row r="98">
      <c r="A98" t="s">
        <v>488</v>
      </c>
      <c r="B98" t="str">
        <f>SUMIFS('8_Calc_Exp_ISIC'!$E$3:$E$81, '8_Calc_Exp_ISIC'!$B$3:$B$81, $A98)</f>
      </c>
      <c r="C98" t="str">
        <f>B98/Keys!$C$2</f>
      </c>
    </row>
    <row r="99">
      <c r="A99" t="s">
        <v>491</v>
      </c>
      <c r="B99" t="str">
        <f>SUMIFS('8_Calc_Exp_ISIC'!$E$3:$E$81, '8_Calc_Exp_ISIC'!$B$3:$B$81, $A99)</f>
      </c>
      <c r="C99" t="str">
        <f>B99/Keys!$C$2</f>
      </c>
    </row>
    <row r="100">
      <c r="A100" t="s">
        <v>379</v>
      </c>
      <c r="B100" t="str">
        <f>SUMIFS('8_Calc_Exp_ISIC'!$E$3:$E$81, '8_Calc_Exp_ISIC'!$B$3:$B$81, $A100)</f>
      </c>
      <c r="C100" t="str">
        <f>B100/Keys!$C$2</f>
      </c>
    </row>
    <row r="101">
      <c r="A101" t="s">
        <v>495</v>
      </c>
      <c r="B101" t="str">
        <f>SUMIFS('8_Calc_Exp_ISIC'!$E$3:$E$81, '8_Calc_Exp_ISIC'!$B$3:$B$81, $A101)</f>
      </c>
      <c r="C101" t="str">
        <f>B101/Keys!$C$2</f>
      </c>
    </row>
    <row r="102">
      <c r="A102" t="s">
        <v>385</v>
      </c>
      <c r="B102" t="str">
        <f>SUMIFS('8_Calc_Exp_ISIC'!$E$3:$E$81, '8_Calc_Exp_ISIC'!$B$3:$B$81, $A102)</f>
      </c>
      <c r="C102" t="str">
        <f>B102/Keys!$C$2</f>
      </c>
    </row>
    <row r="103">
      <c r="A103" t="s">
        <v>390</v>
      </c>
      <c r="B103" t="str">
        <f>SUMIFS('8_Calc_Exp_ISIC'!$E$3:$E$81, '8_Calc_Exp_ISIC'!$B$3:$B$81, $A103)</f>
      </c>
      <c r="C103" t="str">
        <f>B103/Keys!$C$2</f>
      </c>
    </row>
    <row r="104">
      <c r="A104" t="s">
        <v>393</v>
      </c>
      <c r="B104" t="str">
        <f>SUMIFS('8_Calc_Exp_ISIC'!$E$3:$E$81, '8_Calc_Exp_ISIC'!$B$3:$B$81, $A104)</f>
      </c>
      <c r="C104" t="str">
        <f>B104/Keys!$C$2</f>
      </c>
    </row>
    <row r="105">
      <c r="A105" t="s">
        <v>387</v>
      </c>
      <c r="B105" t="str">
        <f>SUMIFS('8_Calc_Exp_ISIC'!$E$3:$E$81, '8_Calc_Exp_ISIC'!$B$3:$B$81, $A105)</f>
      </c>
      <c r="C105" t="str">
        <f>B105/Keys!$C$2</f>
      </c>
    </row>
    <row r="106">
      <c r="A106" t="s">
        <v>396</v>
      </c>
      <c r="B106" t="str">
        <f>SUMIFS('8_Calc_Exp_ISIC'!$E$3:$E$81, '8_Calc_Exp_ISIC'!$B$3:$B$81, $A106)</f>
      </c>
      <c r="C106" t="str">
        <f>B106/Keys!$C$2</f>
      </c>
    </row>
    <row r="107">
      <c r="A107" t="s">
        <v>399</v>
      </c>
      <c r="B107" t="str">
        <f>SUMIFS('8_Calc_Exp_ISIC'!$E$3:$E$81, '8_Calc_Exp_ISIC'!$B$3:$B$81, $A107)</f>
      </c>
      <c r="C107" t="str">
        <f>B107/Keys!$C$2</f>
      </c>
    </row>
    <row r="108">
      <c r="A108" t="s">
        <v>402</v>
      </c>
      <c r="B108" t="str">
        <f>SUMIFS('8_Calc_Exp_ISIC'!$E$3:$E$81, '8_Calc_Exp_ISIC'!$B$3:$B$81, $A108)</f>
      </c>
      <c r="C108" t="str">
        <f>B108/Keys!$C$2</f>
      </c>
    </row>
    <row r="109">
      <c r="A109" t="s">
        <v>350</v>
      </c>
      <c r="B109" t="str">
        <f>SUMIFS('8_Calc_Exp_ISIC'!$E$3:$E$81, '8_Calc_Exp_ISIC'!$B$3:$B$81, $A109)</f>
      </c>
      <c r="C109" t="str">
        <f>B109/Keys!$C$2</f>
      </c>
    </row>
    <row r="110">
      <c r="A110" t="s">
        <v>353</v>
      </c>
      <c r="B110" t="str">
        <f>SUMIFS('8_Calc_Exp_ISIC'!$E$3:$E$81, '8_Calc_Exp_ISIC'!$B$3:$B$81, $A110)</f>
      </c>
      <c r="C110" t="str">
        <f>B110/Keys!$C$2</f>
      </c>
    </row>
    <row r="111">
      <c r="A111" t="s">
        <v>356</v>
      </c>
      <c r="B111" t="str">
        <f>SUMIFS('8_Calc_Exp_ISIC'!$E$3:$E$81, '8_Calc_Exp_ISIC'!$B$3:$B$81, $A111)</f>
      </c>
      <c r="C111" t="str">
        <f>B111/Keys!$C$2</f>
      </c>
    </row>
    <row r="112">
      <c r="A112" t="s">
        <v>360</v>
      </c>
      <c r="B112" t="str">
        <f>SUMIFS('8_Calc_Exp_ISIC'!$E$3:$E$81, '8_Calc_Exp_ISIC'!$B$3:$B$81, $A112)</f>
      </c>
      <c r="C112" t="str">
        <f>B112/Keys!$C$2</f>
      </c>
    </row>
    <row r="113">
      <c r="A113" t="s">
        <v>406</v>
      </c>
      <c r="B113" t="str">
        <f>SUMIFS('8_Calc_Exp_ISIC'!$E$3:$E$81, '8_Calc_Exp_ISIC'!$B$3:$B$81, $A113)</f>
      </c>
      <c r="C113" t="str">
        <f>B113/Keys!$C$2</f>
      </c>
    </row>
    <row r="114">
      <c r="A114" t="s">
        <v>413</v>
      </c>
      <c r="B114" t="str">
        <f>SUMIFS('8_Calc_Exp_ISIC'!$E$3:$E$81, '8_Calc_Exp_ISIC'!$B$3:$B$81, $A114)</f>
      </c>
      <c r="C114" t="str">
        <f>B114/Keys!$C$2</f>
      </c>
    </row>
    <row r="115">
      <c r="A115" t="s">
        <v>470</v>
      </c>
      <c r="B115" t="str">
        <f>SUMIFS('8_Calc_Exp_ISIC'!$E$3:$E$81, '8_Calc_Exp_ISIC'!$B$3:$B$81, $A115)</f>
      </c>
      <c r="C115" t="str">
        <f>B115/Keys!$C$2</f>
      </c>
    </row>
    <row r="116">
      <c r="A116" t="s">
        <v>425</v>
      </c>
      <c r="B116" t="str">
        <f>SUMIFS('8_Calc_Exp_ISIC'!$E$3:$E$81, '8_Calc_Exp_ISIC'!$B$3:$B$81, $A116)</f>
      </c>
      <c r="C116" t="str">
        <f>B116/Keys!$C$2</f>
      </c>
    </row>
    <row r="117">
      <c r="A117" t="s">
        <v>177</v>
      </c>
      <c r="B117" t="str">
        <f>SUMIFS('8_Calc_Exp_ISIC'!$E$3:$E$81, '8_Calc_Exp_ISIC'!$B$3:$B$81, $A117)</f>
      </c>
      <c r="C117" t="str">
        <f>B117/Keys!$C$2</f>
      </c>
    </row>
    <row r="118">
      <c r="A118" t="s">
        <v>432</v>
      </c>
      <c r="B118" t="str">
        <f>SUMIFS('8_Calc_Exp_ISIC'!$E$3:$E$81, '8_Calc_Exp_ISIC'!$B$3:$B$81, $A118)</f>
      </c>
      <c r="C118" t="str">
        <f>B118/Keys!$C$2</f>
      </c>
    </row>
    <row r="119">
      <c r="A119" t="s">
        <v>435</v>
      </c>
      <c r="B119" t="str">
        <f>SUMIFS('8_Calc_Exp_ISIC'!$E$3:$E$81, '8_Calc_Exp_ISIC'!$B$3:$B$81, $A119)</f>
      </c>
      <c r="C119" t="str">
        <f>B119/Keys!$C$2</f>
      </c>
    </row>
    <row r="120">
      <c r="A120" t="s">
        <v>441</v>
      </c>
      <c r="B120" t="str">
        <f>SUMIFS('8_Calc_Exp_ISIC'!$E$3:$E$81, '8_Calc_Exp_ISIC'!$B$3:$B$81, $A120)</f>
      </c>
      <c r="C120" t="str">
        <f>B120/Keys!$C$2</f>
      </c>
    </row>
    <row r="121">
      <c r="A121" t="s">
        <v>445</v>
      </c>
      <c r="B121" t="str">
        <f>SUMIFS('8_Calc_Exp_ISIC'!$E$3:$E$81, '8_Calc_Exp_ISIC'!$B$3:$B$81, $A121)</f>
      </c>
      <c r="C121" t="str">
        <f>B121/Keys!$C$2</f>
      </c>
    </row>
    <row r="122">
      <c r="A122" t="s">
        <v>475</v>
      </c>
      <c r="B122" t="str">
        <f>SUMIFS('8_Calc_Exp_ISIC'!$E$3:$E$81, '8_Calc_Exp_ISIC'!$B$3:$B$81, $A122)</f>
      </c>
      <c r="C122" t="str">
        <f>B122/Keys!$C$2</f>
      </c>
    </row>
    <row r="123">
      <c r="A123" t="s">
        <v>457</v>
      </c>
      <c r="B123" t="str">
        <f>SUMIFS('8_Calc_Exp_ISIC'!$E$3:$E$81, '8_Calc_Exp_ISIC'!$B$3:$B$81, $A123)</f>
      </c>
      <c r="C123" t="str">
        <f>B123/Keys!$C$2</f>
      </c>
    </row>
    <row r="124">
      <c r="A124" t="s">
        <v>460</v>
      </c>
      <c r="B124" t="str">
        <f>SUMIFS('8_Calc_Exp_ISIC'!$E$3:$E$81, '8_Calc_Exp_ISIC'!$B$3:$B$81, $A124)</f>
      </c>
      <c r="C124" t="str">
        <f>B124/Keys!$C$2</f>
      </c>
    </row>
    <row r="125">
      <c r="A125" t="s">
        <v>466</v>
      </c>
      <c r="B125" t="str">
        <f>SUMIFS('8_Calc_Exp_ISIC'!$E$3:$E$81, '8_Calc_Exp_ISIC'!$B$3:$B$81, $A125)</f>
      </c>
      <c r="C125" t="str">
        <f>B125/Keys!$C$2</f>
      </c>
    </row>
    <row r="126">
      <c r="A126" t="s">
        <v>583</v>
      </c>
      <c r="B126" t="str">
        <f>SUMIFS('8_Calc_Exp_ISIC'!$E$3:$E$81, '8_Calc_Exp_ISIC'!$B$3:$B$81,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334</v>
      </c>
      <c r="B1" t="s">
        <v>594</v>
      </c>
    </row>
    <row r="2">
      <c r="A2" t="s">
        <v>340</v>
      </c>
      <c r="B2" t="n">
        <v>1597401703.71302</v>
      </c>
    </row>
    <row r="3">
      <c r="A3" t="s">
        <v>482</v>
      </c>
      <c r="B3" t="n">
        <v>0</v>
      </c>
    </row>
    <row r="4">
      <c r="A4" t="s">
        <v>344</v>
      </c>
      <c r="B4" t="n">
        <v>0</v>
      </c>
    </row>
    <row r="5">
      <c r="A5" t="s">
        <v>485</v>
      </c>
      <c r="B5" t="n">
        <v>68010352.1981016</v>
      </c>
    </row>
    <row r="6">
      <c r="A6" t="s">
        <v>347</v>
      </c>
      <c r="B6" t="n">
        <v>1063682.51703193</v>
      </c>
    </row>
    <row r="7">
      <c r="A7" t="s">
        <v>362</v>
      </c>
      <c r="B7" t="n">
        <v>3061063855.93343</v>
      </c>
    </row>
    <row r="8">
      <c r="A8" t="s">
        <v>365</v>
      </c>
      <c r="B8" t="n">
        <v>449290334.492304</v>
      </c>
    </row>
    <row r="9">
      <c r="A9" t="s">
        <v>369</v>
      </c>
      <c r="B9" t="n">
        <v>850331278.711853</v>
      </c>
    </row>
    <row r="10">
      <c r="A10" t="s">
        <v>372</v>
      </c>
      <c r="B10" t="n">
        <v>2408562700.96305</v>
      </c>
    </row>
    <row r="11">
      <c r="A11" t="s">
        <v>376</v>
      </c>
      <c r="B11" t="n">
        <v>365461702.349955</v>
      </c>
    </row>
    <row r="12">
      <c r="A12" t="s">
        <v>498</v>
      </c>
      <c r="B12" t="n">
        <v>1162651320.65651</v>
      </c>
    </row>
    <row r="13">
      <c r="A13" t="s">
        <v>501</v>
      </c>
      <c r="B13" t="n">
        <v>387550440.218837</v>
      </c>
    </row>
    <row r="14">
      <c r="A14" t="s">
        <v>126</v>
      </c>
      <c r="B14" t="n">
        <v>708015515.447638</v>
      </c>
    </row>
    <row r="15">
      <c r="A15" t="s">
        <v>488</v>
      </c>
      <c r="B15" t="n">
        <v>63656887.719199</v>
      </c>
    </row>
    <row r="16">
      <c r="A16" t="s">
        <v>491</v>
      </c>
      <c r="B16" t="n">
        <v>190970663.157597</v>
      </c>
    </row>
    <row r="17">
      <c r="A17" t="s">
        <v>379</v>
      </c>
      <c r="B17" t="n">
        <v>47241515.9557206</v>
      </c>
    </row>
    <row r="18">
      <c r="A18" t="s">
        <v>495</v>
      </c>
      <c r="B18" t="n">
        <v>48615125.5595203</v>
      </c>
    </row>
    <row r="19">
      <c r="A19" t="s">
        <v>385</v>
      </c>
      <c r="B19" t="n">
        <v>1171759856.89031</v>
      </c>
    </row>
    <row r="20">
      <c r="A20" t="s">
        <v>390</v>
      </c>
      <c r="B20" t="n">
        <v>576010024.514937</v>
      </c>
    </row>
    <row r="21">
      <c r="A21" t="s">
        <v>393</v>
      </c>
      <c r="B21" t="n">
        <v>69417972.1960421</v>
      </c>
    </row>
    <row r="22">
      <c r="A22" t="s">
        <v>387</v>
      </c>
      <c r="B22" t="n">
        <v>600392836.531071</v>
      </c>
    </row>
    <row r="23">
      <c r="A23" t="s">
        <v>396</v>
      </c>
      <c r="B23" t="n">
        <v>336218254.147574</v>
      </c>
    </row>
    <row r="24">
      <c r="A24" t="s">
        <v>399</v>
      </c>
      <c r="B24" t="n">
        <v>1950312337.59218</v>
      </c>
    </row>
    <row r="25">
      <c r="A25" t="s">
        <v>402</v>
      </c>
      <c r="B25" t="n">
        <v>465386167.328249</v>
      </c>
    </row>
    <row r="26">
      <c r="A26" t="s">
        <v>350</v>
      </c>
      <c r="B26" t="n">
        <v>1021528090.1209</v>
      </c>
    </row>
    <row r="27">
      <c r="A27" t="s">
        <v>353</v>
      </c>
      <c r="B27" t="n">
        <v>314779301.207351</v>
      </c>
    </row>
    <row r="28">
      <c r="A28" t="s">
        <v>356</v>
      </c>
      <c r="B28" t="n">
        <v>576124174.816422</v>
      </c>
    </row>
    <row r="29">
      <c r="A29" t="s">
        <v>360</v>
      </c>
      <c r="B29" t="n">
        <v>3995063664.12253</v>
      </c>
    </row>
    <row r="30">
      <c r="A30" t="s">
        <v>406</v>
      </c>
      <c r="B30" t="n">
        <v>13821625255.5459</v>
      </c>
    </row>
    <row r="31">
      <c r="A31" t="s">
        <v>413</v>
      </c>
      <c r="B31" t="n">
        <v>2624013190.55981</v>
      </c>
    </row>
    <row r="32">
      <c r="A32" t="s">
        <v>470</v>
      </c>
      <c r="B32" t="n">
        <v>4985087919.00594</v>
      </c>
    </row>
    <row r="33">
      <c r="A33" t="s">
        <v>425</v>
      </c>
      <c r="B33" t="n">
        <v>825085647.986567</v>
      </c>
    </row>
    <row r="34">
      <c r="A34" t="s">
        <v>177</v>
      </c>
      <c r="B34" t="n">
        <v>856729741.176458</v>
      </c>
    </row>
    <row r="35">
      <c r="A35" t="s">
        <v>432</v>
      </c>
      <c r="B35" t="n">
        <v>1324678150.37959</v>
      </c>
    </row>
    <row r="36">
      <c r="A36" t="s">
        <v>435</v>
      </c>
      <c r="B36" t="n">
        <v>7424739628.81968</v>
      </c>
    </row>
    <row r="37">
      <c r="A37" t="s">
        <v>441</v>
      </c>
      <c r="B37" t="n">
        <v>12985054796.6826</v>
      </c>
    </row>
    <row r="38">
      <c r="A38" t="s">
        <v>445</v>
      </c>
      <c r="B38" t="n">
        <v>9719888021.59248</v>
      </c>
    </row>
    <row r="39">
      <c r="A39" t="s">
        <v>475</v>
      </c>
      <c r="B39" t="n">
        <v>11682444485.8682</v>
      </c>
    </row>
    <row r="40">
      <c r="A40" t="s">
        <v>457</v>
      </c>
      <c r="B40" t="n">
        <v>1470215879.27097</v>
      </c>
    </row>
    <row r="41">
      <c r="A41" t="s">
        <v>460</v>
      </c>
      <c r="B41" t="n">
        <v>11939771324.1511</v>
      </c>
    </row>
    <row r="42">
      <c r="A42" t="s">
        <v>466</v>
      </c>
      <c r="B42" t="n">
        <v>3380971535.6554</v>
      </c>
    </row>
    <row r="43">
      <c r="A43" t="s">
        <v>583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595</v>
      </c>
      <c r="C1" t="s">
        <v>338</v>
      </c>
    </row>
    <row r="2">
      <c r="A2" t="s">
        <v>482</v>
      </c>
      <c r="B2" t="n">
        <v>0</v>
      </c>
      <c r="C2" t="s">
        <v>596</v>
      </c>
    </row>
    <row r="3">
      <c r="A3" t="s">
        <v>344</v>
      </c>
      <c r="B3" t="n">
        <v>0</v>
      </c>
      <c r="C3" t="s">
        <v>597</v>
      </c>
    </row>
    <row r="4">
      <c r="A4" t="s">
        <v>350</v>
      </c>
      <c r="B4" t="n">
        <v>0.652233208319127</v>
      </c>
      <c r="C4" t="s">
        <v>598</v>
      </c>
    </row>
    <row r="5">
      <c r="A5" t="s">
        <v>356</v>
      </c>
      <c r="B5" t="n">
        <v>1</v>
      </c>
      <c r="C5" t="s">
        <v>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600</v>
      </c>
      <c r="C1" t="s">
        <v>338</v>
      </c>
    </row>
    <row r="2">
      <c r="A2" t="s">
        <v>356</v>
      </c>
      <c r="B2" t="n">
        <v>0</v>
      </c>
      <c r="C2" t="s">
        <v>601</v>
      </c>
    </row>
    <row r="3">
      <c r="A3" t="s">
        <v>350</v>
      </c>
      <c r="B3" t="n">
        <v>0</v>
      </c>
      <c r="C3" t="s">
        <v>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603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IFERROR(INDEX('6_Calc_DCS_num_ISIC'!$C$85:$C$126, MATCH($A3, '6_Calc_DCS_num_ISIC'!$A$85:$A$126, 0)), 0)</f>
      </c>
      <c r="C3" t="str">
        <f>IFERROR(INDEX('7_Calc_DCS_den_ISIC'!$C$85:$C$126, MATCH($A3, '7_Calc_DCS_den_ISIC'!$A$85:$A$126, 0)), 0)</f>
      </c>
      <c r="D3" t="str">
        <f>B3/MAX(C3, Keys!$C$4)</f>
      </c>
      <c r="E3" t="str">
        <f>MIN(1, MAX(0, D3))</f>
      </c>
      <c r="F3" t="str">
        <f>IFERROR(INDEX('9b_DCS_overrides'!$B$2:$B$5, MATCH($A3, '9b_DCS_overrides'!$A$2:$A$5, 0)), E3)</f>
      </c>
    </row>
    <row r="4">
      <c r="A4" t="s">
        <v>482</v>
      </c>
      <c r="B4" t="str">
        <f>IFERROR(INDEX('6_Calc_DCS_num_ISIC'!$C$85:$C$126, MATCH($A4, '6_Calc_DCS_num_ISIC'!$A$85:$A$126, 0)), 0)</f>
      </c>
      <c r="C4" t="str">
        <f>IFERROR(INDEX('7_Calc_DCS_den_ISIC'!$C$85:$C$126, MATCH($A4, '7_Calc_DCS_den_ISIC'!$A$85:$A$126, 0)), 0)</f>
      </c>
      <c r="D4" t="str">
        <f>B4/MAX(C4, Keys!$C$4)</f>
      </c>
      <c r="E4" t="str">
        <f>MIN(1, MAX(0, D4))</f>
      </c>
      <c r="F4" t="str">
        <f>IFERROR(INDEX('9b_DCS_overrides'!$B$2:$B$5, MATCH($A4, '9b_DCS_overrides'!$A$2:$A$5, 0)), E4)</f>
      </c>
    </row>
    <row r="5">
      <c r="A5" t="s">
        <v>344</v>
      </c>
      <c r="B5" t="str">
        <f>IFERROR(INDEX('6_Calc_DCS_num_ISIC'!$C$85:$C$126, MATCH($A5, '6_Calc_DCS_num_ISIC'!$A$85:$A$126, 0)), 0)</f>
      </c>
      <c r="C5" t="str">
        <f>IFERROR(INDEX('7_Calc_DCS_den_ISIC'!$C$85:$C$126, MATCH($A5, '7_Calc_DCS_den_ISIC'!$A$85:$A$126, 0)), 0)</f>
      </c>
      <c r="D5" t="str">
        <f>B5/MAX(C5, Keys!$C$4)</f>
      </c>
      <c r="E5" t="str">
        <f>MIN(1, MAX(0, D5))</f>
      </c>
      <c r="F5" t="str">
        <f>IFERROR(INDEX('9b_DCS_overrides'!$B$2:$B$5, MATCH($A5, '9b_DCS_overrides'!$A$2:$A$5, 0)), E5)</f>
      </c>
    </row>
    <row r="6">
      <c r="A6" t="s">
        <v>485</v>
      </c>
      <c r="B6" t="str">
        <f>IFERROR(INDEX('6_Calc_DCS_num_ISIC'!$C$85:$C$126, MATCH($A6, '6_Calc_DCS_num_ISIC'!$A$85:$A$126, 0)), 0)</f>
      </c>
      <c r="C6" t="str">
        <f>IFERROR(INDEX('7_Calc_DCS_den_ISIC'!$C$85:$C$126, MATCH($A6, '7_Calc_DCS_den_ISIC'!$A$85:$A$126, 0)), 0)</f>
      </c>
      <c r="D6" t="str">
        <f>B6/MAX(C6, Keys!$C$4)</f>
      </c>
      <c r="E6" t="str">
        <f>MIN(1, MAX(0, D6))</f>
      </c>
      <c r="F6" t="str">
        <f>IFERROR(INDEX('9b_DCS_overrides'!$B$2:$B$5, MATCH($A6, '9b_DCS_overrides'!$A$2:$A$5, 0)), E6)</f>
      </c>
    </row>
    <row r="7">
      <c r="A7" t="s">
        <v>347</v>
      </c>
      <c r="B7" t="str">
        <f>IFERROR(INDEX('6_Calc_DCS_num_ISIC'!$C$85:$C$126, MATCH($A7, '6_Calc_DCS_num_ISIC'!$A$85:$A$126, 0)), 0)</f>
      </c>
      <c r="C7" t="str">
        <f>IFERROR(INDEX('7_Calc_DCS_den_ISIC'!$C$85:$C$126, MATCH($A7, '7_Calc_DCS_den_ISIC'!$A$85:$A$126, 0)), 0)</f>
      </c>
      <c r="D7" t="str">
        <f>B7/MAX(C7, Keys!$C$4)</f>
      </c>
      <c r="E7" t="str">
        <f>MIN(1, MAX(0, D7))</f>
      </c>
      <c r="F7" t="str">
        <f>IFERROR(INDEX('9b_DCS_overrides'!$B$2:$B$5, MATCH($A7, '9b_DCS_overrides'!$A$2:$A$5, 0)), E7)</f>
      </c>
    </row>
    <row r="8">
      <c r="A8" t="s">
        <v>362</v>
      </c>
      <c r="B8" t="str">
        <f>IFERROR(INDEX('6_Calc_DCS_num_ISIC'!$C$85:$C$126, MATCH($A8, '6_Calc_DCS_num_ISIC'!$A$85:$A$126, 0)), 0)</f>
      </c>
      <c r="C8" t="str">
        <f>IFERROR(INDEX('7_Calc_DCS_den_ISIC'!$C$85:$C$126, MATCH($A8, '7_Calc_DCS_den_ISIC'!$A$85:$A$126, 0)), 0)</f>
      </c>
      <c r="D8" t="str">
        <f>B8/MAX(C8, Keys!$C$4)</f>
      </c>
      <c r="E8" t="str">
        <f>MIN(1, MAX(0, D8))</f>
      </c>
      <c r="F8" t="str">
        <f>IFERROR(INDEX('9b_DCS_overrides'!$B$2:$B$5, MATCH($A8, '9b_DCS_overrides'!$A$2:$A$5, 0)), E8)</f>
      </c>
    </row>
    <row r="9">
      <c r="A9" t="s">
        <v>365</v>
      </c>
      <c r="B9" t="str">
        <f>IFERROR(INDEX('6_Calc_DCS_num_ISIC'!$C$85:$C$126, MATCH($A9, '6_Calc_DCS_num_ISIC'!$A$85:$A$126, 0)), 0)</f>
      </c>
      <c r="C9" t="str">
        <f>IFERROR(INDEX('7_Calc_DCS_den_ISIC'!$C$85:$C$126, MATCH($A9, '7_Calc_DCS_den_ISIC'!$A$85:$A$126, 0)), 0)</f>
      </c>
      <c r="D9" t="str">
        <f>B9/MAX(C9, Keys!$C$4)</f>
      </c>
      <c r="E9" t="str">
        <f>MIN(1, MAX(0, D9))</f>
      </c>
      <c r="F9" t="str">
        <f>IFERROR(INDEX('9b_DCS_overrides'!$B$2:$B$5, MATCH($A9, '9b_DCS_overrides'!$A$2:$A$5, 0)), E9)</f>
      </c>
    </row>
    <row r="10">
      <c r="A10" t="s">
        <v>369</v>
      </c>
      <c r="B10" t="str">
        <f>IFERROR(INDEX('6_Calc_DCS_num_ISIC'!$C$85:$C$126, MATCH($A10, '6_Calc_DCS_num_ISIC'!$A$85:$A$126, 0)), 0)</f>
      </c>
      <c r="C10" t="str">
        <f>IFERROR(INDEX('7_Calc_DCS_den_ISIC'!$C$85:$C$126, MATCH($A10, '7_Calc_DCS_den_ISIC'!$A$85:$A$126, 0)), 0)</f>
      </c>
      <c r="D10" t="str">
        <f>B10/MAX(C10, Keys!$C$4)</f>
      </c>
      <c r="E10" t="str">
        <f>MIN(1, MAX(0, D10))</f>
      </c>
      <c r="F10" t="str">
        <f>IFERROR(INDEX('9b_DCS_overrides'!$B$2:$B$5, MATCH($A10, '9b_DCS_overrides'!$A$2:$A$5, 0)), E10)</f>
      </c>
    </row>
    <row r="11">
      <c r="A11" t="s">
        <v>372</v>
      </c>
      <c r="B11" t="str">
        <f>IFERROR(INDEX('6_Calc_DCS_num_ISIC'!$C$85:$C$126, MATCH($A11, '6_Calc_DCS_num_ISIC'!$A$85:$A$126, 0)), 0)</f>
      </c>
      <c r="C11" t="str">
        <f>IFERROR(INDEX('7_Calc_DCS_den_ISIC'!$C$85:$C$126, MATCH($A11, '7_Calc_DCS_den_ISIC'!$A$85:$A$126, 0)), 0)</f>
      </c>
      <c r="D11" t="str">
        <f>B11/MAX(C11, Keys!$C$4)</f>
      </c>
      <c r="E11" t="str">
        <f>MIN(1, MAX(0, D11))</f>
      </c>
      <c r="F11" t="str">
        <f>IFERROR(INDEX('9b_DCS_overrides'!$B$2:$B$5, MATCH($A11, '9b_DCS_overrides'!$A$2:$A$5, 0)), E11)</f>
      </c>
    </row>
    <row r="12">
      <c r="A12" t="s">
        <v>376</v>
      </c>
      <c r="B12" t="str">
        <f>IFERROR(INDEX('6_Calc_DCS_num_ISIC'!$C$85:$C$126, MATCH($A12, '6_Calc_DCS_num_ISIC'!$A$85:$A$126, 0)), 0)</f>
      </c>
      <c r="C12" t="str">
        <f>IFERROR(INDEX('7_Calc_DCS_den_ISIC'!$C$85:$C$126, MATCH($A12, '7_Calc_DCS_den_ISIC'!$A$85:$A$126, 0)), 0)</f>
      </c>
      <c r="D12" t="str">
        <f>B12/MAX(C12, Keys!$C$4)</f>
      </c>
      <c r="E12" t="str">
        <f>MIN(1, MAX(0, D12))</f>
      </c>
      <c r="F12" t="str">
        <f>IFERROR(INDEX('9b_DCS_overrides'!$B$2:$B$5, MATCH($A12, '9b_DCS_overrides'!$A$2:$A$5, 0)), E12)</f>
      </c>
    </row>
    <row r="13">
      <c r="A13" t="s">
        <v>498</v>
      </c>
      <c r="B13" t="str">
        <f>IFERROR(INDEX('6_Calc_DCS_num_ISIC'!$C$85:$C$126, MATCH($A13, '6_Calc_DCS_num_ISIC'!$A$85:$A$126, 0)), 0)</f>
      </c>
      <c r="C13" t="str">
        <f>IFERROR(INDEX('7_Calc_DCS_den_ISIC'!$C$85:$C$126, MATCH($A13, '7_Calc_DCS_den_ISIC'!$A$85:$A$126, 0)), 0)</f>
      </c>
      <c r="D13" t="str">
        <f>B13/MAX(C13, Keys!$C$4)</f>
      </c>
      <c r="E13" t="str">
        <f>MIN(1, MAX(0, D13))</f>
      </c>
      <c r="F13" t="str">
        <f>IFERROR(INDEX('9b_DCS_overrides'!$B$2:$B$5, MATCH($A13, '9b_DCS_overrides'!$A$2:$A$5, 0)), E13)</f>
      </c>
    </row>
    <row r="14">
      <c r="A14" t="s">
        <v>501</v>
      </c>
      <c r="B14" t="str">
        <f>IFERROR(INDEX('6_Calc_DCS_num_ISIC'!$C$85:$C$126, MATCH($A14, '6_Calc_DCS_num_ISIC'!$A$85:$A$126, 0)), 0)</f>
      </c>
      <c r="C14" t="str">
        <f>IFERROR(INDEX('7_Calc_DCS_den_ISIC'!$C$85:$C$126, MATCH($A14, '7_Calc_DCS_den_ISIC'!$A$85:$A$126, 0)), 0)</f>
      </c>
      <c r="D14" t="str">
        <f>B14/MAX(C14, Keys!$C$4)</f>
      </c>
      <c r="E14" t="str">
        <f>MIN(1, MAX(0, D14))</f>
      </c>
      <c r="F14" t="str">
        <f>IFERROR(INDEX('9b_DCS_overrides'!$B$2:$B$5, MATCH($A14, '9b_DCS_overrides'!$A$2:$A$5, 0)), E14)</f>
      </c>
    </row>
    <row r="15">
      <c r="A15" t="s">
        <v>126</v>
      </c>
      <c r="B15" t="str">
        <f>IFERROR(INDEX('6_Calc_DCS_num_ISIC'!$C$85:$C$126, MATCH($A15, '6_Calc_DCS_num_ISIC'!$A$85:$A$126, 0)), 0)</f>
      </c>
      <c r="C15" t="str">
        <f>IFERROR(INDEX('7_Calc_DCS_den_ISIC'!$C$85:$C$126, MATCH($A15, '7_Calc_DCS_den_ISIC'!$A$85:$A$126, 0)), 0)</f>
      </c>
      <c r="D15" t="str">
        <f>B15/MAX(C15, Keys!$C$4)</f>
      </c>
      <c r="E15" t="str">
        <f>MIN(1, MAX(0, D15))</f>
      </c>
      <c r="F15" t="str">
        <f>IFERROR(INDEX('9b_DCS_overrides'!$B$2:$B$5, MATCH($A15, '9b_DCS_overrides'!$A$2:$A$5, 0)), E15)</f>
      </c>
    </row>
    <row r="16">
      <c r="A16" t="s">
        <v>488</v>
      </c>
      <c r="B16" t="str">
        <f>IFERROR(INDEX('6_Calc_DCS_num_ISIC'!$C$85:$C$126, MATCH($A16, '6_Calc_DCS_num_ISIC'!$A$85:$A$126, 0)), 0)</f>
      </c>
      <c r="C16" t="str">
        <f>IFERROR(INDEX('7_Calc_DCS_den_ISIC'!$C$85:$C$126, MATCH($A16, '7_Calc_DCS_den_ISIC'!$A$85:$A$126, 0)), 0)</f>
      </c>
      <c r="D16" t="str">
        <f>B16/MAX(C16, Keys!$C$4)</f>
      </c>
      <c r="E16" t="str">
        <f>MIN(1, MAX(0, D16))</f>
      </c>
      <c r="F16" t="str">
        <f>IFERROR(INDEX('9b_DCS_overrides'!$B$2:$B$5, MATCH($A16, '9b_DCS_overrides'!$A$2:$A$5, 0)), E16)</f>
      </c>
    </row>
    <row r="17">
      <c r="A17" t="s">
        <v>491</v>
      </c>
      <c r="B17" t="str">
        <f>IFERROR(INDEX('6_Calc_DCS_num_ISIC'!$C$85:$C$126, MATCH($A17, '6_Calc_DCS_num_ISIC'!$A$85:$A$126, 0)), 0)</f>
      </c>
      <c r="C17" t="str">
        <f>IFERROR(INDEX('7_Calc_DCS_den_ISIC'!$C$85:$C$126, MATCH($A17, '7_Calc_DCS_den_ISIC'!$A$85:$A$126, 0)), 0)</f>
      </c>
      <c r="D17" t="str">
        <f>B17/MAX(C17, Keys!$C$4)</f>
      </c>
      <c r="E17" t="str">
        <f>MIN(1, MAX(0, D17))</f>
      </c>
      <c r="F17" t="str">
        <f>IFERROR(INDEX('9b_DCS_overrides'!$B$2:$B$5, MATCH($A17, '9b_DCS_overrides'!$A$2:$A$5, 0)), E17)</f>
      </c>
    </row>
    <row r="18">
      <c r="A18" t="s">
        <v>379</v>
      </c>
      <c r="B18" t="str">
        <f>IFERROR(INDEX('6_Calc_DCS_num_ISIC'!$C$85:$C$126, MATCH($A18, '6_Calc_DCS_num_ISIC'!$A$85:$A$126, 0)), 0)</f>
      </c>
      <c r="C18" t="str">
        <f>IFERROR(INDEX('7_Calc_DCS_den_ISIC'!$C$85:$C$126, MATCH($A18, '7_Calc_DCS_den_ISIC'!$A$85:$A$126, 0)), 0)</f>
      </c>
      <c r="D18" t="str">
        <f>B18/MAX(C18, Keys!$C$4)</f>
      </c>
      <c r="E18" t="str">
        <f>MIN(1, MAX(0, D18))</f>
      </c>
      <c r="F18" t="str">
        <f>IFERROR(INDEX('9b_DCS_overrides'!$B$2:$B$5, MATCH($A18, '9b_DCS_overrides'!$A$2:$A$5, 0)), E18)</f>
      </c>
    </row>
    <row r="19">
      <c r="A19" t="s">
        <v>495</v>
      </c>
      <c r="B19" t="str">
        <f>IFERROR(INDEX('6_Calc_DCS_num_ISIC'!$C$85:$C$126, MATCH($A19, '6_Calc_DCS_num_ISIC'!$A$85:$A$126, 0)), 0)</f>
      </c>
      <c r="C19" t="str">
        <f>IFERROR(INDEX('7_Calc_DCS_den_ISIC'!$C$85:$C$126, MATCH($A19, '7_Calc_DCS_den_ISIC'!$A$85:$A$126, 0)), 0)</f>
      </c>
      <c r="D19" t="str">
        <f>B19/MAX(C19, Keys!$C$4)</f>
      </c>
      <c r="E19" t="str">
        <f>MIN(1, MAX(0, D19))</f>
      </c>
      <c r="F19" t="str">
        <f>IFERROR(INDEX('9b_DCS_overrides'!$B$2:$B$5, MATCH($A19, '9b_DCS_overrides'!$A$2:$A$5, 0)), E19)</f>
      </c>
    </row>
    <row r="20">
      <c r="A20" t="s">
        <v>385</v>
      </c>
      <c r="B20" t="str">
        <f>IFERROR(INDEX('6_Calc_DCS_num_ISIC'!$C$85:$C$126, MATCH($A20, '6_Calc_DCS_num_ISIC'!$A$85:$A$126, 0)), 0)</f>
      </c>
      <c r="C20" t="str">
        <f>IFERROR(INDEX('7_Calc_DCS_den_ISIC'!$C$85:$C$126, MATCH($A20, '7_Calc_DCS_den_ISIC'!$A$85:$A$126, 0)), 0)</f>
      </c>
      <c r="D20" t="str">
        <f>B20/MAX(C20, Keys!$C$4)</f>
      </c>
      <c r="E20" t="str">
        <f>MIN(1, MAX(0, D20))</f>
      </c>
      <c r="F20" t="str">
        <f>IFERROR(INDEX('9b_DCS_overrides'!$B$2:$B$5, MATCH($A20, '9b_DCS_overrides'!$A$2:$A$5, 0)), E20)</f>
      </c>
    </row>
    <row r="21">
      <c r="A21" t="s">
        <v>390</v>
      </c>
      <c r="B21" t="str">
        <f>IFERROR(INDEX('6_Calc_DCS_num_ISIC'!$C$85:$C$126, MATCH($A21, '6_Calc_DCS_num_ISIC'!$A$85:$A$126, 0)), 0)</f>
      </c>
      <c r="C21" t="str">
        <f>IFERROR(INDEX('7_Calc_DCS_den_ISIC'!$C$85:$C$126, MATCH($A21, '7_Calc_DCS_den_ISIC'!$A$85:$A$126, 0)), 0)</f>
      </c>
      <c r="D21" t="str">
        <f>B21/MAX(C21, Keys!$C$4)</f>
      </c>
      <c r="E21" t="str">
        <f>MIN(1, MAX(0, D21))</f>
      </c>
      <c r="F21" t="str">
        <f>IFERROR(INDEX('9b_DCS_overrides'!$B$2:$B$5, MATCH($A21, '9b_DCS_overrides'!$A$2:$A$5, 0)), E21)</f>
      </c>
    </row>
    <row r="22">
      <c r="A22" t="s">
        <v>393</v>
      </c>
      <c r="B22" t="str">
        <f>IFERROR(INDEX('6_Calc_DCS_num_ISIC'!$C$85:$C$126, MATCH($A22, '6_Calc_DCS_num_ISIC'!$A$85:$A$126, 0)), 0)</f>
      </c>
      <c r="C22" t="str">
        <f>IFERROR(INDEX('7_Calc_DCS_den_ISIC'!$C$85:$C$126, MATCH($A22, '7_Calc_DCS_den_ISIC'!$A$85:$A$126, 0)), 0)</f>
      </c>
      <c r="D22" t="str">
        <f>B22/MAX(C22, Keys!$C$4)</f>
      </c>
      <c r="E22" t="str">
        <f>MIN(1, MAX(0, D22))</f>
      </c>
      <c r="F22" t="str">
        <f>IFERROR(INDEX('9b_DCS_overrides'!$B$2:$B$5, MATCH($A22, '9b_DCS_overrides'!$A$2:$A$5, 0)), E22)</f>
      </c>
    </row>
    <row r="23">
      <c r="A23" t="s">
        <v>387</v>
      </c>
      <c r="B23" t="str">
        <f>IFERROR(INDEX('6_Calc_DCS_num_ISIC'!$C$85:$C$126, MATCH($A23, '6_Calc_DCS_num_ISIC'!$A$85:$A$126, 0)), 0)</f>
      </c>
      <c r="C23" t="str">
        <f>IFERROR(INDEX('7_Calc_DCS_den_ISIC'!$C$85:$C$126, MATCH($A23, '7_Calc_DCS_den_ISIC'!$A$85:$A$126, 0)), 0)</f>
      </c>
      <c r="D23" t="str">
        <f>B23/MAX(C23, Keys!$C$4)</f>
      </c>
      <c r="E23" t="str">
        <f>MIN(1, MAX(0, D23))</f>
      </c>
      <c r="F23" t="str">
        <f>IFERROR(INDEX('9b_DCS_overrides'!$B$2:$B$5, MATCH($A23, '9b_DCS_overrides'!$A$2:$A$5, 0)), E23)</f>
      </c>
    </row>
    <row r="24">
      <c r="A24" t="s">
        <v>396</v>
      </c>
      <c r="B24" t="str">
        <f>IFERROR(INDEX('6_Calc_DCS_num_ISIC'!$C$85:$C$126, MATCH($A24, '6_Calc_DCS_num_ISIC'!$A$85:$A$126, 0)), 0)</f>
      </c>
      <c r="C24" t="str">
        <f>IFERROR(INDEX('7_Calc_DCS_den_ISIC'!$C$85:$C$126, MATCH($A24, '7_Calc_DCS_den_ISIC'!$A$85:$A$126, 0)), 0)</f>
      </c>
      <c r="D24" t="str">
        <f>B24/MAX(C24, Keys!$C$4)</f>
      </c>
      <c r="E24" t="str">
        <f>MIN(1, MAX(0, D24))</f>
      </c>
      <c r="F24" t="str">
        <f>IFERROR(INDEX('9b_DCS_overrides'!$B$2:$B$5, MATCH($A24, '9b_DCS_overrides'!$A$2:$A$5, 0)), E24)</f>
      </c>
    </row>
    <row r="25">
      <c r="A25" t="s">
        <v>399</v>
      </c>
      <c r="B25" t="str">
        <f>IFERROR(INDEX('6_Calc_DCS_num_ISIC'!$C$85:$C$126, MATCH($A25, '6_Calc_DCS_num_ISIC'!$A$85:$A$126, 0)), 0)</f>
      </c>
      <c r="C25" t="str">
        <f>IFERROR(INDEX('7_Calc_DCS_den_ISIC'!$C$85:$C$126, MATCH($A25, '7_Calc_DCS_den_ISIC'!$A$85:$A$126, 0)), 0)</f>
      </c>
      <c r="D25" t="str">
        <f>B25/MAX(C25, Keys!$C$4)</f>
      </c>
      <c r="E25" t="str">
        <f>MIN(1, MAX(0, D25))</f>
      </c>
      <c r="F25" t="str">
        <f>IFERROR(INDEX('9b_DCS_overrides'!$B$2:$B$5, MATCH($A25, '9b_DCS_overrides'!$A$2:$A$5, 0)), E25)</f>
      </c>
    </row>
    <row r="26">
      <c r="A26" t="s">
        <v>402</v>
      </c>
      <c r="B26" t="str">
        <f>IFERROR(INDEX('6_Calc_DCS_num_ISIC'!$C$85:$C$126, MATCH($A26, '6_Calc_DCS_num_ISIC'!$A$85:$A$126, 0)), 0)</f>
      </c>
      <c r="C26" t="str">
        <f>IFERROR(INDEX('7_Calc_DCS_den_ISIC'!$C$85:$C$126, MATCH($A26, '7_Calc_DCS_den_ISIC'!$A$85:$A$126, 0)), 0)</f>
      </c>
      <c r="D26" t="str">
        <f>B26/MAX(C26, Keys!$C$4)</f>
      </c>
      <c r="E26" t="str">
        <f>MIN(1, MAX(0, D26))</f>
      </c>
      <c r="F26" t="str">
        <f>IFERROR(INDEX('9b_DCS_overrides'!$B$2:$B$5, MATCH($A26, '9b_DCS_overrides'!$A$2:$A$5, 0)), E26)</f>
      </c>
    </row>
    <row r="27">
      <c r="A27" t="s">
        <v>350</v>
      </c>
      <c r="B27" t="str">
        <f>IFERROR(INDEX('6_Calc_DCS_num_ISIC'!$C$85:$C$126, MATCH($A27, '6_Calc_DCS_num_ISIC'!$A$85:$A$126, 0)), 0)</f>
      </c>
      <c r="C27" t="str">
        <f>IFERROR(INDEX('7_Calc_DCS_den_ISIC'!$C$85:$C$126, MATCH($A27, '7_Calc_DCS_den_ISIC'!$A$85:$A$126, 0)), 0)</f>
      </c>
      <c r="D27" t="str">
        <f>B27/MAX(C27, Keys!$C$4)</f>
      </c>
      <c r="E27" t="str">
        <f>MIN(1, MAX(0, D27))</f>
      </c>
      <c r="F27" t="str">
        <f>IFERROR(INDEX('9b_DCS_overrides'!$B$2:$B$5, MATCH($A27, '9b_DCS_overrides'!$A$2:$A$5, 0)), E27)</f>
      </c>
    </row>
    <row r="28">
      <c r="A28" t="s">
        <v>353</v>
      </c>
      <c r="B28" t="str">
        <f>IFERROR(INDEX('6_Calc_DCS_num_ISIC'!$C$85:$C$126, MATCH($A28, '6_Calc_DCS_num_ISIC'!$A$85:$A$126, 0)), 0)</f>
      </c>
      <c r="C28" t="str">
        <f>IFERROR(INDEX('7_Calc_DCS_den_ISIC'!$C$85:$C$126, MATCH($A28, '7_Calc_DCS_den_ISIC'!$A$85:$A$126, 0)), 0)</f>
      </c>
      <c r="D28" t="str">
        <f>B28/MAX(C28, Keys!$C$4)</f>
      </c>
      <c r="E28" t="str">
        <f>MIN(1, MAX(0, D28))</f>
      </c>
      <c r="F28" t="str">
        <f>IFERROR(INDEX('9b_DCS_overrides'!$B$2:$B$5, MATCH($A28, '9b_DCS_overrides'!$A$2:$A$5, 0)), E28)</f>
      </c>
    </row>
    <row r="29">
      <c r="A29" t="s">
        <v>356</v>
      </c>
      <c r="B29" t="str">
        <f>IFERROR(INDEX('6_Calc_DCS_num_ISIC'!$C$85:$C$126, MATCH($A29, '6_Calc_DCS_num_ISIC'!$A$85:$A$126, 0)), 0)</f>
      </c>
      <c r="C29" t="str">
        <f>IFERROR(INDEX('7_Calc_DCS_den_ISIC'!$C$85:$C$126, MATCH($A29, '7_Calc_DCS_den_ISIC'!$A$85:$A$126, 0)), 0)</f>
      </c>
      <c r="D29" t="str">
        <f>B29/MAX(C29, Keys!$C$4)</f>
      </c>
      <c r="E29" t="str">
        <f>MIN(1, MAX(0, D29))</f>
      </c>
      <c r="F29" t="str">
        <f>IFERROR(INDEX('9b_DCS_overrides'!$B$2:$B$5, MATCH($A29, '9b_DCS_overrides'!$A$2:$A$5, 0)), E29)</f>
      </c>
    </row>
    <row r="30">
      <c r="A30" t="s">
        <v>360</v>
      </c>
      <c r="B30" t="str">
        <f>IFERROR(INDEX('6_Calc_DCS_num_ISIC'!$C$85:$C$126, MATCH($A30, '6_Calc_DCS_num_ISIC'!$A$85:$A$126, 0)), 0)</f>
      </c>
      <c r="C30" t="str">
        <f>IFERROR(INDEX('7_Calc_DCS_den_ISIC'!$C$85:$C$126, MATCH($A30, '7_Calc_DCS_den_ISIC'!$A$85:$A$126, 0)), 0)</f>
      </c>
      <c r="D30" t="str">
        <f>B30/MAX(C30, Keys!$C$4)</f>
      </c>
      <c r="E30" t="str">
        <f>MIN(1, MAX(0, D30))</f>
      </c>
      <c r="F30" t="str">
        <f>IFERROR(INDEX('9b_DCS_overrides'!$B$2:$B$5, MATCH($A30, '9b_DCS_overrides'!$A$2:$A$5, 0)), E30)</f>
      </c>
    </row>
    <row r="31">
      <c r="A31" t="s">
        <v>406</v>
      </c>
      <c r="B31" t="str">
        <f>IFERROR(INDEX('6_Calc_DCS_num_ISIC'!$C$85:$C$126, MATCH($A31, '6_Calc_DCS_num_ISIC'!$A$85:$A$126, 0)), 0)</f>
      </c>
      <c r="C31" t="str">
        <f>IFERROR(INDEX('7_Calc_DCS_den_ISIC'!$C$85:$C$126, MATCH($A31, '7_Calc_DCS_den_ISIC'!$A$85:$A$126, 0)), 0)</f>
      </c>
      <c r="D31" t="str">
        <f>B31/MAX(C31, Keys!$C$4)</f>
      </c>
      <c r="E31" t="str">
        <f>MIN(1, MAX(0, D31))</f>
      </c>
      <c r="F31" t="str">
        <f>IFERROR(INDEX('9b_DCS_overrides'!$B$2:$B$5, MATCH($A31, '9b_DCS_overrides'!$A$2:$A$5, 0)), E31)</f>
      </c>
    </row>
    <row r="32">
      <c r="A32" t="s">
        <v>413</v>
      </c>
      <c r="B32" t="str">
        <f>IFERROR(INDEX('6_Calc_DCS_num_ISIC'!$C$85:$C$126, MATCH($A32, '6_Calc_DCS_num_ISIC'!$A$85:$A$126, 0)), 0)</f>
      </c>
      <c r="C32" t="str">
        <f>IFERROR(INDEX('7_Calc_DCS_den_ISIC'!$C$85:$C$126, MATCH($A32, '7_Calc_DCS_den_ISIC'!$A$85:$A$126, 0)), 0)</f>
      </c>
      <c r="D32" t="str">
        <f>B32/MAX(C32, Keys!$C$4)</f>
      </c>
      <c r="E32" t="str">
        <f>MIN(1, MAX(0, D32))</f>
      </c>
      <c r="F32" t="str">
        <f>IFERROR(INDEX('9b_DCS_overrides'!$B$2:$B$5, MATCH($A32, '9b_DCS_overrides'!$A$2:$A$5, 0)), E32)</f>
      </c>
    </row>
    <row r="33">
      <c r="A33" t="s">
        <v>470</v>
      </c>
      <c r="B33" t="str">
        <f>IFERROR(INDEX('6_Calc_DCS_num_ISIC'!$C$85:$C$126, MATCH($A33, '6_Calc_DCS_num_ISIC'!$A$85:$A$126, 0)), 0)</f>
      </c>
      <c r="C33" t="str">
        <f>IFERROR(INDEX('7_Calc_DCS_den_ISIC'!$C$85:$C$126, MATCH($A33, '7_Calc_DCS_den_ISIC'!$A$85:$A$126, 0)), 0)</f>
      </c>
      <c r="D33" t="str">
        <f>B33/MAX(C33, Keys!$C$4)</f>
      </c>
      <c r="E33" t="str">
        <f>MIN(1, MAX(0, D33))</f>
      </c>
      <c r="F33" t="str">
        <f>IFERROR(INDEX('9b_DCS_overrides'!$B$2:$B$5, MATCH($A33, '9b_DCS_overrides'!$A$2:$A$5, 0)), E33)</f>
      </c>
    </row>
    <row r="34">
      <c r="A34" t="s">
        <v>425</v>
      </c>
      <c r="B34" t="str">
        <f>IFERROR(INDEX('6_Calc_DCS_num_ISIC'!$C$85:$C$126, MATCH($A34, '6_Calc_DCS_num_ISIC'!$A$85:$A$126, 0)), 0)</f>
      </c>
      <c r="C34" t="str">
        <f>IFERROR(INDEX('7_Calc_DCS_den_ISIC'!$C$85:$C$126, MATCH($A34, '7_Calc_DCS_den_ISIC'!$A$85:$A$126, 0)), 0)</f>
      </c>
      <c r="D34" t="str">
        <f>B34/MAX(C34, Keys!$C$4)</f>
      </c>
      <c r="E34" t="str">
        <f>MIN(1, MAX(0, D34))</f>
      </c>
      <c r="F34" t="str">
        <f>IFERROR(INDEX('9b_DCS_overrides'!$B$2:$B$5, MATCH($A34, '9b_DCS_overrides'!$A$2:$A$5, 0)), E34)</f>
      </c>
    </row>
    <row r="35">
      <c r="A35" t="s">
        <v>177</v>
      </c>
      <c r="B35" t="str">
        <f>IFERROR(INDEX('6_Calc_DCS_num_ISIC'!$C$85:$C$126, MATCH($A35, '6_Calc_DCS_num_ISIC'!$A$85:$A$126, 0)), 0)</f>
      </c>
      <c r="C35" t="str">
        <f>IFERROR(INDEX('7_Calc_DCS_den_ISIC'!$C$85:$C$126, MATCH($A35, '7_Calc_DCS_den_ISIC'!$A$85:$A$126, 0)), 0)</f>
      </c>
      <c r="D35" t="str">
        <f>B35/MAX(C35, Keys!$C$4)</f>
      </c>
      <c r="E35" t="str">
        <f>MIN(1, MAX(0, D35))</f>
      </c>
      <c r="F35" t="str">
        <f>IFERROR(INDEX('9b_DCS_overrides'!$B$2:$B$5, MATCH($A35, '9b_DCS_overrides'!$A$2:$A$5, 0)), E35)</f>
      </c>
    </row>
    <row r="36">
      <c r="A36" t="s">
        <v>432</v>
      </c>
      <c r="B36" t="str">
        <f>IFERROR(INDEX('6_Calc_DCS_num_ISIC'!$C$85:$C$126, MATCH($A36, '6_Calc_DCS_num_ISIC'!$A$85:$A$126, 0)), 0)</f>
      </c>
      <c r="C36" t="str">
        <f>IFERROR(INDEX('7_Calc_DCS_den_ISIC'!$C$85:$C$126, MATCH($A36, '7_Calc_DCS_den_ISIC'!$A$85:$A$126, 0)), 0)</f>
      </c>
      <c r="D36" t="str">
        <f>B36/MAX(C36, Keys!$C$4)</f>
      </c>
      <c r="E36" t="str">
        <f>MIN(1, MAX(0, D36))</f>
      </c>
      <c r="F36" t="str">
        <f>IFERROR(INDEX('9b_DCS_overrides'!$B$2:$B$5, MATCH($A36, '9b_DCS_overrides'!$A$2:$A$5, 0)), E36)</f>
      </c>
    </row>
    <row r="37">
      <c r="A37" t="s">
        <v>435</v>
      </c>
      <c r="B37" t="str">
        <f>IFERROR(INDEX('6_Calc_DCS_num_ISIC'!$C$85:$C$126, MATCH($A37, '6_Calc_DCS_num_ISIC'!$A$85:$A$126, 0)), 0)</f>
      </c>
      <c r="C37" t="str">
        <f>IFERROR(INDEX('7_Calc_DCS_den_ISIC'!$C$85:$C$126, MATCH($A37, '7_Calc_DCS_den_ISIC'!$A$85:$A$126, 0)), 0)</f>
      </c>
      <c r="D37" t="str">
        <f>B37/MAX(C37, Keys!$C$4)</f>
      </c>
      <c r="E37" t="str">
        <f>MIN(1, MAX(0, D37))</f>
      </c>
      <c r="F37" t="str">
        <f>IFERROR(INDEX('9b_DCS_overrides'!$B$2:$B$5, MATCH($A37, '9b_DCS_overrides'!$A$2:$A$5, 0)), E37)</f>
      </c>
    </row>
    <row r="38">
      <c r="A38" t="s">
        <v>441</v>
      </c>
      <c r="B38" t="str">
        <f>IFERROR(INDEX('6_Calc_DCS_num_ISIC'!$C$85:$C$126, MATCH($A38, '6_Calc_DCS_num_ISIC'!$A$85:$A$126, 0)), 0)</f>
      </c>
      <c r="C38" t="str">
        <f>IFERROR(INDEX('7_Calc_DCS_den_ISIC'!$C$85:$C$126, MATCH($A38, '7_Calc_DCS_den_ISIC'!$A$85:$A$126, 0)), 0)</f>
      </c>
      <c r="D38" t="str">
        <f>B38/MAX(C38, Keys!$C$4)</f>
      </c>
      <c r="E38" t="str">
        <f>MIN(1, MAX(0, D38))</f>
      </c>
      <c r="F38" t="str">
        <f>IFERROR(INDEX('9b_DCS_overrides'!$B$2:$B$5, MATCH($A38, '9b_DCS_overrides'!$A$2:$A$5, 0)), E38)</f>
      </c>
    </row>
    <row r="39">
      <c r="A39" t="s">
        <v>445</v>
      </c>
      <c r="B39" t="str">
        <f>IFERROR(INDEX('6_Calc_DCS_num_ISIC'!$C$85:$C$126, MATCH($A39, '6_Calc_DCS_num_ISIC'!$A$85:$A$126, 0)), 0)</f>
      </c>
      <c r="C39" t="str">
        <f>IFERROR(INDEX('7_Calc_DCS_den_ISIC'!$C$85:$C$126, MATCH($A39, '7_Calc_DCS_den_ISIC'!$A$85:$A$126, 0)), 0)</f>
      </c>
      <c r="D39" t="str">
        <f>B39/MAX(C39, Keys!$C$4)</f>
      </c>
      <c r="E39" t="str">
        <f>MIN(1, MAX(0, D39))</f>
      </c>
      <c r="F39" t="str">
        <f>IFERROR(INDEX('9b_DCS_overrides'!$B$2:$B$5, MATCH($A39, '9b_DCS_overrides'!$A$2:$A$5, 0)), E39)</f>
      </c>
    </row>
    <row r="40">
      <c r="A40" t="s">
        <v>475</v>
      </c>
      <c r="B40" t="str">
        <f>IFERROR(INDEX('6_Calc_DCS_num_ISIC'!$C$85:$C$126, MATCH($A40, '6_Calc_DCS_num_ISIC'!$A$85:$A$126, 0)), 0)</f>
      </c>
      <c r="C40" t="str">
        <f>IFERROR(INDEX('7_Calc_DCS_den_ISIC'!$C$85:$C$126, MATCH($A40, '7_Calc_DCS_den_ISIC'!$A$85:$A$126, 0)), 0)</f>
      </c>
      <c r="D40" t="str">
        <f>B40/MAX(C40, Keys!$C$4)</f>
      </c>
      <c r="E40" t="str">
        <f>MIN(1, MAX(0, D40))</f>
      </c>
      <c r="F40" t="str">
        <f>IFERROR(INDEX('9b_DCS_overrides'!$B$2:$B$5, MATCH($A40, '9b_DCS_overrides'!$A$2:$A$5, 0)), E40)</f>
      </c>
    </row>
    <row r="41">
      <c r="A41" t="s">
        <v>457</v>
      </c>
      <c r="B41" t="str">
        <f>IFERROR(INDEX('6_Calc_DCS_num_ISIC'!$C$85:$C$126, MATCH($A41, '6_Calc_DCS_num_ISIC'!$A$85:$A$126, 0)), 0)</f>
      </c>
      <c r="C41" t="str">
        <f>IFERROR(INDEX('7_Calc_DCS_den_ISIC'!$C$85:$C$126, MATCH($A41, '7_Calc_DCS_den_ISIC'!$A$85:$A$126, 0)), 0)</f>
      </c>
      <c r="D41" t="str">
        <f>B41/MAX(C41, Keys!$C$4)</f>
      </c>
      <c r="E41" t="str">
        <f>MIN(1, MAX(0, D41))</f>
      </c>
      <c r="F41" t="str">
        <f>IFERROR(INDEX('9b_DCS_overrides'!$B$2:$B$5, MATCH($A41, '9b_DCS_overrides'!$A$2:$A$5, 0)), E41)</f>
      </c>
    </row>
    <row r="42">
      <c r="A42" t="s">
        <v>460</v>
      </c>
      <c r="B42" t="str">
        <f>IFERROR(INDEX('6_Calc_DCS_num_ISIC'!$C$85:$C$126, MATCH($A42, '6_Calc_DCS_num_ISIC'!$A$85:$A$126, 0)), 0)</f>
      </c>
      <c r="C42" t="str">
        <f>IFERROR(INDEX('7_Calc_DCS_den_ISIC'!$C$85:$C$126, MATCH($A42, '7_Calc_DCS_den_ISIC'!$A$85:$A$126, 0)), 0)</f>
      </c>
      <c r="D42" t="str">
        <f>B42/MAX(C42, Keys!$C$4)</f>
      </c>
      <c r="E42" t="str">
        <f>MIN(1, MAX(0, D42))</f>
      </c>
      <c r="F42" t="str">
        <f>IFERROR(INDEX('9b_DCS_overrides'!$B$2:$B$5, MATCH($A42, '9b_DCS_overrides'!$A$2:$A$5, 0)), E42)</f>
      </c>
    </row>
    <row r="43">
      <c r="A43" t="s">
        <v>466</v>
      </c>
      <c r="B43" t="str">
        <f>IFERROR(INDEX('6_Calc_DCS_num_ISIC'!$C$85:$C$126, MATCH($A43, '6_Calc_DCS_num_ISIC'!$A$85:$A$126, 0)), 0)</f>
      </c>
      <c r="C43" t="str">
        <f>IFERROR(INDEX('7_Calc_DCS_den_ISIC'!$C$85:$C$126, MATCH($A43, '7_Calc_DCS_den_ISIC'!$A$85:$A$126, 0)), 0)</f>
      </c>
      <c r="D43" t="str">
        <f>B43/MAX(C43, Keys!$C$4)</f>
      </c>
      <c r="E43" t="str">
        <f>MIN(1, MAX(0, D43))</f>
      </c>
      <c r="F43" t="str">
        <f>IFERROR(INDEX('9b_DCS_overrides'!$B$2:$B$5, MATCH($A43, '9b_DCS_overrides'!$A$2:$A$5, 0)), E43)</f>
      </c>
    </row>
    <row r="44">
      <c r="A44" t="s">
        <v>583</v>
      </c>
      <c r="B44" t="str">
        <f>IFERROR(INDEX('6_Calc_DCS_num_ISIC'!$C$85:$C$126, MATCH($A44, '6_Calc_DCS_num_ISIC'!$A$85:$A$126, 0)), 0)</f>
      </c>
      <c r="C44" t="str">
        <f>IFERROR(INDEX('7_Calc_DCS_den_ISIC'!$C$85:$C$126, MATCH($A44, '7_Calc_DCS_den_ISIC'!$A$85:$A$126, 0)), 0)</f>
      </c>
      <c r="D44" t="str">
        <f>B44/MAX(C44, Keys!$C$4)</f>
      </c>
      <c r="E44" t="str">
        <f>MIN(1, MAX(0, D44))</f>
      </c>
      <c r="F44" t="str">
        <f>IFERROR(INDEX('9b_DCS_overrides'!$B$2:$B$5, MATCH($A44, '9b_DCS_overrides'!$A$2:$A$5,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609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IFERROR(INDEX('8_Calc_Exp_ISIC'!$C$85:$C$126, MATCH($A3, '8_Calc_Exp_ISIC'!$A$85:$A$126, 0)), 0)</f>
      </c>
      <c r="C3" t="str">
        <f>IFERROR(INDEX('9_Output_by_ISIC'!$B$2:$B$43, MATCH($A3, '9_Output_by_ISIC'!$A$2:$A$43, 0)), 0)</f>
      </c>
      <c r="D3" t="str">
        <f>B3/MAX(C3, Keys!$C$4)</f>
      </c>
      <c r="E3" t="str">
        <f>MIN(1, MAX(0, D3))</f>
      </c>
      <c r="F3" t="str">
        <f>IFERROR(INDEX('9c_ESoP_overrides'!$B$2:$B$3, MATCH($A3, '9c_ESoP_overrides'!$A$2:$A$3, 0)), E3)</f>
      </c>
    </row>
    <row r="4">
      <c r="A4" t="s">
        <v>482</v>
      </c>
      <c r="B4" t="str">
        <f>IFERROR(INDEX('8_Calc_Exp_ISIC'!$C$85:$C$126, MATCH($A4, '8_Calc_Exp_ISIC'!$A$85:$A$126, 0)), 0)</f>
      </c>
      <c r="C4" t="str">
        <f>IFERROR(INDEX('9_Output_by_ISIC'!$B$2:$B$43, MATCH($A4, '9_Output_by_ISIC'!$A$2:$A$43, 0)), 0)</f>
      </c>
      <c r="D4" t="str">
        <f>B4/MAX(C4, Keys!$C$4)</f>
      </c>
      <c r="E4" t="str">
        <f>MIN(1, MAX(0, D4))</f>
      </c>
      <c r="F4" t="str">
        <f>IFERROR(INDEX('9c_ESoP_overrides'!$B$2:$B$3, MATCH($A4, '9c_ESoP_overrides'!$A$2:$A$3, 0)), E4)</f>
      </c>
    </row>
    <row r="5">
      <c r="A5" t="s">
        <v>344</v>
      </c>
      <c r="B5" t="str">
        <f>IFERROR(INDEX('8_Calc_Exp_ISIC'!$C$85:$C$126, MATCH($A5, '8_Calc_Exp_ISIC'!$A$85:$A$126, 0)), 0)</f>
      </c>
      <c r="C5" t="str">
        <f>IFERROR(INDEX('9_Output_by_ISIC'!$B$2:$B$43, MATCH($A5, '9_Output_by_ISIC'!$A$2:$A$43, 0)), 0)</f>
      </c>
      <c r="D5" t="str">
        <f>B5/MAX(C5, Keys!$C$4)</f>
      </c>
      <c r="E5" t="str">
        <f>MIN(1, MAX(0, D5))</f>
      </c>
      <c r="F5" t="str">
        <f>IFERROR(INDEX('9c_ESoP_overrides'!$B$2:$B$3, MATCH($A5, '9c_ESoP_overrides'!$A$2:$A$3, 0)), E5)</f>
      </c>
    </row>
    <row r="6">
      <c r="A6" t="s">
        <v>485</v>
      </c>
      <c r="B6" t="str">
        <f>IFERROR(INDEX('8_Calc_Exp_ISIC'!$C$85:$C$126, MATCH($A6, '8_Calc_Exp_ISIC'!$A$85:$A$126, 0)), 0)</f>
      </c>
      <c r="C6" t="str">
        <f>IFERROR(INDEX('9_Output_by_ISIC'!$B$2:$B$43, MATCH($A6, '9_Output_by_ISIC'!$A$2:$A$43, 0)), 0)</f>
      </c>
      <c r="D6" t="str">
        <f>B6/MAX(C6, Keys!$C$4)</f>
      </c>
      <c r="E6" t="str">
        <f>MIN(1, MAX(0, D6))</f>
      </c>
      <c r="F6" t="str">
        <f>IFERROR(INDEX('9c_ESoP_overrides'!$B$2:$B$3, MATCH($A6, '9c_ESoP_overrides'!$A$2:$A$3, 0)), E6)</f>
      </c>
    </row>
    <row r="7">
      <c r="A7" t="s">
        <v>347</v>
      </c>
      <c r="B7" t="str">
        <f>IFERROR(INDEX('8_Calc_Exp_ISIC'!$C$85:$C$126, MATCH($A7, '8_Calc_Exp_ISIC'!$A$85:$A$126, 0)), 0)</f>
      </c>
      <c r="C7" t="str">
        <f>IFERROR(INDEX('9_Output_by_ISIC'!$B$2:$B$43, MATCH($A7, '9_Output_by_ISIC'!$A$2:$A$43, 0)), 0)</f>
      </c>
      <c r="D7" t="str">
        <f>B7/MAX(C7, Keys!$C$4)</f>
      </c>
      <c r="E7" t="str">
        <f>MIN(1, MAX(0, D7))</f>
      </c>
      <c r="F7" t="str">
        <f>IFERROR(INDEX('9c_ESoP_overrides'!$B$2:$B$3, MATCH($A7, '9c_ESoP_overrides'!$A$2:$A$3, 0)), E7)</f>
      </c>
    </row>
    <row r="8">
      <c r="A8" t="s">
        <v>362</v>
      </c>
      <c r="B8" t="str">
        <f>IFERROR(INDEX('8_Calc_Exp_ISIC'!$C$85:$C$126, MATCH($A8, '8_Calc_Exp_ISIC'!$A$85:$A$126, 0)), 0)</f>
      </c>
      <c r="C8" t="str">
        <f>IFERROR(INDEX('9_Output_by_ISIC'!$B$2:$B$43, MATCH($A8, '9_Output_by_ISIC'!$A$2:$A$43, 0)), 0)</f>
      </c>
      <c r="D8" t="str">
        <f>B8/MAX(C8, Keys!$C$4)</f>
      </c>
      <c r="E8" t="str">
        <f>MIN(1, MAX(0, D8))</f>
      </c>
      <c r="F8" t="str">
        <f>IFERROR(INDEX('9c_ESoP_overrides'!$B$2:$B$3, MATCH($A8, '9c_ESoP_overrides'!$A$2:$A$3, 0)), E8)</f>
      </c>
    </row>
    <row r="9">
      <c r="A9" t="s">
        <v>365</v>
      </c>
      <c r="B9" t="str">
        <f>IFERROR(INDEX('8_Calc_Exp_ISIC'!$C$85:$C$126, MATCH($A9, '8_Calc_Exp_ISIC'!$A$85:$A$126, 0)), 0)</f>
      </c>
      <c r="C9" t="str">
        <f>IFERROR(INDEX('9_Output_by_ISIC'!$B$2:$B$43, MATCH($A9, '9_Output_by_ISIC'!$A$2:$A$43, 0)), 0)</f>
      </c>
      <c r="D9" t="str">
        <f>B9/MAX(C9, Keys!$C$4)</f>
      </c>
      <c r="E9" t="str">
        <f>MIN(1, MAX(0, D9))</f>
      </c>
      <c r="F9" t="str">
        <f>IFERROR(INDEX('9c_ESoP_overrides'!$B$2:$B$3, MATCH($A9, '9c_ESoP_overrides'!$A$2:$A$3, 0)), E9)</f>
      </c>
    </row>
    <row r="10">
      <c r="A10" t="s">
        <v>369</v>
      </c>
      <c r="B10" t="str">
        <f>IFERROR(INDEX('8_Calc_Exp_ISIC'!$C$85:$C$126, MATCH($A10, '8_Calc_Exp_ISIC'!$A$85:$A$126, 0)), 0)</f>
      </c>
      <c r="C10" t="str">
        <f>IFERROR(INDEX('9_Output_by_ISIC'!$B$2:$B$43, MATCH($A10, '9_Output_by_ISIC'!$A$2:$A$43, 0)), 0)</f>
      </c>
      <c r="D10" t="str">
        <f>B10/MAX(C10, Keys!$C$4)</f>
      </c>
      <c r="E10" t="str">
        <f>MIN(1, MAX(0, D10))</f>
      </c>
      <c r="F10" t="str">
        <f>IFERROR(INDEX('9c_ESoP_overrides'!$B$2:$B$3, MATCH($A10, '9c_ESoP_overrides'!$A$2:$A$3, 0)), E10)</f>
      </c>
    </row>
    <row r="11">
      <c r="A11" t="s">
        <v>372</v>
      </c>
      <c r="B11" t="str">
        <f>IFERROR(INDEX('8_Calc_Exp_ISIC'!$C$85:$C$126, MATCH($A11, '8_Calc_Exp_ISIC'!$A$85:$A$126, 0)), 0)</f>
      </c>
      <c r="C11" t="str">
        <f>IFERROR(INDEX('9_Output_by_ISIC'!$B$2:$B$43, MATCH($A11, '9_Output_by_ISIC'!$A$2:$A$43, 0)), 0)</f>
      </c>
      <c r="D11" t="str">
        <f>B11/MAX(C11, Keys!$C$4)</f>
      </c>
      <c r="E11" t="str">
        <f>MIN(1, MAX(0, D11))</f>
      </c>
      <c r="F11" t="str">
        <f>IFERROR(INDEX('9c_ESoP_overrides'!$B$2:$B$3, MATCH($A11, '9c_ESoP_overrides'!$A$2:$A$3, 0)), E11)</f>
      </c>
    </row>
    <row r="12">
      <c r="A12" t="s">
        <v>376</v>
      </c>
      <c r="B12" t="str">
        <f>IFERROR(INDEX('8_Calc_Exp_ISIC'!$C$85:$C$126, MATCH($A12, '8_Calc_Exp_ISIC'!$A$85:$A$126, 0)), 0)</f>
      </c>
      <c r="C12" t="str">
        <f>IFERROR(INDEX('9_Output_by_ISIC'!$B$2:$B$43, MATCH($A12, '9_Output_by_ISIC'!$A$2:$A$43, 0)), 0)</f>
      </c>
      <c r="D12" t="str">
        <f>B12/MAX(C12, Keys!$C$4)</f>
      </c>
      <c r="E12" t="str">
        <f>MIN(1, MAX(0, D12))</f>
      </c>
      <c r="F12" t="str">
        <f>IFERROR(INDEX('9c_ESoP_overrides'!$B$2:$B$3, MATCH($A12, '9c_ESoP_overrides'!$A$2:$A$3, 0)), E12)</f>
      </c>
    </row>
    <row r="13">
      <c r="A13" t="s">
        <v>498</v>
      </c>
      <c r="B13" t="str">
        <f>IFERROR(INDEX('8_Calc_Exp_ISIC'!$C$85:$C$126, MATCH($A13, '8_Calc_Exp_ISIC'!$A$85:$A$126, 0)), 0)</f>
      </c>
      <c r="C13" t="str">
        <f>IFERROR(INDEX('9_Output_by_ISIC'!$B$2:$B$43, MATCH($A13, '9_Output_by_ISIC'!$A$2:$A$43, 0)), 0)</f>
      </c>
      <c r="D13" t="str">
        <f>B13/MAX(C13, Keys!$C$4)</f>
      </c>
      <c r="E13" t="str">
        <f>MIN(1, MAX(0, D13))</f>
      </c>
      <c r="F13" t="str">
        <f>IFERROR(INDEX('9c_ESoP_overrides'!$B$2:$B$3, MATCH($A13, '9c_ESoP_overrides'!$A$2:$A$3, 0)), E13)</f>
      </c>
    </row>
    <row r="14">
      <c r="A14" t="s">
        <v>501</v>
      </c>
      <c r="B14" t="str">
        <f>IFERROR(INDEX('8_Calc_Exp_ISIC'!$C$85:$C$126, MATCH($A14, '8_Calc_Exp_ISIC'!$A$85:$A$126, 0)), 0)</f>
      </c>
      <c r="C14" t="str">
        <f>IFERROR(INDEX('9_Output_by_ISIC'!$B$2:$B$43, MATCH($A14, '9_Output_by_ISIC'!$A$2:$A$43, 0)), 0)</f>
      </c>
      <c r="D14" t="str">
        <f>B14/MAX(C14, Keys!$C$4)</f>
      </c>
      <c r="E14" t="str">
        <f>MIN(1, MAX(0, D14))</f>
      </c>
      <c r="F14" t="str">
        <f>IFERROR(INDEX('9c_ESoP_overrides'!$B$2:$B$3, MATCH($A14, '9c_ESoP_overrides'!$A$2:$A$3, 0)), E14)</f>
      </c>
    </row>
    <row r="15">
      <c r="A15" t="s">
        <v>126</v>
      </c>
      <c r="B15" t="str">
        <f>IFERROR(INDEX('8_Calc_Exp_ISIC'!$C$85:$C$126, MATCH($A15, '8_Calc_Exp_ISIC'!$A$85:$A$126, 0)), 0)</f>
      </c>
      <c r="C15" t="str">
        <f>IFERROR(INDEX('9_Output_by_ISIC'!$B$2:$B$43, MATCH($A15, '9_Output_by_ISIC'!$A$2:$A$43, 0)), 0)</f>
      </c>
      <c r="D15" t="str">
        <f>B15/MAX(C15, Keys!$C$4)</f>
      </c>
      <c r="E15" t="str">
        <f>MIN(1, MAX(0, D15))</f>
      </c>
      <c r="F15" t="str">
        <f>IFERROR(INDEX('9c_ESoP_overrides'!$B$2:$B$3, MATCH($A15, '9c_ESoP_overrides'!$A$2:$A$3, 0)), E15)</f>
      </c>
    </row>
    <row r="16">
      <c r="A16" t="s">
        <v>488</v>
      </c>
      <c r="B16" t="str">
        <f>IFERROR(INDEX('8_Calc_Exp_ISIC'!$C$85:$C$126, MATCH($A16, '8_Calc_Exp_ISIC'!$A$85:$A$126, 0)), 0)</f>
      </c>
      <c r="C16" t="str">
        <f>IFERROR(INDEX('9_Output_by_ISIC'!$B$2:$B$43, MATCH($A16, '9_Output_by_ISIC'!$A$2:$A$43, 0)), 0)</f>
      </c>
      <c r="D16" t="str">
        <f>B16/MAX(C16, Keys!$C$4)</f>
      </c>
      <c r="E16" t="str">
        <f>MIN(1, MAX(0, D16))</f>
      </c>
      <c r="F16" t="str">
        <f>IFERROR(INDEX('9c_ESoP_overrides'!$B$2:$B$3, MATCH($A16, '9c_ESoP_overrides'!$A$2:$A$3, 0)), E16)</f>
      </c>
    </row>
    <row r="17">
      <c r="A17" t="s">
        <v>491</v>
      </c>
      <c r="B17" t="str">
        <f>IFERROR(INDEX('8_Calc_Exp_ISIC'!$C$85:$C$126, MATCH($A17, '8_Calc_Exp_ISIC'!$A$85:$A$126, 0)), 0)</f>
      </c>
      <c r="C17" t="str">
        <f>IFERROR(INDEX('9_Output_by_ISIC'!$B$2:$B$43, MATCH($A17, '9_Output_by_ISIC'!$A$2:$A$43, 0)), 0)</f>
      </c>
      <c r="D17" t="str">
        <f>B17/MAX(C17, Keys!$C$4)</f>
      </c>
      <c r="E17" t="str">
        <f>MIN(1, MAX(0, D17))</f>
      </c>
      <c r="F17" t="str">
        <f>IFERROR(INDEX('9c_ESoP_overrides'!$B$2:$B$3, MATCH($A17, '9c_ESoP_overrides'!$A$2:$A$3, 0)), E17)</f>
      </c>
    </row>
    <row r="18">
      <c r="A18" t="s">
        <v>379</v>
      </c>
      <c r="B18" t="str">
        <f>IFERROR(INDEX('8_Calc_Exp_ISIC'!$C$85:$C$126, MATCH($A18, '8_Calc_Exp_ISIC'!$A$85:$A$126, 0)), 0)</f>
      </c>
      <c r="C18" t="str">
        <f>IFERROR(INDEX('9_Output_by_ISIC'!$B$2:$B$43, MATCH($A18, '9_Output_by_ISIC'!$A$2:$A$43, 0)), 0)</f>
      </c>
      <c r="D18" t="str">
        <f>B18/MAX(C18, Keys!$C$4)</f>
      </c>
      <c r="E18" t="str">
        <f>MIN(1, MAX(0, D18))</f>
      </c>
      <c r="F18" t="str">
        <f>IFERROR(INDEX('9c_ESoP_overrides'!$B$2:$B$3, MATCH($A18, '9c_ESoP_overrides'!$A$2:$A$3, 0)), E18)</f>
      </c>
    </row>
    <row r="19">
      <c r="A19" t="s">
        <v>495</v>
      </c>
      <c r="B19" t="str">
        <f>IFERROR(INDEX('8_Calc_Exp_ISIC'!$C$85:$C$126, MATCH($A19, '8_Calc_Exp_ISIC'!$A$85:$A$126, 0)), 0)</f>
      </c>
      <c r="C19" t="str">
        <f>IFERROR(INDEX('9_Output_by_ISIC'!$B$2:$B$43, MATCH($A19, '9_Output_by_ISIC'!$A$2:$A$43, 0)), 0)</f>
      </c>
      <c r="D19" t="str">
        <f>B19/MAX(C19, Keys!$C$4)</f>
      </c>
      <c r="E19" t="str">
        <f>MIN(1, MAX(0, D19))</f>
      </c>
      <c r="F19" t="str">
        <f>IFERROR(INDEX('9c_ESoP_overrides'!$B$2:$B$3, MATCH($A19, '9c_ESoP_overrides'!$A$2:$A$3, 0)), E19)</f>
      </c>
    </row>
    <row r="20">
      <c r="A20" t="s">
        <v>385</v>
      </c>
      <c r="B20" t="str">
        <f>IFERROR(INDEX('8_Calc_Exp_ISIC'!$C$85:$C$126, MATCH($A20, '8_Calc_Exp_ISIC'!$A$85:$A$126, 0)), 0)</f>
      </c>
      <c r="C20" t="str">
        <f>IFERROR(INDEX('9_Output_by_ISIC'!$B$2:$B$43, MATCH($A20, '9_Output_by_ISIC'!$A$2:$A$43, 0)), 0)</f>
      </c>
      <c r="D20" t="str">
        <f>B20/MAX(C20, Keys!$C$4)</f>
      </c>
      <c r="E20" t="str">
        <f>MIN(1, MAX(0, D20))</f>
      </c>
      <c r="F20" t="str">
        <f>IFERROR(INDEX('9c_ESoP_overrides'!$B$2:$B$3, MATCH($A20, '9c_ESoP_overrides'!$A$2:$A$3, 0)), E20)</f>
      </c>
    </row>
    <row r="21">
      <c r="A21" t="s">
        <v>390</v>
      </c>
      <c r="B21" t="str">
        <f>IFERROR(INDEX('8_Calc_Exp_ISIC'!$C$85:$C$126, MATCH($A21, '8_Calc_Exp_ISIC'!$A$85:$A$126, 0)), 0)</f>
      </c>
      <c r="C21" t="str">
        <f>IFERROR(INDEX('9_Output_by_ISIC'!$B$2:$B$43, MATCH($A21, '9_Output_by_ISIC'!$A$2:$A$43, 0)), 0)</f>
      </c>
      <c r="D21" t="str">
        <f>B21/MAX(C21, Keys!$C$4)</f>
      </c>
      <c r="E21" t="str">
        <f>MIN(1, MAX(0, D21))</f>
      </c>
      <c r="F21" t="str">
        <f>IFERROR(INDEX('9c_ESoP_overrides'!$B$2:$B$3, MATCH($A21, '9c_ESoP_overrides'!$A$2:$A$3, 0)), E21)</f>
      </c>
    </row>
    <row r="22">
      <c r="A22" t="s">
        <v>393</v>
      </c>
      <c r="B22" t="str">
        <f>IFERROR(INDEX('8_Calc_Exp_ISIC'!$C$85:$C$126, MATCH($A22, '8_Calc_Exp_ISIC'!$A$85:$A$126, 0)), 0)</f>
      </c>
      <c r="C22" t="str">
        <f>IFERROR(INDEX('9_Output_by_ISIC'!$B$2:$B$43, MATCH($A22, '9_Output_by_ISIC'!$A$2:$A$43, 0)), 0)</f>
      </c>
      <c r="D22" t="str">
        <f>B22/MAX(C22, Keys!$C$4)</f>
      </c>
      <c r="E22" t="str">
        <f>MIN(1, MAX(0, D22))</f>
      </c>
      <c r="F22" t="str">
        <f>IFERROR(INDEX('9c_ESoP_overrides'!$B$2:$B$3, MATCH($A22, '9c_ESoP_overrides'!$A$2:$A$3, 0)), E22)</f>
      </c>
    </row>
    <row r="23">
      <c r="A23" t="s">
        <v>387</v>
      </c>
      <c r="B23" t="str">
        <f>IFERROR(INDEX('8_Calc_Exp_ISIC'!$C$85:$C$126, MATCH($A23, '8_Calc_Exp_ISIC'!$A$85:$A$126, 0)), 0)</f>
      </c>
      <c r="C23" t="str">
        <f>IFERROR(INDEX('9_Output_by_ISIC'!$B$2:$B$43, MATCH($A23, '9_Output_by_ISIC'!$A$2:$A$43, 0)), 0)</f>
      </c>
      <c r="D23" t="str">
        <f>B23/MAX(C23, Keys!$C$4)</f>
      </c>
      <c r="E23" t="str">
        <f>MIN(1, MAX(0, D23))</f>
      </c>
      <c r="F23" t="str">
        <f>IFERROR(INDEX('9c_ESoP_overrides'!$B$2:$B$3, MATCH($A23, '9c_ESoP_overrides'!$A$2:$A$3, 0)), E23)</f>
      </c>
    </row>
    <row r="24">
      <c r="A24" t="s">
        <v>396</v>
      </c>
      <c r="B24" t="str">
        <f>IFERROR(INDEX('8_Calc_Exp_ISIC'!$C$85:$C$126, MATCH($A24, '8_Calc_Exp_ISIC'!$A$85:$A$126, 0)), 0)</f>
      </c>
      <c r="C24" t="str">
        <f>IFERROR(INDEX('9_Output_by_ISIC'!$B$2:$B$43, MATCH($A24, '9_Output_by_ISIC'!$A$2:$A$43, 0)), 0)</f>
      </c>
      <c r="D24" t="str">
        <f>B24/MAX(C24, Keys!$C$4)</f>
      </c>
      <c r="E24" t="str">
        <f>MIN(1, MAX(0, D24))</f>
      </c>
      <c r="F24" t="str">
        <f>IFERROR(INDEX('9c_ESoP_overrides'!$B$2:$B$3, MATCH($A24, '9c_ESoP_overrides'!$A$2:$A$3, 0)), E24)</f>
      </c>
    </row>
    <row r="25">
      <c r="A25" t="s">
        <v>399</v>
      </c>
      <c r="B25" t="str">
        <f>IFERROR(INDEX('8_Calc_Exp_ISIC'!$C$85:$C$126, MATCH($A25, '8_Calc_Exp_ISIC'!$A$85:$A$126, 0)), 0)</f>
      </c>
      <c r="C25" t="str">
        <f>IFERROR(INDEX('9_Output_by_ISIC'!$B$2:$B$43, MATCH($A25, '9_Output_by_ISIC'!$A$2:$A$43, 0)), 0)</f>
      </c>
      <c r="D25" t="str">
        <f>B25/MAX(C25, Keys!$C$4)</f>
      </c>
      <c r="E25" t="str">
        <f>MIN(1, MAX(0, D25))</f>
      </c>
      <c r="F25" t="str">
        <f>IFERROR(INDEX('9c_ESoP_overrides'!$B$2:$B$3, MATCH($A25, '9c_ESoP_overrides'!$A$2:$A$3, 0)), E25)</f>
      </c>
    </row>
    <row r="26">
      <c r="A26" t="s">
        <v>402</v>
      </c>
      <c r="B26" t="str">
        <f>IFERROR(INDEX('8_Calc_Exp_ISIC'!$C$85:$C$126, MATCH($A26, '8_Calc_Exp_ISIC'!$A$85:$A$126, 0)), 0)</f>
      </c>
      <c r="C26" t="str">
        <f>IFERROR(INDEX('9_Output_by_ISIC'!$B$2:$B$43, MATCH($A26, '9_Output_by_ISIC'!$A$2:$A$43, 0)), 0)</f>
      </c>
      <c r="D26" t="str">
        <f>B26/MAX(C26, Keys!$C$4)</f>
      </c>
      <c r="E26" t="str">
        <f>MIN(1, MAX(0, D26))</f>
      </c>
      <c r="F26" t="str">
        <f>IFERROR(INDEX('9c_ESoP_overrides'!$B$2:$B$3, MATCH($A26, '9c_ESoP_overrides'!$A$2:$A$3, 0)), E26)</f>
      </c>
    </row>
    <row r="27">
      <c r="A27" t="s">
        <v>350</v>
      </c>
      <c r="B27" t="str">
        <f>IFERROR(INDEX('8_Calc_Exp_ISIC'!$C$85:$C$126, MATCH($A27, '8_Calc_Exp_ISIC'!$A$85:$A$126, 0)), 0)</f>
      </c>
      <c r="C27" t="str">
        <f>IFERROR(INDEX('9_Output_by_ISIC'!$B$2:$B$43, MATCH($A27, '9_Output_by_ISIC'!$A$2:$A$43, 0)), 0)</f>
      </c>
      <c r="D27" t="str">
        <f>B27/MAX(C27, Keys!$C$4)</f>
      </c>
      <c r="E27" t="str">
        <f>MIN(1, MAX(0, D27))</f>
      </c>
      <c r="F27" t="str">
        <f>IFERROR(INDEX('9c_ESoP_overrides'!$B$2:$B$3, MATCH($A27, '9c_ESoP_overrides'!$A$2:$A$3, 0)), E27)</f>
      </c>
    </row>
    <row r="28">
      <c r="A28" t="s">
        <v>353</v>
      </c>
      <c r="B28" t="str">
        <f>IFERROR(INDEX('8_Calc_Exp_ISIC'!$C$85:$C$126, MATCH($A28, '8_Calc_Exp_ISIC'!$A$85:$A$126, 0)), 0)</f>
      </c>
      <c r="C28" t="str">
        <f>IFERROR(INDEX('9_Output_by_ISIC'!$B$2:$B$43, MATCH($A28, '9_Output_by_ISIC'!$A$2:$A$43, 0)), 0)</f>
      </c>
      <c r="D28" t="str">
        <f>B28/MAX(C28, Keys!$C$4)</f>
      </c>
      <c r="E28" t="str">
        <f>MIN(1, MAX(0, D28))</f>
      </c>
      <c r="F28" t="str">
        <f>IFERROR(INDEX('9c_ESoP_overrides'!$B$2:$B$3, MATCH($A28, '9c_ESoP_overrides'!$A$2:$A$3, 0)), E28)</f>
      </c>
    </row>
    <row r="29">
      <c r="A29" t="s">
        <v>356</v>
      </c>
      <c r="B29" t="str">
        <f>IFERROR(INDEX('8_Calc_Exp_ISIC'!$C$85:$C$126, MATCH($A29, '8_Calc_Exp_ISIC'!$A$85:$A$126, 0)), 0)</f>
      </c>
      <c r="C29" t="str">
        <f>IFERROR(INDEX('9_Output_by_ISIC'!$B$2:$B$43, MATCH($A29, '9_Output_by_ISIC'!$A$2:$A$43, 0)), 0)</f>
      </c>
      <c r="D29" t="str">
        <f>B29/MAX(C29, Keys!$C$4)</f>
      </c>
      <c r="E29" t="str">
        <f>MIN(1, MAX(0, D29))</f>
      </c>
      <c r="F29" t="str">
        <f>IFERROR(INDEX('9c_ESoP_overrides'!$B$2:$B$3, MATCH($A29, '9c_ESoP_overrides'!$A$2:$A$3, 0)), E29)</f>
      </c>
    </row>
    <row r="30">
      <c r="A30" t="s">
        <v>360</v>
      </c>
      <c r="B30" t="str">
        <f>IFERROR(INDEX('8_Calc_Exp_ISIC'!$C$85:$C$126, MATCH($A30, '8_Calc_Exp_ISIC'!$A$85:$A$126, 0)), 0)</f>
      </c>
      <c r="C30" t="str">
        <f>IFERROR(INDEX('9_Output_by_ISIC'!$B$2:$B$43, MATCH($A30, '9_Output_by_ISIC'!$A$2:$A$43, 0)), 0)</f>
      </c>
      <c r="D30" t="str">
        <f>B30/MAX(C30, Keys!$C$4)</f>
      </c>
      <c r="E30" t="str">
        <f>MIN(1, MAX(0, D30))</f>
      </c>
      <c r="F30" t="str">
        <f>IFERROR(INDEX('9c_ESoP_overrides'!$B$2:$B$3, MATCH($A30, '9c_ESoP_overrides'!$A$2:$A$3, 0)), E30)</f>
      </c>
    </row>
    <row r="31">
      <c r="A31" t="s">
        <v>406</v>
      </c>
      <c r="B31" t="str">
        <f>IFERROR(INDEX('8_Calc_Exp_ISIC'!$C$85:$C$126, MATCH($A31, '8_Calc_Exp_ISIC'!$A$85:$A$126, 0)), 0)</f>
      </c>
      <c r="C31" t="str">
        <f>IFERROR(INDEX('9_Output_by_ISIC'!$B$2:$B$43, MATCH($A31, '9_Output_by_ISIC'!$A$2:$A$43, 0)), 0)</f>
      </c>
      <c r="D31" t="str">
        <f>B31/MAX(C31, Keys!$C$4)</f>
      </c>
      <c r="E31" t="str">
        <f>MIN(1, MAX(0, D31))</f>
      </c>
      <c r="F31" t="str">
        <f>IFERROR(INDEX('9c_ESoP_overrides'!$B$2:$B$3, MATCH($A31, '9c_ESoP_overrides'!$A$2:$A$3, 0)), E31)</f>
      </c>
    </row>
    <row r="32">
      <c r="A32" t="s">
        <v>413</v>
      </c>
      <c r="B32" t="str">
        <f>IFERROR(INDEX('8_Calc_Exp_ISIC'!$C$85:$C$126, MATCH($A32, '8_Calc_Exp_ISIC'!$A$85:$A$126, 0)), 0)</f>
      </c>
      <c r="C32" t="str">
        <f>IFERROR(INDEX('9_Output_by_ISIC'!$B$2:$B$43, MATCH($A32, '9_Output_by_ISIC'!$A$2:$A$43, 0)), 0)</f>
      </c>
      <c r="D32" t="str">
        <f>B32/MAX(C32, Keys!$C$4)</f>
      </c>
      <c r="E32" t="str">
        <f>MIN(1, MAX(0, D32))</f>
      </c>
      <c r="F32" t="str">
        <f>IFERROR(INDEX('9c_ESoP_overrides'!$B$2:$B$3, MATCH($A32, '9c_ESoP_overrides'!$A$2:$A$3, 0)), E32)</f>
      </c>
    </row>
    <row r="33">
      <c r="A33" t="s">
        <v>470</v>
      </c>
      <c r="B33" t="str">
        <f>IFERROR(INDEX('8_Calc_Exp_ISIC'!$C$85:$C$126, MATCH($A33, '8_Calc_Exp_ISIC'!$A$85:$A$126, 0)), 0)</f>
      </c>
      <c r="C33" t="str">
        <f>IFERROR(INDEX('9_Output_by_ISIC'!$B$2:$B$43, MATCH($A33, '9_Output_by_ISIC'!$A$2:$A$43, 0)), 0)</f>
      </c>
      <c r="D33" t="str">
        <f>B33/MAX(C33, Keys!$C$4)</f>
      </c>
      <c r="E33" t="str">
        <f>MIN(1, MAX(0, D33))</f>
      </c>
      <c r="F33" t="str">
        <f>IFERROR(INDEX('9c_ESoP_overrides'!$B$2:$B$3, MATCH($A33, '9c_ESoP_overrides'!$A$2:$A$3, 0)), E33)</f>
      </c>
    </row>
    <row r="34">
      <c r="A34" t="s">
        <v>425</v>
      </c>
      <c r="B34" t="str">
        <f>IFERROR(INDEX('8_Calc_Exp_ISIC'!$C$85:$C$126, MATCH($A34, '8_Calc_Exp_ISIC'!$A$85:$A$126, 0)), 0)</f>
      </c>
      <c r="C34" t="str">
        <f>IFERROR(INDEX('9_Output_by_ISIC'!$B$2:$B$43, MATCH($A34, '9_Output_by_ISIC'!$A$2:$A$43, 0)), 0)</f>
      </c>
      <c r="D34" t="str">
        <f>B34/MAX(C34, Keys!$C$4)</f>
      </c>
      <c r="E34" t="str">
        <f>MIN(1, MAX(0, D34))</f>
      </c>
      <c r="F34" t="str">
        <f>IFERROR(INDEX('9c_ESoP_overrides'!$B$2:$B$3, MATCH($A34, '9c_ESoP_overrides'!$A$2:$A$3, 0)), E34)</f>
      </c>
    </row>
    <row r="35">
      <c r="A35" t="s">
        <v>177</v>
      </c>
      <c r="B35" t="str">
        <f>IFERROR(INDEX('8_Calc_Exp_ISIC'!$C$85:$C$126, MATCH($A35, '8_Calc_Exp_ISIC'!$A$85:$A$126, 0)), 0)</f>
      </c>
      <c r="C35" t="str">
        <f>IFERROR(INDEX('9_Output_by_ISIC'!$B$2:$B$43, MATCH($A35, '9_Output_by_ISIC'!$A$2:$A$43, 0)), 0)</f>
      </c>
      <c r="D35" t="str">
        <f>B35/MAX(C35, Keys!$C$4)</f>
      </c>
      <c r="E35" t="str">
        <f>MIN(1, MAX(0, D35))</f>
      </c>
      <c r="F35" t="str">
        <f>IFERROR(INDEX('9c_ESoP_overrides'!$B$2:$B$3, MATCH($A35, '9c_ESoP_overrides'!$A$2:$A$3, 0)), E35)</f>
      </c>
    </row>
    <row r="36">
      <c r="A36" t="s">
        <v>432</v>
      </c>
      <c r="B36" t="str">
        <f>IFERROR(INDEX('8_Calc_Exp_ISIC'!$C$85:$C$126, MATCH($A36, '8_Calc_Exp_ISIC'!$A$85:$A$126, 0)), 0)</f>
      </c>
      <c r="C36" t="str">
        <f>IFERROR(INDEX('9_Output_by_ISIC'!$B$2:$B$43, MATCH($A36, '9_Output_by_ISIC'!$A$2:$A$43, 0)), 0)</f>
      </c>
      <c r="D36" t="str">
        <f>B36/MAX(C36, Keys!$C$4)</f>
      </c>
      <c r="E36" t="str">
        <f>MIN(1, MAX(0, D36))</f>
      </c>
      <c r="F36" t="str">
        <f>IFERROR(INDEX('9c_ESoP_overrides'!$B$2:$B$3, MATCH($A36, '9c_ESoP_overrides'!$A$2:$A$3, 0)), E36)</f>
      </c>
    </row>
    <row r="37">
      <c r="A37" t="s">
        <v>435</v>
      </c>
      <c r="B37" t="str">
        <f>IFERROR(INDEX('8_Calc_Exp_ISIC'!$C$85:$C$126, MATCH($A37, '8_Calc_Exp_ISIC'!$A$85:$A$126, 0)), 0)</f>
      </c>
      <c r="C37" t="str">
        <f>IFERROR(INDEX('9_Output_by_ISIC'!$B$2:$B$43, MATCH($A37, '9_Output_by_ISIC'!$A$2:$A$43, 0)), 0)</f>
      </c>
      <c r="D37" t="str">
        <f>B37/MAX(C37, Keys!$C$4)</f>
      </c>
      <c r="E37" t="str">
        <f>MIN(1, MAX(0, D37))</f>
      </c>
      <c r="F37" t="str">
        <f>IFERROR(INDEX('9c_ESoP_overrides'!$B$2:$B$3, MATCH($A37, '9c_ESoP_overrides'!$A$2:$A$3, 0)), E37)</f>
      </c>
    </row>
    <row r="38">
      <c r="A38" t="s">
        <v>441</v>
      </c>
      <c r="B38" t="str">
        <f>IFERROR(INDEX('8_Calc_Exp_ISIC'!$C$85:$C$126, MATCH($A38, '8_Calc_Exp_ISIC'!$A$85:$A$126, 0)), 0)</f>
      </c>
      <c r="C38" t="str">
        <f>IFERROR(INDEX('9_Output_by_ISIC'!$B$2:$B$43, MATCH($A38, '9_Output_by_ISIC'!$A$2:$A$43, 0)), 0)</f>
      </c>
      <c r="D38" t="str">
        <f>B38/MAX(C38, Keys!$C$4)</f>
      </c>
      <c r="E38" t="str">
        <f>MIN(1, MAX(0, D38))</f>
      </c>
      <c r="F38" t="str">
        <f>IFERROR(INDEX('9c_ESoP_overrides'!$B$2:$B$3, MATCH($A38, '9c_ESoP_overrides'!$A$2:$A$3, 0)), E38)</f>
      </c>
    </row>
    <row r="39">
      <c r="A39" t="s">
        <v>445</v>
      </c>
      <c r="B39" t="str">
        <f>IFERROR(INDEX('8_Calc_Exp_ISIC'!$C$85:$C$126, MATCH($A39, '8_Calc_Exp_ISIC'!$A$85:$A$126, 0)), 0)</f>
      </c>
      <c r="C39" t="str">
        <f>IFERROR(INDEX('9_Output_by_ISIC'!$B$2:$B$43, MATCH($A39, '9_Output_by_ISIC'!$A$2:$A$43, 0)), 0)</f>
      </c>
      <c r="D39" t="str">
        <f>B39/MAX(C39, Keys!$C$4)</f>
      </c>
      <c r="E39" t="str">
        <f>MIN(1, MAX(0, D39))</f>
      </c>
      <c r="F39" t="str">
        <f>IFERROR(INDEX('9c_ESoP_overrides'!$B$2:$B$3, MATCH($A39, '9c_ESoP_overrides'!$A$2:$A$3, 0)), E39)</f>
      </c>
    </row>
    <row r="40">
      <c r="A40" t="s">
        <v>475</v>
      </c>
      <c r="B40" t="str">
        <f>IFERROR(INDEX('8_Calc_Exp_ISIC'!$C$85:$C$126, MATCH($A40, '8_Calc_Exp_ISIC'!$A$85:$A$126, 0)), 0)</f>
      </c>
      <c r="C40" t="str">
        <f>IFERROR(INDEX('9_Output_by_ISIC'!$B$2:$B$43, MATCH($A40, '9_Output_by_ISIC'!$A$2:$A$43, 0)), 0)</f>
      </c>
      <c r="D40" t="str">
        <f>B40/MAX(C40, Keys!$C$4)</f>
      </c>
      <c r="E40" t="str">
        <f>MIN(1, MAX(0, D40))</f>
      </c>
      <c r="F40" t="str">
        <f>IFERROR(INDEX('9c_ESoP_overrides'!$B$2:$B$3, MATCH($A40, '9c_ESoP_overrides'!$A$2:$A$3, 0)), E40)</f>
      </c>
    </row>
    <row r="41">
      <c r="A41" t="s">
        <v>457</v>
      </c>
      <c r="B41" t="str">
        <f>IFERROR(INDEX('8_Calc_Exp_ISIC'!$C$85:$C$126, MATCH($A41, '8_Calc_Exp_ISIC'!$A$85:$A$126, 0)), 0)</f>
      </c>
      <c r="C41" t="str">
        <f>IFERROR(INDEX('9_Output_by_ISIC'!$B$2:$B$43, MATCH($A41, '9_Output_by_ISIC'!$A$2:$A$43, 0)), 0)</f>
      </c>
      <c r="D41" t="str">
        <f>B41/MAX(C41, Keys!$C$4)</f>
      </c>
      <c r="E41" t="str">
        <f>MIN(1, MAX(0, D41))</f>
      </c>
      <c r="F41" t="str">
        <f>IFERROR(INDEX('9c_ESoP_overrides'!$B$2:$B$3, MATCH($A41, '9c_ESoP_overrides'!$A$2:$A$3, 0)), E41)</f>
      </c>
    </row>
    <row r="42">
      <c r="A42" t="s">
        <v>460</v>
      </c>
      <c r="B42" t="str">
        <f>IFERROR(INDEX('8_Calc_Exp_ISIC'!$C$85:$C$126, MATCH($A42, '8_Calc_Exp_ISIC'!$A$85:$A$126, 0)), 0)</f>
      </c>
      <c r="C42" t="str">
        <f>IFERROR(INDEX('9_Output_by_ISIC'!$B$2:$B$43, MATCH($A42, '9_Output_by_ISIC'!$A$2:$A$43, 0)), 0)</f>
      </c>
      <c r="D42" t="str">
        <f>B42/MAX(C42, Keys!$C$4)</f>
      </c>
      <c r="E42" t="str">
        <f>MIN(1, MAX(0, D42))</f>
      </c>
      <c r="F42" t="str">
        <f>IFERROR(INDEX('9c_ESoP_overrides'!$B$2:$B$3, MATCH($A42, '9c_ESoP_overrides'!$A$2:$A$3, 0)), E42)</f>
      </c>
    </row>
    <row r="43">
      <c r="A43" t="s">
        <v>466</v>
      </c>
      <c r="B43" t="str">
        <f>IFERROR(INDEX('8_Calc_Exp_ISIC'!$C$85:$C$126, MATCH($A43, '8_Calc_Exp_ISIC'!$A$85:$A$126, 0)), 0)</f>
      </c>
      <c r="C43" t="str">
        <f>IFERROR(INDEX('9_Output_by_ISIC'!$B$2:$B$43, MATCH($A43, '9_Output_by_ISIC'!$A$2:$A$43, 0)), 0)</f>
      </c>
      <c r="D43" t="str">
        <f>B43/MAX(C43, Keys!$C$4)</f>
      </c>
      <c r="E43" t="str">
        <f>MIN(1, MAX(0, D43))</f>
      </c>
      <c r="F43" t="str">
        <f>IFERROR(INDEX('9c_ESoP_overrides'!$B$2:$B$3, MATCH($A43, '9c_ESoP_overrides'!$A$2:$A$3, 0)), E43)</f>
      </c>
    </row>
    <row r="44">
      <c r="A44" t="s">
        <v>583</v>
      </c>
      <c r="B44" t="str">
        <f>IFERROR(INDEX('8_Calc_Exp_ISIC'!$C$85:$C$126, MATCH($A44, '8_Calc_Exp_ISIC'!$A$85:$A$126, 0)), 0)</f>
      </c>
      <c r="C44" t="str">
        <f>IFERROR(INDEX('9_Output_by_ISIC'!$B$2:$B$43, MATCH($A44, '9_Output_by_ISIC'!$A$2:$A$43, 0)), 0)</f>
      </c>
      <c r="D44" t="str">
        <f>B44/MAX(C44, Keys!$C$4)</f>
      </c>
      <c r="E44" t="str">
        <f>MIN(1, MAX(0, D44))</f>
      </c>
      <c r="F44" t="str">
        <f>IFERROR(INDEX('9c_ESoP_overrides'!$B$2:$B$3, MATCH($A44, '9c_ESoP_overrides'!$A$2:$A$3,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611</v>
      </c>
      <c r="B2" t="str">
        <f>INDEX('10_Calc_DCS_ratio'!$F$3:$F$44, MATCH(B$1, '10_Calc_DCS_ratio'!$A$3:$A$44, 0))</f>
      </c>
      <c r="C2" t="str">
        <f>INDEX('10_Calc_DCS_ratio'!$F$3:$F$44, MATCH(C$1, '10_Calc_DCS_ratio'!$A$3:$A$44, 0))</f>
      </c>
      <c r="D2" t="str">
        <f>INDEX('10_Calc_DCS_ratio'!$F$3:$F$44, MATCH(D$1, '10_Calc_DCS_ratio'!$A$3:$A$44, 0))</f>
      </c>
      <c r="E2" t="str">
        <f>INDEX('10_Calc_DCS_ratio'!$F$3:$F$44, MATCH(E$1, '10_Calc_DCS_ratio'!$A$3:$A$44, 0))</f>
      </c>
      <c r="F2" t="str">
        <f>INDEX('10_Calc_DCS_ratio'!$F$3:$F$44, MATCH(F$1, '10_Calc_DCS_ratio'!$A$3:$A$44, 0))</f>
      </c>
      <c r="G2" t="str">
        <f>INDEX('10_Calc_DCS_ratio'!$F$3:$F$44, MATCH(G$1, '10_Calc_DCS_ratio'!$A$3:$A$44, 0))</f>
      </c>
      <c r="H2" t="str">
        <f>INDEX('10_Calc_DCS_ratio'!$F$3:$F$44, MATCH(H$1, '10_Calc_DCS_ratio'!$A$3:$A$44, 0))</f>
      </c>
      <c r="I2" t="str">
        <f>INDEX('10_Calc_DCS_ratio'!$F$3:$F$44, MATCH(I$1, '10_Calc_DCS_ratio'!$A$3:$A$44, 0))</f>
      </c>
      <c r="J2" t="str">
        <f>INDEX('10_Calc_DCS_ratio'!$F$3:$F$44, MATCH(J$1, '10_Calc_DCS_ratio'!$A$3:$A$44, 0))</f>
      </c>
      <c r="K2" t="str">
        <f>INDEX('10_Calc_DCS_ratio'!$F$3:$F$44, MATCH(K$1, '10_Calc_DCS_ratio'!$A$3:$A$44, 0))</f>
      </c>
      <c r="L2" t="str">
        <f>INDEX('10_Calc_DCS_ratio'!$F$3:$F$44, MATCH(L$1, '10_Calc_DCS_ratio'!$A$3:$A$44, 0))</f>
      </c>
      <c r="M2" t="str">
        <f>INDEX('10_Calc_DCS_ratio'!$F$3:$F$44, MATCH(M$1, '10_Calc_DCS_ratio'!$A$3:$A$44, 0))</f>
      </c>
      <c r="N2" t="str">
        <f>INDEX('10_Calc_DCS_ratio'!$F$3:$F$44, MATCH(N$1, '10_Calc_DCS_ratio'!$A$3:$A$44, 0))</f>
      </c>
      <c r="O2" t="str">
        <f>INDEX('10_Calc_DCS_ratio'!$F$3:$F$44, MATCH(O$1, '10_Calc_DCS_ratio'!$A$3:$A$44, 0))</f>
      </c>
      <c r="P2" t="str">
        <f>INDEX('10_Calc_DCS_ratio'!$F$3:$F$44, MATCH(P$1, '10_Calc_DCS_ratio'!$A$3:$A$44, 0))</f>
      </c>
      <c r="Q2" t="str">
        <f>INDEX('10_Calc_DCS_ratio'!$F$3:$F$44, MATCH(Q$1, '10_Calc_DCS_ratio'!$A$3:$A$44, 0))</f>
      </c>
      <c r="R2" t="str">
        <f>INDEX('10_Calc_DCS_ratio'!$F$3:$F$44, MATCH(R$1, '10_Calc_DCS_ratio'!$A$3:$A$44, 0))</f>
      </c>
      <c r="S2" t="str">
        <f>INDEX('10_Calc_DCS_ratio'!$F$3:$F$44, MATCH(S$1, '10_Calc_DCS_ratio'!$A$3:$A$44, 0))</f>
      </c>
      <c r="T2" t="str">
        <f>INDEX('10_Calc_DCS_ratio'!$F$3:$F$44, MATCH(T$1, '10_Calc_DCS_ratio'!$A$3:$A$44, 0))</f>
      </c>
      <c r="U2" t="str">
        <f>INDEX('10_Calc_DCS_ratio'!$F$3:$F$44, MATCH(U$1, '10_Calc_DCS_ratio'!$A$3:$A$44, 0))</f>
      </c>
      <c r="V2" t="str">
        <f>INDEX('10_Calc_DCS_ratio'!$F$3:$F$44, MATCH(V$1, '10_Calc_DCS_ratio'!$A$3:$A$44, 0))</f>
      </c>
      <c r="W2" t="str">
        <f>INDEX('10_Calc_DCS_ratio'!$F$3:$F$44, MATCH(W$1, '10_Calc_DCS_ratio'!$A$3:$A$44, 0))</f>
      </c>
      <c r="X2" t="str">
        <f>INDEX('10_Calc_DCS_ratio'!$F$3:$F$44, MATCH(X$1, '10_Calc_DCS_ratio'!$A$3:$A$44, 0))</f>
      </c>
      <c r="Y2" t="str">
        <f>INDEX('10_Calc_DCS_ratio'!$F$3:$F$44, MATCH(Y$1, '10_Calc_DCS_ratio'!$A$3:$A$44, 0))</f>
      </c>
      <c r="Z2" t="str">
        <f>INDEX('10_Calc_DCS_ratio'!$F$3:$F$44, MATCH(Z$1, '10_Calc_DCS_ratio'!$A$3:$A$44, 0))</f>
      </c>
      <c r="AA2" t="str">
        <f>INDEX('10_Calc_DCS_ratio'!$F$3:$F$44, MATCH(AA$1, '10_Calc_DCS_ratio'!$A$3:$A$44, 0))</f>
      </c>
      <c r="AB2" t="str">
        <f>INDEX('10_Calc_DCS_ratio'!$F$3:$F$44, MATCH(AB$1, '10_Calc_DCS_ratio'!$A$3:$A$44, 0))</f>
      </c>
      <c r="AC2" t="str">
        <f>INDEX('10_Calc_DCS_ratio'!$F$3:$F$44, MATCH(AC$1, '10_Calc_DCS_ratio'!$A$3:$A$44, 0))</f>
      </c>
      <c r="AD2" t="str">
        <f>INDEX('10_Calc_DCS_ratio'!$F$3:$F$44, MATCH(AD$1, '10_Calc_DCS_ratio'!$A$3:$A$44, 0))</f>
      </c>
      <c r="AE2" t="str">
        <f>INDEX('10_Calc_DCS_ratio'!$F$3:$F$44, MATCH(AE$1, '10_Calc_DCS_ratio'!$A$3:$A$44, 0))</f>
      </c>
      <c r="AF2" t="str">
        <f>INDEX('10_Calc_DCS_ratio'!$F$3:$F$44, MATCH(AF$1, '10_Calc_DCS_ratio'!$A$3:$A$44, 0))</f>
      </c>
      <c r="AG2" t="str">
        <f>INDEX('10_Calc_DCS_ratio'!$F$3:$F$44, MATCH(AG$1, '10_Calc_DCS_ratio'!$A$3:$A$44, 0))</f>
      </c>
      <c r="AH2" t="str">
        <f>INDEX('10_Calc_DCS_ratio'!$F$3:$F$44, MATCH(AH$1, '10_Calc_DCS_ratio'!$A$3:$A$44, 0))</f>
      </c>
      <c r="AI2" t="str">
        <f>INDEX('10_Calc_DCS_ratio'!$F$3:$F$44, MATCH(AI$1, '10_Calc_DCS_ratio'!$A$3:$A$44, 0))</f>
      </c>
      <c r="AJ2" t="str">
        <f>INDEX('10_Calc_DCS_ratio'!$F$3:$F$44, MATCH(AJ$1, '10_Calc_DCS_ratio'!$A$3:$A$44, 0))</f>
      </c>
      <c r="AK2" t="str">
        <f>INDEX('10_Calc_DCS_ratio'!$F$3:$F$44, MATCH(AK$1, '10_Calc_DCS_ratio'!$A$3:$A$44, 0))</f>
      </c>
      <c r="AL2" t="str">
        <f>INDEX('10_Calc_DCS_ratio'!$F$3:$F$44, MATCH(AL$1, '10_Calc_DCS_ratio'!$A$3:$A$44, 0))</f>
      </c>
      <c r="AM2" t="str">
        <f>INDEX('10_Calc_DCS_ratio'!$F$3:$F$44, MATCH(AM$1, '10_Calc_DCS_ratio'!$A$3:$A$44, 0))</f>
      </c>
      <c r="AN2" t="str">
        <f>INDEX('10_Calc_DCS_ratio'!$F$3:$F$44, MATCH(AN$1, '10_Calc_DCS_ratio'!$A$3:$A$44, 0))</f>
      </c>
      <c r="AO2" t="str">
        <f>INDEX('10_Calc_DCS_ratio'!$F$3:$F$44, MATCH(AO$1, '10_Calc_DCS_ratio'!$A$3:$A$44, 0))</f>
      </c>
      <c r="AP2" t="str">
        <f>INDEX('10_Calc_DCS_ratio'!$F$3:$F$44, MATCH(AP$1, '10_Calc_DCS_ratio'!$A$3:$A$44, 0))</f>
      </c>
      <c r="AQ2" t="str">
        <f>INDEX('10_Calc_DCS_ratio'!$F$3:$F$44, MATCH(AQ$1, '10_Calc_DCS_ratio'!$A$3:$A$44,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612</v>
      </c>
      <c r="B2" t="str">
        <f>INDEX('11_Calc_ESoP_ratio'!$F$3:$F$44, MATCH(B$1, '11_Calc_ESoP_ratio'!$A$3:$A$44, 0))</f>
      </c>
      <c r="C2" t="str">
        <f>INDEX('11_Calc_ESoP_ratio'!$F$3:$F$44, MATCH(C$1, '11_Calc_ESoP_ratio'!$A$3:$A$44, 0))</f>
      </c>
      <c r="D2" t="str">
        <f>INDEX('11_Calc_ESoP_ratio'!$F$3:$F$44, MATCH(D$1, '11_Calc_ESoP_ratio'!$A$3:$A$44, 0))</f>
      </c>
      <c r="E2" t="str">
        <f>INDEX('11_Calc_ESoP_ratio'!$F$3:$F$44, MATCH(E$1, '11_Calc_ESoP_ratio'!$A$3:$A$44, 0))</f>
      </c>
      <c r="F2" t="str">
        <f>INDEX('11_Calc_ESoP_ratio'!$F$3:$F$44, MATCH(F$1, '11_Calc_ESoP_ratio'!$A$3:$A$44, 0))</f>
      </c>
      <c r="G2" t="str">
        <f>INDEX('11_Calc_ESoP_ratio'!$F$3:$F$44, MATCH(G$1, '11_Calc_ESoP_ratio'!$A$3:$A$44, 0))</f>
      </c>
      <c r="H2" t="str">
        <f>INDEX('11_Calc_ESoP_ratio'!$F$3:$F$44, MATCH(H$1, '11_Calc_ESoP_ratio'!$A$3:$A$44, 0))</f>
      </c>
      <c r="I2" t="str">
        <f>INDEX('11_Calc_ESoP_ratio'!$F$3:$F$44, MATCH(I$1, '11_Calc_ESoP_ratio'!$A$3:$A$44, 0))</f>
      </c>
      <c r="J2" t="str">
        <f>INDEX('11_Calc_ESoP_ratio'!$F$3:$F$44, MATCH(J$1, '11_Calc_ESoP_ratio'!$A$3:$A$44, 0))</f>
      </c>
      <c r="K2" t="str">
        <f>INDEX('11_Calc_ESoP_ratio'!$F$3:$F$44, MATCH(K$1, '11_Calc_ESoP_ratio'!$A$3:$A$44, 0))</f>
      </c>
      <c r="L2" t="str">
        <f>INDEX('11_Calc_ESoP_ratio'!$F$3:$F$44, MATCH(L$1, '11_Calc_ESoP_ratio'!$A$3:$A$44, 0))</f>
      </c>
      <c r="M2" t="str">
        <f>INDEX('11_Calc_ESoP_ratio'!$F$3:$F$44, MATCH(M$1, '11_Calc_ESoP_ratio'!$A$3:$A$44, 0))</f>
      </c>
      <c r="N2" t="str">
        <f>INDEX('11_Calc_ESoP_ratio'!$F$3:$F$44, MATCH(N$1, '11_Calc_ESoP_ratio'!$A$3:$A$44, 0))</f>
      </c>
      <c r="O2" t="str">
        <f>INDEX('11_Calc_ESoP_ratio'!$F$3:$F$44, MATCH(O$1, '11_Calc_ESoP_ratio'!$A$3:$A$44, 0))</f>
      </c>
      <c r="P2" t="str">
        <f>INDEX('11_Calc_ESoP_ratio'!$F$3:$F$44, MATCH(P$1, '11_Calc_ESoP_ratio'!$A$3:$A$44, 0))</f>
      </c>
      <c r="Q2" t="str">
        <f>INDEX('11_Calc_ESoP_ratio'!$F$3:$F$44, MATCH(Q$1, '11_Calc_ESoP_ratio'!$A$3:$A$44, 0))</f>
      </c>
      <c r="R2" t="str">
        <f>INDEX('11_Calc_ESoP_ratio'!$F$3:$F$44, MATCH(R$1, '11_Calc_ESoP_ratio'!$A$3:$A$44, 0))</f>
      </c>
      <c r="S2" t="str">
        <f>INDEX('11_Calc_ESoP_ratio'!$F$3:$F$44, MATCH(S$1, '11_Calc_ESoP_ratio'!$A$3:$A$44, 0))</f>
      </c>
      <c r="T2" t="str">
        <f>INDEX('11_Calc_ESoP_ratio'!$F$3:$F$44, MATCH(T$1, '11_Calc_ESoP_ratio'!$A$3:$A$44, 0))</f>
      </c>
      <c r="U2" t="str">
        <f>INDEX('11_Calc_ESoP_ratio'!$F$3:$F$44, MATCH(U$1, '11_Calc_ESoP_ratio'!$A$3:$A$44, 0))</f>
      </c>
      <c r="V2" t="str">
        <f>INDEX('11_Calc_ESoP_ratio'!$F$3:$F$44, MATCH(V$1, '11_Calc_ESoP_ratio'!$A$3:$A$44, 0))</f>
      </c>
      <c r="W2" t="str">
        <f>INDEX('11_Calc_ESoP_ratio'!$F$3:$F$44, MATCH(W$1, '11_Calc_ESoP_ratio'!$A$3:$A$44, 0))</f>
      </c>
      <c r="X2" t="str">
        <f>INDEX('11_Calc_ESoP_ratio'!$F$3:$F$44, MATCH(X$1, '11_Calc_ESoP_ratio'!$A$3:$A$44, 0))</f>
      </c>
      <c r="Y2" t="str">
        <f>INDEX('11_Calc_ESoP_ratio'!$F$3:$F$44, MATCH(Y$1, '11_Calc_ESoP_ratio'!$A$3:$A$44, 0))</f>
      </c>
      <c r="Z2" t="str">
        <f>INDEX('11_Calc_ESoP_ratio'!$F$3:$F$44, MATCH(Z$1, '11_Calc_ESoP_ratio'!$A$3:$A$44, 0))</f>
      </c>
      <c r="AA2" t="str">
        <f>INDEX('11_Calc_ESoP_ratio'!$F$3:$F$44, MATCH(AA$1, '11_Calc_ESoP_ratio'!$A$3:$A$44, 0))</f>
      </c>
      <c r="AB2" t="str">
        <f>INDEX('11_Calc_ESoP_ratio'!$F$3:$F$44, MATCH(AB$1, '11_Calc_ESoP_ratio'!$A$3:$A$44, 0))</f>
      </c>
      <c r="AC2" t="str">
        <f>INDEX('11_Calc_ESoP_ratio'!$F$3:$F$44, MATCH(AC$1, '11_Calc_ESoP_ratio'!$A$3:$A$44, 0))</f>
      </c>
      <c r="AD2" t="str">
        <f>INDEX('11_Calc_ESoP_ratio'!$F$3:$F$44, MATCH(AD$1, '11_Calc_ESoP_ratio'!$A$3:$A$44, 0))</f>
      </c>
      <c r="AE2" t="str">
        <f>INDEX('11_Calc_ESoP_ratio'!$F$3:$F$44, MATCH(AE$1, '11_Calc_ESoP_ratio'!$A$3:$A$44, 0))</f>
      </c>
      <c r="AF2" t="str">
        <f>INDEX('11_Calc_ESoP_ratio'!$F$3:$F$44, MATCH(AF$1, '11_Calc_ESoP_ratio'!$A$3:$A$44, 0))</f>
      </c>
      <c r="AG2" t="str">
        <f>INDEX('11_Calc_ESoP_ratio'!$F$3:$F$44, MATCH(AG$1, '11_Calc_ESoP_ratio'!$A$3:$A$44, 0))</f>
      </c>
      <c r="AH2" t="str">
        <f>INDEX('11_Calc_ESoP_ratio'!$F$3:$F$44, MATCH(AH$1, '11_Calc_ESoP_ratio'!$A$3:$A$44, 0))</f>
      </c>
      <c r="AI2" t="str">
        <f>INDEX('11_Calc_ESoP_ratio'!$F$3:$F$44, MATCH(AI$1, '11_Calc_ESoP_ratio'!$A$3:$A$44, 0))</f>
      </c>
      <c r="AJ2" t="str">
        <f>INDEX('11_Calc_ESoP_ratio'!$F$3:$F$44, MATCH(AJ$1, '11_Calc_ESoP_ratio'!$A$3:$A$44, 0))</f>
      </c>
      <c r="AK2" t="str">
        <f>INDEX('11_Calc_ESoP_ratio'!$F$3:$F$44, MATCH(AK$1, '11_Calc_ESoP_ratio'!$A$3:$A$44, 0))</f>
      </c>
      <c r="AL2" t="str">
        <f>INDEX('11_Calc_ESoP_ratio'!$F$3:$F$44, MATCH(AL$1, '11_Calc_ESoP_ratio'!$A$3:$A$44, 0))</f>
      </c>
      <c r="AM2" t="str">
        <f>INDEX('11_Calc_ESoP_ratio'!$F$3:$F$44, MATCH(AM$1, '11_Calc_ESoP_ratio'!$A$3:$A$44, 0))</f>
      </c>
      <c r="AN2" t="str">
        <f>INDEX('11_Calc_ESoP_ratio'!$F$3:$F$44, MATCH(AN$1, '11_Calc_ESoP_ratio'!$A$3:$A$44, 0))</f>
      </c>
      <c r="AO2" t="str">
        <f>INDEX('11_Calc_ESoP_ratio'!$F$3:$F$44, MATCH(AO$1, '11_Calc_ESoP_ratio'!$A$3:$A$44, 0))</f>
      </c>
      <c r="AP2" t="str">
        <f>INDEX('11_Calc_ESoP_ratio'!$F$3:$F$44, MATCH(AP$1, '11_Calc_ESoP_ratio'!$A$3:$A$44, 0))</f>
      </c>
      <c r="AQ2" t="str">
        <f>INDEX('11_Calc_ESoP_ratio'!$F$3:$F$44, MATCH(AQ$1, '11_Calc_ESoP_ratio'!$A$3:$A$44,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2026-07-17T19:21:53Z</dcterms:created>
</coreProperties>
</file>