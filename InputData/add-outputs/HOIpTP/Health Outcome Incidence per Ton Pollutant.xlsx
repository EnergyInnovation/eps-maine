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E\add-outputs\HOIpTP\"/>
    </mc:Choice>
  </mc:AlternateContent>
  <xr:revisionPtr revIDLastSave="0" documentId="8_{1242B8B9-8B59-4B1D-9E71-B25A46A64CE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P13" i="19"/>
  <c r="B13" i="19"/>
  <c r="J13" i="19" s="1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Q8" i="19"/>
  <c r="K8" i="19"/>
  <c r="F8" i="19"/>
  <c r="B8" i="19"/>
  <c r="L8" i="19" s="1"/>
  <c r="B7" i="19"/>
  <c r="J6" i="19"/>
  <c r="D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Q3" i="19"/>
  <c r="J3" i="19"/>
  <c r="B3" i="19"/>
  <c r="AB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N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Q15" i="18"/>
  <c r="D15" i="18"/>
  <c r="B15" i="18"/>
  <c r="C15" i="18" s="1"/>
  <c r="AA14" i="18"/>
  <c r="U14" i="18"/>
  <c r="R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V8" i="18"/>
  <c r="R8" i="18"/>
  <c r="F8" i="18"/>
  <c r="B8" i="18"/>
  <c r="Y8" i="18" s="1"/>
  <c r="AB7" i="18"/>
  <c r="D7" i="18"/>
  <c r="B7" i="18"/>
  <c r="AA7" i="18" s="1"/>
  <c r="AA6" i="18"/>
  <c r="X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B3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A17" i="17"/>
  <c r="Y17" i="17"/>
  <c r="X17" i="17"/>
  <c r="Q17" i="17"/>
  <c r="E17" i="17"/>
  <c r="B17" i="17"/>
  <c r="AB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B15" i="17"/>
  <c r="M15" i="17" s="1"/>
  <c r="B14" i="17"/>
  <c r="C14" i="17" s="1"/>
  <c r="AA13" i="17"/>
  <c r="S13" i="17"/>
  <c r="Q13" i="17"/>
  <c r="D13" i="17"/>
  <c r="B13" i="17"/>
  <c r="X13" i="17" s="1"/>
  <c r="B12" i="17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V8" i="17"/>
  <c r="T8" i="17"/>
  <c r="R8" i="17"/>
  <c r="F8" i="17"/>
  <c r="C8" i="17"/>
  <c r="B8" i="17"/>
  <c r="AB8" i="17" s="1"/>
  <c r="B7" i="17"/>
  <c r="M6" i="17"/>
  <c r="L6" i="17"/>
  <c r="G6" i="17"/>
  <c r="E6" i="17"/>
  <c r="B6" i="17"/>
  <c r="C6" i="17" s="1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B3" i="17"/>
  <c r="E3" i="17" s="1"/>
  <c r="B2" i="17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B17" i="16"/>
  <c r="AB17" i="16" s="1"/>
  <c r="B16" i="16"/>
  <c r="AA15" i="16"/>
  <c r="X15" i="16"/>
  <c r="K15" i="16"/>
  <c r="B15" i="16"/>
  <c r="Y15" i="16" s="1"/>
  <c r="G14" i="16"/>
  <c r="C14" i="16"/>
  <c r="B14" i="16"/>
  <c r="X13" i="16"/>
  <c r="W13" i="16"/>
  <c r="B13" i="16"/>
  <c r="J13" i="16" s="1"/>
  <c r="W12" i="16"/>
  <c r="I12" i="16"/>
  <c r="B12" i="16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AB7" i="16"/>
  <c r="Y7" i="16"/>
  <c r="V7" i="16"/>
  <c r="T7" i="16"/>
  <c r="R7" i="16"/>
  <c r="H7" i="16"/>
  <c r="F7" i="16"/>
  <c r="E7" i="16"/>
  <c r="D7" i="16"/>
  <c r="C7" i="16"/>
  <c r="B7" i="16"/>
  <c r="Z7" i="16" s="1"/>
  <c r="W6" i="16"/>
  <c r="V6" i="16"/>
  <c r="T6" i="16"/>
  <c r="Q6" i="16"/>
  <c r="N6" i="16"/>
  <c r="M6" i="16"/>
  <c r="L6" i="16"/>
  <c r="I6" i="16"/>
  <c r="E6" i="16"/>
  <c r="B6" i="16"/>
  <c r="Z6" i="16" s="1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B3" i="16"/>
  <c r="AA3" i="16"/>
  <c r="Z3" i="16"/>
  <c r="X3" i="16"/>
  <c r="T3" i="16"/>
  <c r="R3" i="16"/>
  <c r="C3" i="16"/>
  <c r="B3" i="16"/>
  <c r="W3" i="16" s="1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L17" i="15"/>
  <c r="B17" i="15"/>
  <c r="T17" i="15" s="1"/>
  <c r="AA16" i="15"/>
  <c r="Z16" i="15"/>
  <c r="T16" i="15"/>
  <c r="Q16" i="15"/>
  <c r="K16" i="15"/>
  <c r="E16" i="15"/>
  <c r="C16" i="15"/>
  <c r="B16" i="15"/>
  <c r="T15" i="15"/>
  <c r="K15" i="15"/>
  <c r="I15" i="15"/>
  <c r="G15" i="15"/>
  <c r="B15" i="15"/>
  <c r="AB14" i="15"/>
  <c r="O14" i="15"/>
  <c r="M14" i="15"/>
  <c r="E14" i="15"/>
  <c r="B14" i="15"/>
  <c r="N14" i="15" s="1"/>
  <c r="W13" i="15"/>
  <c r="T13" i="15"/>
  <c r="S13" i="15"/>
  <c r="R13" i="15"/>
  <c r="Q13" i="15"/>
  <c r="O13" i="15"/>
  <c r="N13" i="15"/>
  <c r="M13" i="15"/>
  <c r="L13" i="15"/>
  <c r="J13" i="15"/>
  <c r="I13" i="15"/>
  <c r="H13" i="15"/>
  <c r="F13" i="15"/>
  <c r="E13" i="15"/>
  <c r="C13" i="15"/>
  <c r="B13" i="15"/>
  <c r="P13" i="15" s="1"/>
  <c r="X12" i="15"/>
  <c r="V12" i="15"/>
  <c r="T12" i="15"/>
  <c r="S12" i="15"/>
  <c r="R12" i="15"/>
  <c r="K12" i="15"/>
  <c r="G12" i="15"/>
  <c r="B12" i="15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K8" i="15"/>
  <c r="J8" i="15"/>
  <c r="D8" i="15"/>
  <c r="C8" i="15"/>
  <c r="B8" i="15"/>
  <c r="AB7" i="15"/>
  <c r="AA7" i="15"/>
  <c r="Z7" i="15"/>
  <c r="W7" i="15"/>
  <c r="V7" i="15"/>
  <c r="S7" i="15"/>
  <c r="R7" i="15"/>
  <c r="Q7" i="15"/>
  <c r="P7" i="15"/>
  <c r="O7" i="15"/>
  <c r="N7" i="15"/>
  <c r="M7" i="15"/>
  <c r="L7" i="15"/>
  <c r="K7" i="15"/>
  <c r="J7" i="15"/>
  <c r="H7" i="15"/>
  <c r="G7" i="15"/>
  <c r="F7" i="15"/>
  <c r="E7" i="15"/>
  <c r="D7" i="15"/>
  <c r="C7" i="15"/>
  <c r="B7" i="15"/>
  <c r="X7" i="15" s="1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Z3" i="15"/>
  <c r="W3" i="15"/>
  <c r="T3" i="15"/>
  <c r="Q3" i="15"/>
  <c r="I3" i="15"/>
  <c r="D3" i="15"/>
  <c r="B3" i="15"/>
  <c r="AB2" i="15"/>
  <c r="Z2" i="15"/>
  <c r="Y2" i="15"/>
  <c r="S2" i="15"/>
  <c r="Q2" i="15"/>
  <c r="P2" i="15"/>
  <c r="O2" i="15"/>
  <c r="N2" i="15"/>
  <c r="M2" i="15"/>
  <c r="L2" i="15"/>
  <c r="K2" i="15"/>
  <c r="J2" i="15"/>
  <c r="H2" i="15"/>
  <c r="G2" i="15"/>
  <c r="F2" i="15"/>
  <c r="E2" i="15"/>
  <c r="D2" i="15"/>
  <c r="C2" i="15"/>
  <c r="B2" i="15"/>
  <c r="X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Z15" i="14"/>
  <c r="Y15" i="14"/>
  <c r="W15" i="14"/>
  <c r="U15" i="14"/>
  <c r="T15" i="14"/>
  <c r="S15" i="14"/>
  <c r="Q15" i="14"/>
  <c r="P15" i="14"/>
  <c r="I15" i="14"/>
  <c r="D15" i="14"/>
  <c r="B15" i="14"/>
  <c r="AA15" i="14" s="1"/>
  <c r="B14" i="14"/>
  <c r="Y14" i="14" s="1"/>
  <c r="X13" i="14"/>
  <c r="R13" i="14"/>
  <c r="Q13" i="14"/>
  <c r="N13" i="14"/>
  <c r="K13" i="14"/>
  <c r="G13" i="14"/>
  <c r="E13" i="14"/>
  <c r="B13" i="14"/>
  <c r="AB13" i="14" s="1"/>
  <c r="B12" i="14"/>
  <c r="F12" i="14" s="1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AB7" i="14"/>
  <c r="Y7" i="14"/>
  <c r="W7" i="14"/>
  <c r="S7" i="14"/>
  <c r="R7" i="14"/>
  <c r="P7" i="14"/>
  <c r="O7" i="14"/>
  <c r="N7" i="14"/>
  <c r="B7" i="14"/>
  <c r="V7" i="14" s="1"/>
  <c r="AA6" i="14"/>
  <c r="Z6" i="14"/>
  <c r="X6" i="14"/>
  <c r="T6" i="14"/>
  <c r="S6" i="14"/>
  <c r="R6" i="14"/>
  <c r="Q6" i="14"/>
  <c r="P6" i="14"/>
  <c r="O6" i="14"/>
  <c r="N6" i="14"/>
  <c r="M6" i="14"/>
  <c r="L6" i="14"/>
  <c r="K6" i="14"/>
  <c r="B6" i="14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Y3" i="14"/>
  <c r="W3" i="14"/>
  <c r="U3" i="14"/>
  <c r="B3" i="14"/>
  <c r="AB3" i="14" s="1"/>
  <c r="AB2" i="14"/>
  <c r="AA2" i="14"/>
  <c r="Z2" i="14"/>
  <c r="X2" i="14"/>
  <c r="U2" i="14"/>
  <c r="R2" i="14"/>
  <c r="P2" i="14"/>
  <c r="O2" i="14"/>
  <c r="F2" i="14"/>
  <c r="B2" i="14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E17" i="13"/>
  <c r="C17" i="13"/>
  <c r="B17" i="13"/>
  <c r="F17" i="13" s="1"/>
  <c r="U16" i="13"/>
  <c r="T16" i="13"/>
  <c r="H16" i="13"/>
  <c r="G16" i="13"/>
  <c r="B16" i="13"/>
  <c r="AA16" i="13" s="1"/>
  <c r="AB15" i="13"/>
  <c r="Y15" i="13"/>
  <c r="W15" i="13"/>
  <c r="V15" i="13"/>
  <c r="T15" i="13"/>
  <c r="S15" i="13"/>
  <c r="R15" i="13"/>
  <c r="P15" i="13"/>
  <c r="N15" i="13"/>
  <c r="M15" i="13"/>
  <c r="L15" i="13"/>
  <c r="K15" i="13"/>
  <c r="J15" i="13"/>
  <c r="I15" i="13"/>
  <c r="H15" i="13"/>
  <c r="B15" i="13"/>
  <c r="AA15" i="13" s="1"/>
  <c r="B14" i="13"/>
  <c r="Z13" i="13"/>
  <c r="B13" i="13"/>
  <c r="S13" i="13" s="1"/>
  <c r="X12" i="13"/>
  <c r="U12" i="13"/>
  <c r="T12" i="13"/>
  <c r="S12" i="13"/>
  <c r="R12" i="13"/>
  <c r="O12" i="13"/>
  <c r="B12" i="13"/>
  <c r="W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W8" i="13"/>
  <c r="V8" i="13"/>
  <c r="U8" i="13"/>
  <c r="T8" i="13"/>
  <c r="R8" i="13"/>
  <c r="Q8" i="13"/>
  <c r="K8" i="13"/>
  <c r="J8" i="13"/>
  <c r="I8" i="13"/>
  <c r="G8" i="13"/>
  <c r="F8" i="13"/>
  <c r="E8" i="13"/>
  <c r="D8" i="13"/>
  <c r="B8" i="13"/>
  <c r="AA8" i="13" s="1"/>
  <c r="C7" i="13"/>
  <c r="B7" i="13"/>
  <c r="K6" i="13"/>
  <c r="J6" i="13"/>
  <c r="H6" i="13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AB3" i="13"/>
  <c r="W3" i="13"/>
  <c r="V3" i="13"/>
  <c r="N3" i="13"/>
  <c r="M3" i="13"/>
  <c r="L3" i="13"/>
  <c r="K3" i="13"/>
  <c r="J3" i="13"/>
  <c r="I3" i="13"/>
  <c r="F3" i="13"/>
  <c r="E3" i="13"/>
  <c r="D3" i="13"/>
  <c r="C3" i="13"/>
  <c r="B3" i="13"/>
  <c r="AA3" i="13" s="1"/>
  <c r="AB2" i="13"/>
  <c r="Z2" i="13"/>
  <c r="Y2" i="13"/>
  <c r="X2" i="13"/>
  <c r="V2" i="13"/>
  <c r="U2" i="13"/>
  <c r="R2" i="13"/>
  <c r="Q2" i="13"/>
  <c r="P2" i="13"/>
  <c r="O2" i="13"/>
  <c r="M2" i="13"/>
  <c r="J2" i="13"/>
  <c r="I2" i="13"/>
  <c r="H2" i="13"/>
  <c r="G2" i="13"/>
  <c r="F2" i="13"/>
  <c r="E2" i="13"/>
  <c r="D2" i="13"/>
  <c r="C2" i="13"/>
  <c r="B2" i="13"/>
  <c r="S2" i="13" s="1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O17" i="12"/>
  <c r="B17" i="12"/>
  <c r="T17" i="12" s="1"/>
  <c r="AB16" i="12"/>
  <c r="AA16" i="12"/>
  <c r="Z16" i="12"/>
  <c r="J16" i="12"/>
  <c r="C16" i="12"/>
  <c r="B16" i="12"/>
  <c r="V15" i="12"/>
  <c r="T15" i="12"/>
  <c r="D15" i="12"/>
  <c r="B15" i="12"/>
  <c r="Y14" i="12"/>
  <c r="X14" i="12"/>
  <c r="W14" i="12"/>
  <c r="V14" i="12"/>
  <c r="R14" i="12"/>
  <c r="Q14" i="12"/>
  <c r="L14" i="12"/>
  <c r="K14" i="12"/>
  <c r="B14" i="12"/>
  <c r="AB14" i="12" s="1"/>
  <c r="B13" i="12"/>
  <c r="AA12" i="12"/>
  <c r="C12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Z8" i="12"/>
  <c r="Y8" i="12"/>
  <c r="X8" i="12"/>
  <c r="W8" i="12"/>
  <c r="V8" i="12"/>
  <c r="S8" i="12"/>
  <c r="Q8" i="12"/>
  <c r="P8" i="12"/>
  <c r="M8" i="12"/>
  <c r="J8" i="12"/>
  <c r="I8" i="12"/>
  <c r="H8" i="12"/>
  <c r="G8" i="12"/>
  <c r="F8" i="12"/>
  <c r="B8" i="12"/>
  <c r="AA8" i="12" s="1"/>
  <c r="G7" i="12"/>
  <c r="F7" i="12"/>
  <c r="E7" i="12"/>
  <c r="B7" i="12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P3" i="12"/>
  <c r="N3" i="12"/>
  <c r="M3" i="12"/>
  <c r="L3" i="12"/>
  <c r="K3" i="12"/>
  <c r="J3" i="12"/>
  <c r="I3" i="12"/>
  <c r="F3" i="12"/>
  <c r="B3" i="12"/>
  <c r="G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O17" i="11"/>
  <c r="J17" i="11"/>
  <c r="D17" i="11"/>
  <c r="C17" i="11"/>
  <c r="B17" i="11"/>
  <c r="AB17" i="11" s="1"/>
  <c r="AB16" i="11"/>
  <c r="Y16" i="11"/>
  <c r="W16" i="11"/>
  <c r="V16" i="11"/>
  <c r="D16" i="11"/>
  <c r="B16" i="11"/>
  <c r="AA16" i="11" s="1"/>
  <c r="B15" i="11"/>
  <c r="W15" i="11" s="1"/>
  <c r="B14" i="11"/>
  <c r="AB13" i="11"/>
  <c r="AA13" i="11"/>
  <c r="Z13" i="11"/>
  <c r="Y13" i="11"/>
  <c r="X13" i="11"/>
  <c r="V13" i="11"/>
  <c r="U13" i="11"/>
  <c r="R13" i="11"/>
  <c r="Q13" i="11"/>
  <c r="M13" i="11"/>
  <c r="L13" i="11"/>
  <c r="K13" i="11"/>
  <c r="J13" i="11"/>
  <c r="B13" i="11"/>
  <c r="Y12" i="11"/>
  <c r="X12" i="11"/>
  <c r="U12" i="11"/>
  <c r="T12" i="11"/>
  <c r="P12" i="11"/>
  <c r="O12" i="11"/>
  <c r="M12" i="11"/>
  <c r="L12" i="11"/>
  <c r="K12" i="11"/>
  <c r="J12" i="11"/>
  <c r="I12" i="11"/>
  <c r="G12" i="11"/>
  <c r="F12" i="11"/>
  <c r="E12" i="11"/>
  <c r="B12" i="11"/>
  <c r="Z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B8" i="11"/>
  <c r="AA7" i="11"/>
  <c r="Z7" i="11"/>
  <c r="X7" i="11"/>
  <c r="W7" i="11"/>
  <c r="V7" i="11"/>
  <c r="M7" i="11"/>
  <c r="G7" i="11"/>
  <c r="E7" i="11"/>
  <c r="D7" i="11"/>
  <c r="C7" i="11"/>
  <c r="B7" i="11"/>
  <c r="X6" i="11"/>
  <c r="U6" i="11"/>
  <c r="T6" i="11"/>
  <c r="R6" i="11"/>
  <c r="Q6" i="11"/>
  <c r="G6" i="11"/>
  <c r="B6" i="1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P3" i="11"/>
  <c r="L3" i="11"/>
  <c r="I3" i="11"/>
  <c r="H3" i="11"/>
  <c r="E3" i="11"/>
  <c r="D3" i="11"/>
  <c r="C3" i="11"/>
  <c r="B3" i="1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AB15" i="10"/>
  <c r="Z15" i="10"/>
  <c r="Y15" i="10"/>
  <c r="W15" i="10"/>
  <c r="V15" i="10"/>
  <c r="U15" i="10"/>
  <c r="T15" i="10"/>
  <c r="R15" i="10"/>
  <c r="Q15" i="10"/>
  <c r="P15" i="10"/>
  <c r="O15" i="10"/>
  <c r="N15" i="10"/>
  <c r="M15" i="10"/>
  <c r="L15" i="10"/>
  <c r="K15" i="10"/>
  <c r="I15" i="10"/>
  <c r="H15" i="10"/>
  <c r="G15" i="10"/>
  <c r="F15" i="10"/>
  <c r="E15" i="10"/>
  <c r="C15" i="10"/>
  <c r="B15" i="10"/>
  <c r="X15" i="10" s="1"/>
  <c r="AB14" i="10"/>
  <c r="AA14" i="10"/>
  <c r="Y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G14" i="10"/>
  <c r="F14" i="10"/>
  <c r="E14" i="10"/>
  <c r="D14" i="10"/>
  <c r="C14" i="10"/>
  <c r="B14" i="10"/>
  <c r="Y13" i="10"/>
  <c r="M13" i="10"/>
  <c r="D13" i="10"/>
  <c r="B13" i="10"/>
  <c r="AA13" i="10" s="1"/>
  <c r="B12" i="10"/>
  <c r="AB12" i="10" s="1"/>
  <c r="C11" i="10"/>
  <c r="B11" i="10"/>
  <c r="B10" i="10"/>
  <c r="B9" i="10"/>
  <c r="AB8" i="10"/>
  <c r="Z8" i="10"/>
  <c r="N8" i="10"/>
  <c r="K8" i="10"/>
  <c r="B8" i="10"/>
  <c r="Q8" i="10" s="1"/>
  <c r="B7" i="10"/>
  <c r="X7" i="10" s="1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AA2" i="10"/>
  <c r="Z2" i="10"/>
  <c r="Y2" i="10"/>
  <c r="X2" i="10"/>
  <c r="U2" i="10"/>
  <c r="P2" i="10"/>
  <c r="N2" i="10"/>
  <c r="M2" i="10"/>
  <c r="L2" i="10"/>
  <c r="K2" i="10"/>
  <c r="H2" i="10"/>
  <c r="G2" i="10"/>
  <c r="F2" i="10"/>
  <c r="E2" i="10"/>
  <c r="D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W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Z15" i="9"/>
  <c r="Y15" i="9"/>
  <c r="K15" i="9"/>
  <c r="B15" i="9"/>
  <c r="Z14" i="9"/>
  <c r="B14" i="9"/>
  <c r="F14" i="9" s="1"/>
  <c r="AA13" i="9"/>
  <c r="Z13" i="9"/>
  <c r="M13" i="9"/>
  <c r="B13" i="9"/>
  <c r="Y13" i="9" s="1"/>
  <c r="AB12" i="9"/>
  <c r="AA12" i="9"/>
  <c r="Z12" i="9"/>
  <c r="Y12" i="9"/>
  <c r="W12" i="9"/>
  <c r="U12" i="9"/>
  <c r="S12" i="9"/>
  <c r="O12" i="9"/>
  <c r="J12" i="9"/>
  <c r="H12" i="9"/>
  <c r="E12" i="9"/>
  <c r="D12" i="9"/>
  <c r="C12" i="9"/>
  <c r="B12" i="9"/>
  <c r="X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Y8" i="9"/>
  <c r="U8" i="9"/>
  <c r="T8" i="9"/>
  <c r="S8" i="9"/>
  <c r="R8" i="9"/>
  <c r="Q8" i="9"/>
  <c r="P8" i="9"/>
  <c r="O8" i="9"/>
  <c r="N8" i="9"/>
  <c r="M8" i="9"/>
  <c r="L8" i="9"/>
  <c r="I8" i="9"/>
  <c r="G8" i="9"/>
  <c r="F8" i="9"/>
  <c r="E8" i="9"/>
  <c r="C8" i="9"/>
  <c r="B8" i="9"/>
  <c r="AA7" i="9"/>
  <c r="W7" i="9"/>
  <c r="U7" i="9"/>
  <c r="S7" i="9"/>
  <c r="R7" i="9"/>
  <c r="Q7" i="9"/>
  <c r="P7" i="9"/>
  <c r="N7" i="9"/>
  <c r="M7" i="9"/>
  <c r="L7" i="9"/>
  <c r="J7" i="9"/>
  <c r="I7" i="9"/>
  <c r="C7" i="9"/>
  <c r="B7" i="9"/>
  <c r="AB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B3" i="9"/>
  <c r="O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B15" i="8"/>
  <c r="AB14" i="8"/>
  <c r="AA14" i="8"/>
  <c r="Y14" i="8"/>
  <c r="W14" i="8"/>
  <c r="V14" i="8"/>
  <c r="U14" i="8"/>
  <c r="T14" i="8"/>
  <c r="S14" i="8"/>
  <c r="R14" i="8"/>
  <c r="Q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X13" i="8"/>
  <c r="W13" i="8"/>
  <c r="V13" i="8"/>
  <c r="R13" i="8"/>
  <c r="Q13" i="8"/>
  <c r="P13" i="8"/>
  <c r="O13" i="8"/>
  <c r="M13" i="8"/>
  <c r="L13" i="8"/>
  <c r="K13" i="8"/>
  <c r="J13" i="8"/>
  <c r="I13" i="8"/>
  <c r="H13" i="8"/>
  <c r="G13" i="8"/>
  <c r="F13" i="8"/>
  <c r="E13" i="8"/>
  <c r="B13" i="8"/>
  <c r="S13" i="8" s="1"/>
  <c r="H12" i="8"/>
  <c r="D12" i="8"/>
  <c r="B12" i="8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Q8" i="8"/>
  <c r="M8" i="8"/>
  <c r="L8" i="8"/>
  <c r="H8" i="8"/>
  <c r="B8" i="8"/>
  <c r="B7" i="8"/>
  <c r="P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Z3" i="8"/>
  <c r="W3" i="8"/>
  <c r="V3" i="8"/>
  <c r="S3" i="8"/>
  <c r="R3" i="8"/>
  <c r="Q3" i="8"/>
  <c r="P3" i="8"/>
  <c r="O3" i="8"/>
  <c r="N3" i="8"/>
  <c r="G3" i="8"/>
  <c r="B3" i="8"/>
  <c r="AA3" i="8" s="1"/>
  <c r="AA2" i="8"/>
  <c r="Z2" i="8"/>
  <c r="W2" i="8"/>
  <c r="U2" i="8"/>
  <c r="T2" i="8"/>
  <c r="S2" i="8"/>
  <c r="R2" i="8"/>
  <c r="Q2" i="8"/>
  <c r="P2" i="8"/>
  <c r="N2" i="8"/>
  <c r="M2" i="8"/>
  <c r="L2" i="8"/>
  <c r="I2" i="8"/>
  <c r="H2" i="8"/>
  <c r="G2" i="8"/>
  <c r="F2" i="8"/>
  <c r="C2" i="8"/>
  <c r="B2" i="8"/>
  <c r="V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S17" i="7"/>
  <c r="Q17" i="7"/>
  <c r="M17" i="7"/>
  <c r="L17" i="7"/>
  <c r="E17" i="7"/>
  <c r="B17" i="7"/>
  <c r="N16" i="7"/>
  <c r="M16" i="7"/>
  <c r="L16" i="7"/>
  <c r="J16" i="7"/>
  <c r="H16" i="7"/>
  <c r="G16" i="7"/>
  <c r="B16" i="7"/>
  <c r="AA16" i="7" s="1"/>
  <c r="AA15" i="7"/>
  <c r="Y15" i="7"/>
  <c r="W15" i="7"/>
  <c r="V15" i="7"/>
  <c r="F15" i="7"/>
  <c r="E15" i="7"/>
  <c r="C15" i="7"/>
  <c r="B15" i="7"/>
  <c r="B14" i="7"/>
  <c r="Y14" i="7" s="1"/>
  <c r="AA13" i="7"/>
  <c r="X13" i="7"/>
  <c r="W13" i="7"/>
  <c r="V13" i="7"/>
  <c r="T13" i="7"/>
  <c r="B13" i="7"/>
  <c r="I13" i="7" s="1"/>
  <c r="Y12" i="7"/>
  <c r="X12" i="7"/>
  <c r="W12" i="7"/>
  <c r="V12" i="7"/>
  <c r="T12" i="7"/>
  <c r="S12" i="7"/>
  <c r="R12" i="7"/>
  <c r="P12" i="7"/>
  <c r="O12" i="7"/>
  <c r="G12" i="7"/>
  <c r="C12" i="7"/>
  <c r="B12" i="7"/>
  <c r="N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U8" i="7"/>
  <c r="R8" i="7"/>
  <c r="Q8" i="7"/>
  <c r="P8" i="7"/>
  <c r="N8" i="7"/>
  <c r="M8" i="7"/>
  <c r="L8" i="7"/>
  <c r="K8" i="7"/>
  <c r="J8" i="7"/>
  <c r="H8" i="7"/>
  <c r="B8" i="7"/>
  <c r="C8" i="7" s="1"/>
  <c r="Z7" i="7"/>
  <c r="Y7" i="7"/>
  <c r="W7" i="7"/>
  <c r="V7" i="7"/>
  <c r="S7" i="7"/>
  <c r="R7" i="7"/>
  <c r="Q7" i="7"/>
  <c r="P7" i="7"/>
  <c r="O7" i="7"/>
  <c r="N7" i="7"/>
  <c r="M7" i="7"/>
  <c r="K7" i="7"/>
  <c r="J7" i="7"/>
  <c r="E7" i="7"/>
  <c r="D7" i="7"/>
  <c r="C7" i="7"/>
  <c r="B7" i="7"/>
  <c r="AA7" i="7" s="1"/>
  <c r="AB6" i="7"/>
  <c r="Z6" i="7"/>
  <c r="X6" i="7"/>
  <c r="W6" i="7"/>
  <c r="V6" i="7"/>
  <c r="U6" i="7"/>
  <c r="S6" i="7"/>
  <c r="R6" i="7"/>
  <c r="Q6" i="7"/>
  <c r="P6" i="7"/>
  <c r="O6" i="7"/>
  <c r="N6" i="7"/>
  <c r="I6" i="7"/>
  <c r="H6" i="7"/>
  <c r="F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V3" i="7"/>
  <c r="T3" i="7"/>
  <c r="S3" i="7"/>
  <c r="P3" i="7"/>
  <c r="O3" i="7"/>
  <c r="H3" i="7"/>
  <c r="B3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AA17" i="6"/>
  <c r="Z17" i="6"/>
  <c r="X17" i="6"/>
  <c r="U17" i="6"/>
  <c r="T17" i="6"/>
  <c r="S17" i="6"/>
  <c r="R17" i="6"/>
  <c r="P17" i="6"/>
  <c r="O17" i="6"/>
  <c r="M17" i="6"/>
  <c r="K17" i="6"/>
  <c r="J17" i="6"/>
  <c r="H17" i="6"/>
  <c r="G17" i="6"/>
  <c r="F17" i="6"/>
  <c r="E17" i="6"/>
  <c r="B17" i="6"/>
  <c r="W17" i="6" s="1"/>
  <c r="E16" i="6"/>
  <c r="D16" i="6"/>
  <c r="C16" i="6"/>
  <c r="B16" i="6"/>
  <c r="W15" i="6"/>
  <c r="U15" i="6"/>
  <c r="T15" i="6"/>
  <c r="R15" i="6"/>
  <c r="Q15" i="6"/>
  <c r="P15" i="6"/>
  <c r="O15" i="6"/>
  <c r="N15" i="6"/>
  <c r="M15" i="6"/>
  <c r="L15" i="6"/>
  <c r="F15" i="6"/>
  <c r="B15" i="6"/>
  <c r="Y15" i="6" s="1"/>
  <c r="AA14" i="6"/>
  <c r="X14" i="6"/>
  <c r="T14" i="6"/>
  <c r="S14" i="6"/>
  <c r="R14" i="6"/>
  <c r="Q14" i="6"/>
  <c r="P14" i="6"/>
  <c r="O14" i="6"/>
  <c r="N14" i="6"/>
  <c r="M14" i="6"/>
  <c r="B14" i="6"/>
  <c r="AB14" i="6" s="1"/>
  <c r="Y13" i="6"/>
  <c r="V13" i="6"/>
  <c r="R13" i="6"/>
  <c r="Q13" i="6"/>
  <c r="P13" i="6"/>
  <c r="O13" i="6"/>
  <c r="N13" i="6"/>
  <c r="M13" i="6"/>
  <c r="K13" i="6"/>
  <c r="I13" i="6"/>
  <c r="H13" i="6"/>
  <c r="B13" i="6"/>
  <c r="T13" i="6" s="1"/>
  <c r="J12" i="6"/>
  <c r="D12" i="6"/>
  <c r="B12" i="6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I8" i="6"/>
  <c r="H8" i="6"/>
  <c r="G8" i="6"/>
  <c r="E8" i="6"/>
  <c r="D8" i="6"/>
  <c r="C8" i="6"/>
  <c r="B8" i="6"/>
  <c r="AB8" i="6" s="1"/>
  <c r="B7" i="6"/>
  <c r="J7" i="6" s="1"/>
  <c r="B6" i="6"/>
  <c r="K6" i="6" s="1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Q3" i="6"/>
  <c r="P3" i="6"/>
  <c r="O3" i="6"/>
  <c r="M3" i="6"/>
  <c r="L3" i="6"/>
  <c r="K3" i="6"/>
  <c r="F3" i="6"/>
  <c r="C3" i="6"/>
  <c r="B3" i="6"/>
  <c r="B2" i="6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B16" i="5"/>
  <c r="B15" i="5"/>
  <c r="D15" i="5" s="1"/>
  <c r="AB14" i="5"/>
  <c r="AA14" i="5"/>
  <c r="B14" i="5"/>
  <c r="D14" i="5" s="1"/>
  <c r="H13" i="5"/>
  <c r="G13" i="5"/>
  <c r="D13" i="5"/>
  <c r="B13" i="5"/>
  <c r="B12" i="5"/>
  <c r="H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X7" i="5"/>
  <c r="B7" i="5"/>
  <c r="D7" i="5" s="1"/>
  <c r="E6" i="5"/>
  <c r="B6" i="5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V3" i="5"/>
  <c r="U3" i="5"/>
  <c r="T3" i="5"/>
  <c r="Q3" i="5"/>
  <c r="N3" i="5"/>
  <c r="M3" i="5"/>
  <c r="L3" i="5"/>
  <c r="B3" i="5"/>
  <c r="W3" i="5" s="1"/>
  <c r="B2" i="5"/>
  <c r="B2" i="1"/>
  <c r="S14" i="11" l="1"/>
  <c r="K14" i="11"/>
  <c r="I14" i="11"/>
  <c r="T14" i="11"/>
  <c r="R14" i="11"/>
  <c r="Q14" i="11"/>
  <c r="P14" i="11"/>
  <c r="O14" i="11"/>
  <c r="N14" i="11"/>
  <c r="M14" i="11"/>
  <c r="F14" i="11"/>
  <c r="C14" i="11"/>
  <c r="L14" i="11"/>
  <c r="J14" i="11"/>
  <c r="H14" i="11"/>
  <c r="G14" i="11"/>
  <c r="E14" i="11"/>
  <c r="AB14" i="11"/>
  <c r="AA14" i="11"/>
  <c r="X14" i="11"/>
  <c r="Y7" i="13"/>
  <c r="L7" i="13"/>
  <c r="AA7" i="13"/>
  <c r="AB7" i="13"/>
  <c r="R7" i="13"/>
  <c r="M7" i="13"/>
  <c r="Z7" i="13"/>
  <c r="X7" i="13"/>
  <c r="W7" i="13"/>
  <c r="U7" i="13"/>
  <c r="S7" i="13"/>
  <c r="N7" i="13"/>
  <c r="G7" i="13"/>
  <c r="F7" i="13"/>
  <c r="E7" i="13"/>
  <c r="Y2" i="7"/>
  <c r="L2" i="7"/>
  <c r="P2" i="7"/>
  <c r="R2" i="7"/>
  <c r="Z2" i="7"/>
  <c r="S2" i="7"/>
  <c r="Q2" i="7"/>
  <c r="M2" i="7"/>
  <c r="U14" i="11"/>
  <c r="V14" i="11"/>
  <c r="D7" i="13"/>
  <c r="X14" i="9"/>
  <c r="H14" i="9"/>
  <c r="V14" i="9"/>
  <c r="S14" i="9"/>
  <c r="U14" i="9"/>
  <c r="I14" i="9"/>
  <c r="T14" i="9"/>
  <c r="R14" i="9"/>
  <c r="Q14" i="9"/>
  <c r="P14" i="9"/>
  <c r="K14" i="9"/>
  <c r="O14" i="9"/>
  <c r="N14" i="9"/>
  <c r="M14" i="9"/>
  <c r="L14" i="9"/>
  <c r="J14" i="9"/>
  <c r="E14" i="9"/>
  <c r="AB14" i="9"/>
  <c r="D14" i="9"/>
  <c r="AA14" i="9"/>
  <c r="C14" i="9"/>
  <c r="C2" i="6"/>
  <c r="AB2" i="6"/>
  <c r="Z2" i="6"/>
  <c r="AA2" i="6"/>
  <c r="T2" i="6"/>
  <c r="G14" i="9"/>
  <c r="W14" i="11"/>
  <c r="H7" i="13"/>
  <c r="I7" i="13"/>
  <c r="W14" i="9"/>
  <c r="Y14" i="9"/>
  <c r="R15" i="11"/>
  <c r="X15" i="12"/>
  <c r="N15" i="12"/>
  <c r="AA15" i="12"/>
  <c r="C15" i="12"/>
  <c r="Y15" i="12"/>
  <c r="S15" i="12"/>
  <c r="R15" i="12"/>
  <c r="Q15" i="12"/>
  <c r="G15" i="12"/>
  <c r="P15" i="12"/>
  <c r="O15" i="12"/>
  <c r="M15" i="12"/>
  <c r="L15" i="12"/>
  <c r="K15" i="12"/>
  <c r="J15" i="12"/>
  <c r="I15" i="12"/>
  <c r="E15" i="12"/>
  <c r="H15" i="12"/>
  <c r="F15" i="12"/>
  <c r="AB15" i="12"/>
  <c r="Z15" i="12"/>
  <c r="X15" i="5"/>
  <c r="U15" i="5"/>
  <c r="T15" i="5"/>
  <c r="S15" i="5"/>
  <c r="R15" i="5"/>
  <c r="Q15" i="5"/>
  <c r="P15" i="5"/>
  <c r="J15" i="5"/>
  <c r="O15" i="5"/>
  <c r="N15" i="5"/>
  <c r="H15" i="5"/>
  <c r="M15" i="5"/>
  <c r="L15" i="5"/>
  <c r="K15" i="5"/>
  <c r="I15" i="5"/>
  <c r="AB15" i="5"/>
  <c r="E15" i="5"/>
  <c r="AB6" i="5"/>
  <c r="Z6" i="5"/>
  <c r="W6" i="5"/>
  <c r="X6" i="5"/>
  <c r="K6" i="5"/>
  <c r="F15" i="5"/>
  <c r="G2" i="7"/>
  <c r="W12" i="8"/>
  <c r="R12" i="8"/>
  <c r="AB12" i="8"/>
  <c r="AA12" i="8"/>
  <c r="Y12" i="8"/>
  <c r="Z12" i="8"/>
  <c r="X12" i="8"/>
  <c r="O12" i="8"/>
  <c r="V12" i="8"/>
  <c r="U12" i="8"/>
  <c r="T12" i="8"/>
  <c r="S12" i="8"/>
  <c r="Q12" i="8"/>
  <c r="E12" i="8"/>
  <c r="C12" i="8"/>
  <c r="W15" i="12"/>
  <c r="Z14" i="7"/>
  <c r="U14" i="7"/>
  <c r="X14" i="7"/>
  <c r="S14" i="7"/>
  <c r="Q14" i="7"/>
  <c r="V14" i="7"/>
  <c r="T14" i="7"/>
  <c r="R14" i="7"/>
  <c r="F14" i="7"/>
  <c r="O14" i="7"/>
  <c r="M14" i="7"/>
  <c r="I14" i="7"/>
  <c r="N14" i="7"/>
  <c r="L14" i="7"/>
  <c r="J14" i="7"/>
  <c r="H14" i="7"/>
  <c r="I2" i="7"/>
  <c r="AB8" i="11"/>
  <c r="S8" i="11"/>
  <c r="Q8" i="11"/>
  <c r="D8" i="11"/>
  <c r="X8" i="11"/>
  <c r="T8" i="11"/>
  <c r="R8" i="11"/>
  <c r="P8" i="11"/>
  <c r="I8" i="11"/>
  <c r="O8" i="11"/>
  <c r="N8" i="11"/>
  <c r="K8" i="11"/>
  <c r="J8" i="11"/>
  <c r="E8" i="11"/>
  <c r="G6" i="15"/>
  <c r="L6" i="15"/>
  <c r="E6" i="15"/>
  <c r="X6" i="15"/>
  <c r="W6" i="15"/>
  <c r="U6" i="15"/>
  <c r="AB6" i="15"/>
  <c r="AA6" i="15"/>
  <c r="V6" i="15"/>
  <c r="T6" i="15"/>
  <c r="S6" i="15"/>
  <c r="R6" i="15"/>
  <c r="K6" i="15"/>
  <c r="D6" i="15"/>
  <c r="Q6" i="15"/>
  <c r="P6" i="15"/>
  <c r="O6" i="15"/>
  <c r="N6" i="15"/>
  <c r="M6" i="15"/>
  <c r="J6" i="15"/>
  <c r="I6" i="15"/>
  <c r="Z15" i="8"/>
  <c r="N15" i="8"/>
  <c r="J15" i="8"/>
  <c r="AA15" i="8"/>
  <c r="L15" i="8"/>
  <c r="Y15" i="8"/>
  <c r="U15" i="8"/>
  <c r="P15" i="8"/>
  <c r="O15" i="8"/>
  <c r="M15" i="8"/>
  <c r="K15" i="8"/>
  <c r="G15" i="8"/>
  <c r="F15" i="8"/>
  <c r="E15" i="8"/>
  <c r="N12" i="8"/>
  <c r="E6" i="10"/>
  <c r="J6" i="10"/>
  <c r="AA6" i="10"/>
  <c r="Y6" i="10"/>
  <c r="R6" i="10"/>
  <c r="O6" i="10"/>
  <c r="L6" i="10"/>
  <c r="H6" i="10"/>
  <c r="C8" i="11"/>
  <c r="U14" i="13"/>
  <c r="E14" i="13"/>
  <c r="R14" i="13"/>
  <c r="P14" i="13"/>
  <c r="M14" i="13"/>
  <c r="AA14" i="13"/>
  <c r="Y14" i="13"/>
  <c r="W14" i="13"/>
  <c r="V14" i="13"/>
  <c r="N14" i="13"/>
  <c r="T14" i="13"/>
  <c r="S14" i="13"/>
  <c r="Q14" i="13"/>
  <c r="O14" i="13"/>
  <c r="K14" i="13"/>
  <c r="J14" i="13"/>
  <c r="H14" i="13"/>
  <c r="AA14" i="7"/>
  <c r="V15" i="5"/>
  <c r="M6" i="5"/>
  <c r="Y15" i="5"/>
  <c r="N2" i="7"/>
  <c r="R6" i="5"/>
  <c r="Z15" i="5"/>
  <c r="O2" i="7"/>
  <c r="C6" i="10"/>
  <c r="F14" i="13"/>
  <c r="D14" i="7"/>
  <c r="AA15" i="5"/>
  <c r="L14" i="13"/>
  <c r="H2" i="7"/>
  <c r="F2" i="5"/>
  <c r="C2" i="5"/>
  <c r="D2" i="5"/>
  <c r="C15" i="5"/>
  <c r="O17" i="5"/>
  <c r="Y17" i="5"/>
  <c r="X17" i="5"/>
  <c r="W17" i="5"/>
  <c r="V17" i="5"/>
  <c r="T17" i="5"/>
  <c r="K17" i="5"/>
  <c r="U17" i="5"/>
  <c r="D17" i="5"/>
  <c r="S17" i="5"/>
  <c r="R17" i="5"/>
  <c r="P17" i="5"/>
  <c r="Q17" i="5"/>
  <c r="L17" i="5"/>
  <c r="J17" i="5"/>
  <c r="AB2" i="16"/>
  <c r="AA2" i="16"/>
  <c r="Y2" i="16"/>
  <c r="X2" i="16"/>
  <c r="W2" i="16"/>
  <c r="U2" i="16"/>
  <c r="Q2" i="16"/>
  <c r="T2" i="16"/>
  <c r="P2" i="16"/>
  <c r="K2" i="16"/>
  <c r="D2" i="16"/>
  <c r="E2" i="5"/>
  <c r="X7" i="17"/>
  <c r="W7" i="17"/>
  <c r="V7" i="17"/>
  <c r="T7" i="17"/>
  <c r="R7" i="17"/>
  <c r="O7" i="17"/>
  <c r="J7" i="17"/>
  <c r="H7" i="17"/>
  <c r="G7" i="17"/>
  <c r="F7" i="17"/>
  <c r="E7" i="17"/>
  <c r="D7" i="17"/>
  <c r="Z7" i="17"/>
  <c r="K7" i="17"/>
  <c r="Y7" i="17"/>
  <c r="U7" i="17"/>
  <c r="S7" i="17"/>
  <c r="P7" i="17"/>
  <c r="I6" i="5"/>
  <c r="T7" i="8"/>
  <c r="Z7" i="8"/>
  <c r="Y7" i="8"/>
  <c r="Q7" i="8"/>
  <c r="W7" i="8"/>
  <c r="U7" i="8"/>
  <c r="S7" i="8"/>
  <c r="M7" i="8"/>
  <c r="J7" i="8"/>
  <c r="E6" i="6"/>
  <c r="G7" i="8"/>
  <c r="G12" i="5"/>
  <c r="K7" i="8"/>
  <c r="F6" i="12"/>
  <c r="AB14" i="7"/>
  <c r="J6" i="5"/>
  <c r="W15" i="5"/>
  <c r="K2" i="7"/>
  <c r="I15" i="8"/>
  <c r="I6" i="6"/>
  <c r="O7" i="8"/>
  <c r="G15" i="5"/>
  <c r="H15" i="8"/>
  <c r="P6" i="6"/>
  <c r="O6" i="6"/>
  <c r="M6" i="6"/>
  <c r="AB6" i="6"/>
  <c r="AA6" i="6"/>
  <c r="N6" i="6"/>
  <c r="J6" i="6"/>
  <c r="AB13" i="5"/>
  <c r="K13" i="5"/>
  <c r="Z13" i="5"/>
  <c r="I13" i="5"/>
  <c r="Y13" i="5"/>
  <c r="R13" i="5"/>
  <c r="X13" i="5"/>
  <c r="M13" i="5"/>
  <c r="J13" i="5"/>
  <c r="F13" i="5"/>
  <c r="L6" i="6"/>
  <c r="P7" i="8"/>
  <c r="E8" i="15"/>
  <c r="Z8" i="15"/>
  <c r="W8" i="15"/>
  <c r="T8" i="15"/>
  <c r="O8" i="15"/>
  <c r="X15" i="7"/>
  <c r="R15" i="7"/>
  <c r="Z15" i="7"/>
  <c r="Z3" i="14"/>
  <c r="F8" i="15"/>
  <c r="X17" i="18"/>
  <c r="U17" i="18"/>
  <c r="T17" i="18"/>
  <c r="S17" i="18"/>
  <c r="Q17" i="18"/>
  <c r="P17" i="18"/>
  <c r="O17" i="18"/>
  <c r="M17" i="18"/>
  <c r="L17" i="18"/>
  <c r="J17" i="18"/>
  <c r="I17" i="18"/>
  <c r="G17" i="18"/>
  <c r="E17" i="18"/>
  <c r="D17" i="18"/>
  <c r="C17" i="18"/>
  <c r="AB17" i="18"/>
  <c r="AA17" i="18"/>
  <c r="Y17" i="18"/>
  <c r="W17" i="18"/>
  <c r="P7" i="12"/>
  <c r="J7" i="12"/>
  <c r="G8" i="15"/>
  <c r="C15" i="15"/>
  <c r="AA15" i="15"/>
  <c r="X15" i="15"/>
  <c r="O3" i="19"/>
  <c r="I3" i="19"/>
  <c r="H3" i="19"/>
  <c r="G3" i="19"/>
  <c r="E3" i="19"/>
  <c r="D3" i="19"/>
  <c r="AB3" i="19"/>
  <c r="C3" i="19"/>
  <c r="Z3" i="19"/>
  <c r="Y3" i="19"/>
  <c r="W3" i="19"/>
  <c r="V3" i="19"/>
  <c r="U3" i="19"/>
  <c r="T3" i="19"/>
  <c r="S3" i="19"/>
  <c r="R3" i="19"/>
  <c r="P3" i="19"/>
  <c r="N3" i="19"/>
  <c r="M3" i="19"/>
  <c r="K3" i="19"/>
  <c r="X12" i="6"/>
  <c r="N12" i="6"/>
  <c r="AB13" i="7"/>
  <c r="D15" i="7"/>
  <c r="AB15" i="7"/>
  <c r="AA15" i="9"/>
  <c r="M15" i="9"/>
  <c r="Q7" i="11"/>
  <c r="R7" i="11"/>
  <c r="O7" i="11"/>
  <c r="AB7" i="11"/>
  <c r="D7" i="12"/>
  <c r="V15" i="14"/>
  <c r="H8" i="15"/>
  <c r="E15" i="15"/>
  <c r="R17" i="18"/>
  <c r="F3" i="19"/>
  <c r="K12" i="6"/>
  <c r="J3" i="14"/>
  <c r="X3" i="14"/>
  <c r="V3" i="14"/>
  <c r="R14" i="14"/>
  <c r="L8" i="15"/>
  <c r="D17" i="16"/>
  <c r="L12" i="6"/>
  <c r="Y14" i="6"/>
  <c r="V15" i="6"/>
  <c r="Q17" i="6"/>
  <c r="U7" i="7"/>
  <c r="T8" i="7"/>
  <c r="AB12" i="7"/>
  <c r="H15" i="7"/>
  <c r="N13" i="8"/>
  <c r="T7" i="9"/>
  <c r="E17" i="9"/>
  <c r="G12" i="10"/>
  <c r="F7" i="11"/>
  <c r="I7" i="12"/>
  <c r="G13" i="13"/>
  <c r="C3" i="14"/>
  <c r="S14" i="14"/>
  <c r="M8" i="15"/>
  <c r="S15" i="15"/>
  <c r="H17" i="16"/>
  <c r="V17" i="16"/>
  <c r="P12" i="6"/>
  <c r="V8" i="7"/>
  <c r="E13" i="7"/>
  <c r="J15" i="7"/>
  <c r="G17" i="9"/>
  <c r="J3" i="10"/>
  <c r="AA12" i="10"/>
  <c r="G2" i="11"/>
  <c r="H7" i="11"/>
  <c r="S7" i="12"/>
  <c r="K13" i="13"/>
  <c r="E3" i="14"/>
  <c r="X15" i="14"/>
  <c r="R15" i="14"/>
  <c r="K15" i="14"/>
  <c r="G15" i="14"/>
  <c r="AB15" i="14"/>
  <c r="E15" i="14"/>
  <c r="R8" i="15"/>
  <c r="U12" i="15"/>
  <c r="M12" i="15"/>
  <c r="I12" i="15"/>
  <c r="D12" i="15"/>
  <c r="AA12" i="15"/>
  <c r="Z12" i="15"/>
  <c r="W12" i="15"/>
  <c r="U15" i="15"/>
  <c r="Y17" i="16"/>
  <c r="W2" i="18"/>
  <c r="Z2" i="18"/>
  <c r="X2" i="18"/>
  <c r="U2" i="18"/>
  <c r="S2" i="18"/>
  <c r="R2" i="18"/>
  <c r="P2" i="18"/>
  <c r="O2" i="18"/>
  <c r="N2" i="18"/>
  <c r="M2" i="18"/>
  <c r="L2" i="18"/>
  <c r="J2" i="18"/>
  <c r="G2" i="18"/>
  <c r="F2" i="18"/>
  <c r="U14" i="6"/>
  <c r="W14" i="6"/>
  <c r="X15" i="6"/>
  <c r="S15" i="6"/>
  <c r="Z15" i="6"/>
  <c r="W8" i="7"/>
  <c r="F13" i="7"/>
  <c r="K15" i="7"/>
  <c r="X7" i="9"/>
  <c r="J17" i="9"/>
  <c r="I2" i="11"/>
  <c r="I7" i="11"/>
  <c r="V7" i="12"/>
  <c r="G17" i="12"/>
  <c r="M13" i="13"/>
  <c r="F3" i="14"/>
  <c r="C15" i="14"/>
  <c r="P3" i="15"/>
  <c r="G3" i="15"/>
  <c r="C3" i="15"/>
  <c r="Y3" i="15"/>
  <c r="X3" i="15"/>
  <c r="U3" i="15"/>
  <c r="X8" i="15"/>
  <c r="C12" i="15"/>
  <c r="V15" i="15"/>
  <c r="Z17" i="16"/>
  <c r="X12" i="17"/>
  <c r="M12" i="17"/>
  <c r="J12" i="17"/>
  <c r="I12" i="17"/>
  <c r="G12" i="17"/>
  <c r="E12" i="17"/>
  <c r="C12" i="17"/>
  <c r="AB12" i="17"/>
  <c r="Z12" i="17"/>
  <c r="Y12" i="17"/>
  <c r="W12" i="17"/>
  <c r="V12" i="17"/>
  <c r="U12" i="17"/>
  <c r="S12" i="17"/>
  <c r="Q12" i="17"/>
  <c r="D2" i="18"/>
  <c r="N8" i="15"/>
  <c r="I7" i="5"/>
  <c r="R12" i="6"/>
  <c r="N7" i="5"/>
  <c r="AB17" i="7"/>
  <c r="G17" i="7"/>
  <c r="K17" i="9"/>
  <c r="N2" i="11"/>
  <c r="O13" i="13"/>
  <c r="G3" i="14"/>
  <c r="Z7" i="14"/>
  <c r="X7" i="14"/>
  <c r="J7" i="14"/>
  <c r="H7" i="14"/>
  <c r="Y8" i="15"/>
  <c r="Y15" i="15"/>
  <c r="D12" i="17"/>
  <c r="K2" i="18"/>
  <c r="AA7" i="19"/>
  <c r="U7" i="19"/>
  <c r="R7" i="19"/>
  <c r="M7" i="19"/>
  <c r="L7" i="19"/>
  <c r="H7" i="19"/>
  <c r="G7" i="19"/>
  <c r="F7" i="19"/>
  <c r="C7" i="19"/>
  <c r="X3" i="7"/>
  <c r="U3" i="7"/>
  <c r="J3" i="8"/>
  <c r="E3" i="8"/>
  <c r="AA6" i="11"/>
  <c r="O6" i="11"/>
  <c r="K6" i="11"/>
  <c r="J7" i="11"/>
  <c r="W7" i="12"/>
  <c r="S3" i="5"/>
  <c r="U7" i="5"/>
  <c r="T12" i="6"/>
  <c r="D14" i="6"/>
  <c r="D15" i="6"/>
  <c r="AB15" i="6"/>
  <c r="V17" i="6"/>
  <c r="F3" i="7"/>
  <c r="Z8" i="7"/>
  <c r="E12" i="7"/>
  <c r="M15" i="7"/>
  <c r="C17" i="7"/>
  <c r="C3" i="8"/>
  <c r="T13" i="8"/>
  <c r="C13" i="9"/>
  <c r="M17" i="9"/>
  <c r="W2" i="10"/>
  <c r="V2" i="10"/>
  <c r="F13" i="10"/>
  <c r="C6" i="11"/>
  <c r="K7" i="11"/>
  <c r="AB12" i="11"/>
  <c r="X7" i="12"/>
  <c r="H12" i="12"/>
  <c r="AB6" i="13"/>
  <c r="P6" i="13"/>
  <c r="M6" i="13"/>
  <c r="Q13" i="13"/>
  <c r="Z15" i="13"/>
  <c r="I3" i="14"/>
  <c r="C7" i="14"/>
  <c r="F15" i="14"/>
  <c r="E3" i="15"/>
  <c r="AA8" i="15"/>
  <c r="H12" i="15"/>
  <c r="AB12" i="16"/>
  <c r="X12" i="16"/>
  <c r="K12" i="16"/>
  <c r="C12" i="16"/>
  <c r="F12" i="17"/>
  <c r="V2" i="18"/>
  <c r="Z13" i="7"/>
  <c r="R13" i="7"/>
  <c r="I15" i="7"/>
  <c r="S12" i="6"/>
  <c r="C14" i="6"/>
  <c r="C15" i="6"/>
  <c r="AA15" i="6"/>
  <c r="Y8" i="7"/>
  <c r="H13" i="7"/>
  <c r="L15" i="7"/>
  <c r="V7" i="5"/>
  <c r="U12" i="6"/>
  <c r="E14" i="6"/>
  <c r="E15" i="6"/>
  <c r="G3" i="7"/>
  <c r="G7" i="7"/>
  <c r="L7" i="7"/>
  <c r="AB7" i="7"/>
  <c r="AA8" i="7"/>
  <c r="F12" i="7"/>
  <c r="J13" i="7"/>
  <c r="N15" i="7"/>
  <c r="D17" i="7"/>
  <c r="O2" i="8"/>
  <c r="D2" i="8"/>
  <c r="D3" i="8"/>
  <c r="U13" i="8"/>
  <c r="W8" i="9"/>
  <c r="X8" i="9"/>
  <c r="D13" i="9"/>
  <c r="O17" i="9"/>
  <c r="C2" i="10"/>
  <c r="H13" i="10"/>
  <c r="M3" i="11"/>
  <c r="K3" i="11"/>
  <c r="E6" i="11"/>
  <c r="L7" i="11"/>
  <c r="Y7" i="12"/>
  <c r="Z12" i="12"/>
  <c r="G6" i="13"/>
  <c r="R13" i="13"/>
  <c r="K3" i="14"/>
  <c r="D7" i="14"/>
  <c r="H15" i="14"/>
  <c r="F3" i="15"/>
  <c r="AB8" i="15"/>
  <c r="J12" i="15"/>
  <c r="Z2" i="17"/>
  <c r="W2" i="17"/>
  <c r="L2" i="17"/>
  <c r="J2" i="17"/>
  <c r="I2" i="17"/>
  <c r="G2" i="17"/>
  <c r="F2" i="17"/>
  <c r="H12" i="17"/>
  <c r="Y2" i="18"/>
  <c r="Z12" i="10"/>
  <c r="H13" i="13"/>
  <c r="D3" i="14"/>
  <c r="P17" i="9"/>
  <c r="Z7" i="12"/>
  <c r="AB12" i="13"/>
  <c r="V12" i="13"/>
  <c r="D12" i="13"/>
  <c r="L3" i="14"/>
  <c r="E7" i="14"/>
  <c r="O12" i="17"/>
  <c r="Z3" i="18"/>
  <c r="H3" i="18"/>
  <c r="E3" i="18"/>
  <c r="D3" i="18"/>
  <c r="Y3" i="18"/>
  <c r="W3" i="18"/>
  <c r="V3" i="18"/>
  <c r="S3" i="18"/>
  <c r="R3" i="18"/>
  <c r="Q3" i="18"/>
  <c r="N3" i="18"/>
  <c r="M3" i="18"/>
  <c r="K3" i="18"/>
  <c r="W13" i="13"/>
  <c r="P13" i="13"/>
  <c r="N13" i="13"/>
  <c r="G15" i="7"/>
  <c r="F17" i="9"/>
  <c r="AB8" i="7"/>
  <c r="Y7" i="5"/>
  <c r="O14" i="5"/>
  <c r="W12" i="6"/>
  <c r="H14" i="6"/>
  <c r="G15" i="6"/>
  <c r="J3" i="7"/>
  <c r="H12" i="7"/>
  <c r="M13" i="7"/>
  <c r="P15" i="7"/>
  <c r="F17" i="7"/>
  <c r="H3" i="8"/>
  <c r="C3" i="9"/>
  <c r="Y7" i="9"/>
  <c r="V7" i="9"/>
  <c r="Q13" i="9"/>
  <c r="Q17" i="9"/>
  <c r="P13" i="10"/>
  <c r="H6" i="11"/>
  <c r="N7" i="11"/>
  <c r="AA7" i="12"/>
  <c r="H12" i="13"/>
  <c r="T13" i="13"/>
  <c r="X15" i="13"/>
  <c r="F15" i="13"/>
  <c r="Q15" i="13"/>
  <c r="O15" i="13"/>
  <c r="Q2" i="14"/>
  <c r="E2" i="14"/>
  <c r="Y2" i="14"/>
  <c r="V2" i="14"/>
  <c r="M3" i="14"/>
  <c r="G7" i="14"/>
  <c r="J15" i="14"/>
  <c r="J3" i="15"/>
  <c r="L12" i="15"/>
  <c r="Y12" i="16"/>
  <c r="P12" i="17"/>
  <c r="I3" i="18"/>
  <c r="K7" i="12"/>
  <c r="AB14" i="14"/>
  <c r="X8" i="7"/>
  <c r="I8" i="7"/>
  <c r="V14" i="5"/>
  <c r="I14" i="6"/>
  <c r="K3" i="7"/>
  <c r="I6" i="11"/>
  <c r="P7" i="11"/>
  <c r="AB7" i="12"/>
  <c r="I12" i="13"/>
  <c r="U13" i="13"/>
  <c r="C15" i="13"/>
  <c r="N3" i="14"/>
  <c r="U6" i="14"/>
  <c r="W6" i="14"/>
  <c r="J6" i="14"/>
  <c r="G6" i="14"/>
  <c r="I7" i="14"/>
  <c r="L15" i="14"/>
  <c r="K3" i="15"/>
  <c r="N12" i="15"/>
  <c r="R12" i="17"/>
  <c r="J3" i="18"/>
  <c r="O12" i="6"/>
  <c r="F3" i="9"/>
  <c r="N17" i="6"/>
  <c r="L17" i="6"/>
  <c r="AB17" i="6"/>
  <c r="L3" i="7"/>
  <c r="F7" i="7"/>
  <c r="E8" i="7"/>
  <c r="K12" i="7"/>
  <c r="O13" i="7"/>
  <c r="S15" i="7"/>
  <c r="I17" i="7"/>
  <c r="K3" i="8"/>
  <c r="E6" i="8"/>
  <c r="AA13" i="8"/>
  <c r="G3" i="9"/>
  <c r="D7" i="9"/>
  <c r="W13" i="9"/>
  <c r="S17" i="9"/>
  <c r="C8" i="10"/>
  <c r="Z13" i="10"/>
  <c r="J6" i="11"/>
  <c r="S7" i="11"/>
  <c r="U8" i="12"/>
  <c r="R8" i="12"/>
  <c r="O6" i="13"/>
  <c r="J12" i="13"/>
  <c r="V13" i="13"/>
  <c r="D15" i="13"/>
  <c r="G2" i="14"/>
  <c r="P3" i="14"/>
  <c r="E6" i="14"/>
  <c r="K7" i="14"/>
  <c r="E12" i="14"/>
  <c r="M15" i="14"/>
  <c r="L3" i="15"/>
  <c r="O12" i="15"/>
  <c r="T12" i="17"/>
  <c r="P3" i="18"/>
  <c r="F13" i="13"/>
  <c r="I3" i="8"/>
  <c r="AB13" i="6"/>
  <c r="S13" i="6"/>
  <c r="K14" i="6"/>
  <c r="J15" i="6"/>
  <c r="C17" i="6"/>
  <c r="M3" i="7"/>
  <c r="H7" i="7"/>
  <c r="F8" i="7"/>
  <c r="L12" i="7"/>
  <c r="Q13" i="7"/>
  <c r="T15" i="7"/>
  <c r="J17" i="7"/>
  <c r="L3" i="8"/>
  <c r="F6" i="8"/>
  <c r="AB13" i="8"/>
  <c r="K3" i="9"/>
  <c r="F7" i="9"/>
  <c r="X13" i="9"/>
  <c r="T17" i="9"/>
  <c r="G8" i="10"/>
  <c r="L6" i="11"/>
  <c r="T7" i="11"/>
  <c r="P17" i="11"/>
  <c r="C8" i="12"/>
  <c r="Z6" i="13"/>
  <c r="L12" i="13"/>
  <c r="X13" i="13"/>
  <c r="E15" i="13"/>
  <c r="L2" i="14"/>
  <c r="S3" i="14"/>
  <c r="F6" i="14"/>
  <c r="L7" i="14"/>
  <c r="N15" i="14"/>
  <c r="M3" i="15"/>
  <c r="P12" i="15"/>
  <c r="U17" i="16"/>
  <c r="R17" i="16"/>
  <c r="J17" i="16"/>
  <c r="G17" i="16"/>
  <c r="C17" i="16"/>
  <c r="V12" i="6"/>
  <c r="F14" i="6"/>
  <c r="K13" i="7"/>
  <c r="O15" i="7"/>
  <c r="Z7" i="5"/>
  <c r="Y12" i="6"/>
  <c r="H15" i="6"/>
  <c r="D8" i="7"/>
  <c r="J12" i="7"/>
  <c r="N13" i="7"/>
  <c r="Q15" i="7"/>
  <c r="H17" i="7"/>
  <c r="S13" i="9"/>
  <c r="R17" i="9"/>
  <c r="AA7" i="5"/>
  <c r="W14" i="5"/>
  <c r="AB12" i="6"/>
  <c r="J14" i="6"/>
  <c r="I15" i="6"/>
  <c r="AB7" i="5"/>
  <c r="Y14" i="5"/>
  <c r="Z14" i="5"/>
  <c r="J8" i="6"/>
  <c r="G13" i="6"/>
  <c r="L14" i="6"/>
  <c r="K15" i="6"/>
  <c r="D17" i="6"/>
  <c r="N3" i="7"/>
  <c r="AA6" i="7"/>
  <c r="K6" i="7"/>
  <c r="I7" i="7"/>
  <c r="G8" i="7"/>
  <c r="M12" i="7"/>
  <c r="S13" i="7"/>
  <c r="U15" i="7"/>
  <c r="K17" i="7"/>
  <c r="K2" i="8"/>
  <c r="M3" i="8"/>
  <c r="O6" i="8"/>
  <c r="C13" i="8"/>
  <c r="X14" i="8"/>
  <c r="P14" i="8"/>
  <c r="Z14" i="8"/>
  <c r="G7" i="9"/>
  <c r="K8" i="9"/>
  <c r="U17" i="9"/>
  <c r="J2" i="10"/>
  <c r="I8" i="10"/>
  <c r="X14" i="10"/>
  <c r="H14" i="10"/>
  <c r="Z14" i="10"/>
  <c r="J3" i="11"/>
  <c r="P6" i="11"/>
  <c r="U7" i="11"/>
  <c r="C12" i="11"/>
  <c r="D8" i="12"/>
  <c r="AA6" i="13"/>
  <c r="M12" i="13"/>
  <c r="Y13" i="13"/>
  <c r="G15" i="13"/>
  <c r="M2" i="14"/>
  <c r="T3" i="14"/>
  <c r="H6" i="14"/>
  <c r="M7" i="14"/>
  <c r="O15" i="14"/>
  <c r="N3" i="15"/>
  <c r="Q12" i="15"/>
  <c r="AB14" i="16"/>
  <c r="Y14" i="16"/>
  <c r="J14" i="16"/>
  <c r="F14" i="16"/>
  <c r="AB8" i="18"/>
  <c r="Y12" i="18"/>
  <c r="E15" i="18"/>
  <c r="H2" i="19"/>
  <c r="N6" i="19"/>
  <c r="M8" i="19"/>
  <c r="C12" i="19"/>
  <c r="K13" i="19"/>
  <c r="T14" i="19"/>
  <c r="C8" i="18"/>
  <c r="Z12" i="18"/>
  <c r="J15" i="18"/>
  <c r="M2" i="19"/>
  <c r="O6" i="19"/>
  <c r="N8" i="19"/>
  <c r="E12" i="19"/>
  <c r="L13" i="19"/>
  <c r="U14" i="19"/>
  <c r="D8" i="18"/>
  <c r="K15" i="18"/>
  <c r="N2" i="19"/>
  <c r="R6" i="19"/>
  <c r="O8" i="19"/>
  <c r="F12" i="19"/>
  <c r="M13" i="19"/>
  <c r="V14" i="19"/>
  <c r="AA15" i="10"/>
  <c r="L2" i="13"/>
  <c r="R2" i="15"/>
  <c r="V13" i="15"/>
  <c r="G7" i="16"/>
  <c r="Q6" i="17"/>
  <c r="D8" i="17"/>
  <c r="C15" i="17"/>
  <c r="E8" i="18"/>
  <c r="M15" i="18"/>
  <c r="O2" i="19"/>
  <c r="W6" i="19"/>
  <c r="P8" i="19"/>
  <c r="G12" i="19"/>
  <c r="O13" i="19"/>
  <c r="AB14" i="19"/>
  <c r="D15" i="10"/>
  <c r="N2" i="13"/>
  <c r="P3" i="13"/>
  <c r="U2" i="15"/>
  <c r="T7" i="15"/>
  <c r="Z13" i="15"/>
  <c r="F6" i="16"/>
  <c r="I7" i="16"/>
  <c r="H8" i="17"/>
  <c r="H15" i="17"/>
  <c r="L17" i="17"/>
  <c r="I6" i="18"/>
  <c r="G8" i="18"/>
  <c r="H13" i="18"/>
  <c r="S15" i="18"/>
  <c r="R2" i="19"/>
  <c r="R8" i="19"/>
  <c r="I12" i="19"/>
  <c r="Q13" i="19"/>
  <c r="C15" i="19"/>
  <c r="V2" i="15"/>
  <c r="U7" i="15"/>
  <c r="AA13" i="15"/>
  <c r="G6" i="16"/>
  <c r="J7" i="16"/>
  <c r="J8" i="17"/>
  <c r="I15" i="17"/>
  <c r="M17" i="17"/>
  <c r="J6" i="18"/>
  <c r="J8" i="18"/>
  <c r="P13" i="18"/>
  <c r="W15" i="18"/>
  <c r="S2" i="19"/>
  <c r="S8" i="19"/>
  <c r="J12" i="19"/>
  <c r="T13" i="19"/>
  <c r="E15" i="19"/>
  <c r="AB13" i="15"/>
  <c r="H6" i="16"/>
  <c r="L7" i="16"/>
  <c r="N8" i="17"/>
  <c r="N15" i="17"/>
  <c r="O17" i="17"/>
  <c r="K6" i="18"/>
  <c r="K8" i="18"/>
  <c r="X15" i="18"/>
  <c r="U2" i="19"/>
  <c r="T8" i="19"/>
  <c r="L12" i="19"/>
  <c r="V13" i="19"/>
  <c r="F15" i="19"/>
  <c r="M7" i="16"/>
  <c r="O8" i="17"/>
  <c r="M8" i="18"/>
  <c r="Y15" i="18"/>
  <c r="V2" i="19"/>
  <c r="V8" i="19"/>
  <c r="P12" i="19"/>
  <c r="W13" i="19"/>
  <c r="G15" i="19"/>
  <c r="AA2" i="15"/>
  <c r="Y7" i="15"/>
  <c r="D13" i="15"/>
  <c r="D14" i="15"/>
  <c r="J6" i="16"/>
  <c r="O7" i="16"/>
  <c r="P8" i="17"/>
  <c r="R17" i="17"/>
  <c r="P6" i="18"/>
  <c r="N8" i="18"/>
  <c r="H14" i="18"/>
  <c r="Z15" i="18"/>
  <c r="W2" i="19"/>
  <c r="W8" i="19"/>
  <c r="Q12" i="19"/>
  <c r="Y13" i="19"/>
  <c r="J15" i="19"/>
  <c r="K6" i="16"/>
  <c r="P7" i="16"/>
  <c r="Q8" i="17"/>
  <c r="U17" i="17"/>
  <c r="Q6" i="18"/>
  <c r="O8" i="18"/>
  <c r="L14" i="18"/>
  <c r="AA15" i="18"/>
  <c r="X2" i="19"/>
  <c r="Y8" i="19"/>
  <c r="R12" i="19"/>
  <c r="Z13" i="19"/>
  <c r="L15" i="19"/>
  <c r="C17" i="19"/>
  <c r="W17" i="17"/>
  <c r="W6" i="18"/>
  <c r="P8" i="18"/>
  <c r="Q14" i="18"/>
  <c r="AB15" i="18"/>
  <c r="Z2" i="19"/>
  <c r="Z8" i="19"/>
  <c r="T12" i="19"/>
  <c r="AA13" i="19"/>
  <c r="M15" i="19"/>
  <c r="E17" i="19"/>
  <c r="G13" i="15"/>
  <c r="O3" i="16"/>
  <c r="S7" i="16"/>
  <c r="S8" i="17"/>
  <c r="C13" i="17"/>
  <c r="Q8" i="18"/>
  <c r="AA8" i="19"/>
  <c r="U12" i="19"/>
  <c r="O15" i="19"/>
  <c r="F17" i="19"/>
  <c r="AB8" i="19"/>
  <c r="V12" i="19"/>
  <c r="F14" i="19"/>
  <c r="P15" i="19"/>
  <c r="G17" i="19"/>
  <c r="S3" i="16"/>
  <c r="O6" i="16"/>
  <c r="U7" i="16"/>
  <c r="U8" i="17"/>
  <c r="N13" i="17"/>
  <c r="Z17" i="17"/>
  <c r="S8" i="18"/>
  <c r="V14" i="18"/>
  <c r="C8" i="19"/>
  <c r="Y12" i="19"/>
  <c r="G14" i="19"/>
  <c r="Q15" i="19"/>
  <c r="M17" i="19"/>
  <c r="T8" i="18"/>
  <c r="X14" i="18"/>
  <c r="D8" i="19"/>
  <c r="AA12" i="19"/>
  <c r="H14" i="19"/>
  <c r="W15" i="19"/>
  <c r="O17" i="19"/>
  <c r="S13" i="14"/>
  <c r="I2" i="15"/>
  <c r="I7" i="15"/>
  <c r="K13" i="15"/>
  <c r="W17" i="15"/>
  <c r="S6" i="16"/>
  <c r="X7" i="16"/>
  <c r="W8" i="17"/>
  <c r="R13" i="17"/>
  <c r="C7" i="18"/>
  <c r="U8" i="18"/>
  <c r="Y14" i="18"/>
  <c r="E8" i="19"/>
  <c r="AB12" i="19"/>
  <c r="J14" i="19"/>
  <c r="Y15" i="19"/>
  <c r="Q17" i="19"/>
  <c r="K14" i="19"/>
  <c r="AA15" i="19"/>
  <c r="R17" i="19"/>
  <c r="AA8" i="17"/>
  <c r="U13" i="17"/>
  <c r="G7" i="18"/>
  <c r="W8" i="18"/>
  <c r="E6" i="19"/>
  <c r="G8" i="19"/>
  <c r="C13" i="19"/>
  <c r="L14" i="19"/>
  <c r="AB15" i="19"/>
  <c r="V17" i="19"/>
  <c r="D13" i="16"/>
  <c r="W13" i="17"/>
  <c r="H7" i="18"/>
  <c r="X8" i="18"/>
  <c r="G6" i="19"/>
  <c r="H8" i="19"/>
  <c r="D13" i="19"/>
  <c r="O14" i="19"/>
  <c r="Y17" i="19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<sst xmlns="http://schemas.openxmlformats.org/spreadsheetml/2006/main" count="3113" uniqueCount="587">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</sst>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90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ME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8.6812883557226706E-3</v>
      </c>
      <c r="C2" s="7">
        <f>$B2 * IFERROR(VLOOKUP("transport|PM25|Premature mortality", US_national_yearly!$D:$AM, 11, FALSE) / VLOOKUP("transport|PM25|Premature mortality", US_national_yearly!$D:$AM, 10, FALSE), 1)</f>
        <v>8.788917306410576E-3</v>
      </c>
      <c r="D2" s="7">
        <f>$B2 * IFERROR(VLOOKUP("transport|PM25|Premature mortality", US_national_yearly!$D:$AM, 12, FALSE) / VLOOKUP("transport|PM25|Premature mortality", US_national_yearly!$D:$AM, 10, FALSE), 1)</f>
        <v>8.8965462570984779E-3</v>
      </c>
      <c r="E2" s="7">
        <f>$B2 * IFERROR(VLOOKUP("transport|PM25|Premature mortality", US_national_yearly!$D:$AM, 13, FALSE) / VLOOKUP("transport|PM25|Premature mortality", US_national_yearly!$D:$AM, 10, FALSE), 1)</f>
        <v>9.0041752077863815E-3</v>
      </c>
      <c r="F2" s="7">
        <f>$B2 * IFERROR(VLOOKUP("transport|PM25|Premature mortality", US_national_yearly!$D:$AM, 14, FALSE) / VLOOKUP("transport|PM25|Premature mortality", US_national_yearly!$D:$AM, 10, FALSE), 1)</f>
        <v>9.1118041584742852E-3</v>
      </c>
      <c r="G2" s="7">
        <f>$B2 * IFERROR(VLOOKUP("transport|PM25|Premature mortality", US_national_yearly!$D:$AM, 15, FALSE) / VLOOKUP("transport|PM25|Premature mortality", US_national_yearly!$D:$AM, 10, FALSE), 1)</f>
        <v>9.3214107282206457E-3</v>
      </c>
      <c r="H2" s="7">
        <f>$B2 * IFERROR(VLOOKUP("transport|PM25|Premature mortality", US_national_yearly!$D:$AM, 16, FALSE) / VLOOKUP("transport|PM25|Premature mortality", US_national_yearly!$D:$AM, 10, FALSE), 1)</f>
        <v>9.5310172979670062E-3</v>
      </c>
      <c r="I2" s="7">
        <f>$B2 * IFERROR(VLOOKUP("transport|PM25|Premature mortality", US_national_yearly!$D:$AM, 17, FALSE) / VLOOKUP("transport|PM25|Premature mortality", US_national_yearly!$D:$AM, 10, FALSE), 1)</f>
        <v>9.6686957163933576E-3</v>
      </c>
      <c r="J2" s="7">
        <f>$B2 * IFERROR(VLOOKUP("transport|PM25|Premature mortality", US_national_yearly!$D:$AM, 18, FALSE) / VLOOKUP("transport|PM25|Premature mortality", US_national_yearly!$D:$AM, 10, FALSE), 1)</f>
        <v>9.8063741348197106E-3</v>
      </c>
      <c r="K2" s="7">
        <f>$B2 * IFERROR(VLOOKUP("transport|PM25|Premature mortality", US_national_yearly!$D:$AM, 19, FALSE) / VLOOKUP("transport|PM25|Premature mortality", US_national_yearly!$D:$AM, 10, FALSE), 1)</f>
        <v>9.9440525532460636E-3</v>
      </c>
      <c r="L2" s="7">
        <f>$B2 * IFERROR(VLOOKUP("transport|PM25|Premature mortality", US_national_yearly!$D:$AM, 20, FALSE) / VLOOKUP("transport|PM25|Premature mortality", US_national_yearly!$D:$AM, 10, FALSE), 1)</f>
        <v>1.0081730971672418E-2</v>
      </c>
      <c r="M2" s="7">
        <f>$B2 * IFERROR(VLOOKUP("transport|PM25|Premature mortality", US_national_yearly!$D:$AM, 21, FALSE) / VLOOKUP("transport|PM25|Premature mortality", US_national_yearly!$D:$AM, 10, FALSE), 1)</f>
        <v>1.0219409390098771E-2</v>
      </c>
      <c r="N2" s="7">
        <f>$B2 * IFERROR(VLOOKUP("transport|PM25|Premature mortality", US_national_yearly!$D:$AM, 22, FALSE) / VLOOKUP("transport|PM25|Premature mortality", US_national_yearly!$D:$AM, 10, FALSE), 1)</f>
        <v>1.0326307919596146E-2</v>
      </c>
      <c r="O2" s="7">
        <f>$B2 * IFERROR(VLOOKUP("transport|PM25|Premature mortality", US_national_yearly!$D:$AM, 23, FALSE) / VLOOKUP("transport|PM25|Premature mortality", US_national_yearly!$D:$AM, 10, FALSE), 1)</f>
        <v>1.043320644909352E-2</v>
      </c>
      <c r="P2" s="7">
        <f>$B2 * IFERROR(VLOOKUP("transport|PM25|Premature mortality", US_national_yearly!$D:$AM, 24, FALSE) / VLOOKUP("transport|PM25|Premature mortality", US_national_yearly!$D:$AM, 10, FALSE), 1)</f>
        <v>1.0540104978590896E-2</v>
      </c>
      <c r="Q2" s="7">
        <f>$B2 * IFERROR(VLOOKUP("transport|PM25|Premature mortality", US_national_yearly!$D:$AM, 25, FALSE) / VLOOKUP("transport|PM25|Premature mortality", US_national_yearly!$D:$AM, 10, FALSE), 1)</f>
        <v>1.064700350808827E-2</v>
      </c>
      <c r="R2" s="7">
        <f>$B2 * IFERROR(VLOOKUP("transport|PM25|Premature mortality", US_national_yearly!$D:$AM, 26, FALSE) / VLOOKUP("transport|PM25|Premature mortality", US_national_yearly!$D:$AM, 10, FALSE), 1)</f>
        <v>1.0753902037585647E-2</v>
      </c>
      <c r="S2" s="7">
        <f>$B2 * IFERROR(VLOOKUP("transport|PM25|Premature mortality", US_national_yearly!$D:$AM, 27, FALSE) / VLOOKUP("transport|PM25|Premature mortality", US_national_yearly!$D:$AM, 10, FALSE), 1)</f>
        <v>1.0810533702452184E-2</v>
      </c>
      <c r="T2" s="7">
        <f>$B2 * IFERROR(VLOOKUP("transport|PM25|Premature mortality", US_national_yearly!$D:$AM, 28, FALSE) / VLOOKUP("transport|PM25|Premature mortality", US_national_yearly!$D:$AM, 10, FALSE), 1)</f>
        <v>1.086716536731872E-2</v>
      </c>
      <c r="U2" s="7">
        <f>$B2 * IFERROR(VLOOKUP("transport|PM25|Premature mortality", US_national_yearly!$D:$AM, 29, FALSE) / VLOOKUP("transport|PM25|Premature mortality", US_national_yearly!$D:$AM, 10, FALSE), 1)</f>
        <v>1.0923797032185257E-2</v>
      </c>
      <c r="V2" s="7">
        <f>$B2 * IFERROR(VLOOKUP("transport|PM25|Premature mortality", US_national_yearly!$D:$AM, 30, FALSE) / VLOOKUP("transport|PM25|Premature mortality", US_national_yearly!$D:$AM, 10, FALSE), 1)</f>
        <v>1.0980428697051792E-2</v>
      </c>
      <c r="W2" s="7">
        <f>$B2 * IFERROR(VLOOKUP("transport|PM25|Premature mortality", US_national_yearly!$D:$AM, 31, FALSE) / VLOOKUP("transport|PM25|Premature mortality", US_national_yearly!$D:$AM, 10, FALSE), 1)</f>
        <v>1.1037060361918328E-2</v>
      </c>
      <c r="X2" s="7">
        <f>$B2 * IFERROR(VLOOKUP("transport|PM25|Premature mortality", US_national_yearly!$D:$AM, 32, FALSE) / VLOOKUP("transport|PM25|Premature mortality", US_national_yearly!$D:$AM, 10, FALSE), 1)</f>
        <v>1.1046962846596517E-2</v>
      </c>
      <c r="Y2" s="7">
        <f>$B2 * IFERROR(VLOOKUP("transport|PM25|Premature mortality", US_national_yearly!$D:$AM, 33, FALSE) / VLOOKUP("transport|PM25|Premature mortality", US_national_yearly!$D:$AM, 10, FALSE), 1)</f>
        <v>1.1056865331274708E-2</v>
      </c>
      <c r="Z2" s="7">
        <f>$B2 * IFERROR(VLOOKUP("transport|PM25|Premature mortality", US_national_yearly!$D:$AM, 34, FALSE) / VLOOKUP("transport|PM25|Premature mortality", US_national_yearly!$D:$AM, 10, FALSE), 1)</f>
        <v>1.1066767815952897E-2</v>
      </c>
      <c r="AA2" s="7">
        <f>$B2 * IFERROR(VLOOKUP("transport|PM25|Premature mortality", US_national_yearly!$D:$AM, 35, FALSE) / VLOOKUP("transport|PM25|Premature mortality", US_national_yearly!$D:$AM, 10, FALSE), 1)</f>
        <v>1.1076670300631088E-2</v>
      </c>
      <c r="AB2" s="7">
        <f>$B2 * IFERROR(VLOOKUP("transport|PM25|Premature mortality", US_national_yearly!$D:$AM, 36, FALSE) / VLOOKUP("transport|PM25|Premature mortality", US_national_yearly!$D:$AM, 10, FALSE), 1)</f>
        <v>1.1086572785309277E-2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1.4660204956931079E-5</v>
      </c>
      <c r="C3" s="7">
        <f>$B3 * IFERROR(VLOOKUP("transport|PM25|Infant mortality", US_national_yearly!$D:$AM, 11, FALSE) / VLOOKUP("transport|PM25|Infant mortality", US_national_yearly!$D:$AM, 10, FALSE), 1)</f>
        <v>1.4532381347239017E-5</v>
      </c>
      <c r="D3" s="7">
        <f>$B3 * IFERROR(VLOOKUP("transport|PM25|Infant mortality", US_national_yearly!$D:$AM, 12, FALSE) / VLOOKUP("transport|PM25|Infant mortality", US_national_yearly!$D:$AM, 10, FALSE), 1)</f>
        <v>1.4404557737546951E-5</v>
      </c>
      <c r="E3" s="7">
        <f>$B3 * IFERROR(VLOOKUP("transport|PM25|Infant mortality", US_national_yearly!$D:$AM, 13, FALSE) / VLOOKUP("transport|PM25|Infant mortality", US_national_yearly!$D:$AM, 10, FALSE), 1)</f>
        <v>1.4276734127854888E-5</v>
      </c>
      <c r="F3" s="7">
        <f>$B3 * IFERROR(VLOOKUP("transport|PM25|Infant mortality", US_national_yearly!$D:$AM, 14, FALSE) / VLOOKUP("transport|PM25|Infant mortality", US_national_yearly!$D:$AM, 10, FALSE), 1)</f>
        <v>1.4148910518162822E-5</v>
      </c>
      <c r="G3" s="7">
        <f>$B3 * IFERROR(VLOOKUP("transport|PM25|Infant mortality", US_national_yearly!$D:$AM, 15, FALSE) / VLOOKUP("transport|PM25|Infant mortality", US_national_yearly!$D:$AM, 10, FALSE), 1)</f>
        <v>9.4097823474783497E-6</v>
      </c>
      <c r="H3" s="7">
        <f>$B3 * IFERROR(VLOOKUP("transport|PM25|Infant mortality", US_national_yearly!$D:$AM, 16, FALSE) / VLOOKUP("transport|PM25|Infant mortality", US_national_yearly!$D:$AM, 10, FALSE), 1)</f>
        <v>4.6706541767938747E-6</v>
      </c>
      <c r="I3" s="7">
        <f>$B3 * IFERROR(VLOOKUP("transport|PM25|Infant mortality", US_national_yearly!$D:$AM, 17, FALSE) / VLOOKUP("transport|PM25|Infant mortality", US_national_yearly!$D:$AM, 10, FALSE), 1)</f>
        <v>4.6401237365158723E-6</v>
      </c>
      <c r="J3" s="7">
        <f>$B3 * IFERROR(VLOOKUP("transport|PM25|Infant mortality", US_national_yearly!$D:$AM, 18, FALSE) / VLOOKUP("transport|PM25|Infant mortality", US_national_yearly!$D:$AM, 10, FALSE), 1)</f>
        <v>4.6095932962378682E-6</v>
      </c>
      <c r="K3" s="7">
        <f>$B3 * IFERROR(VLOOKUP("transport|PM25|Infant mortality", US_national_yearly!$D:$AM, 19, FALSE) / VLOOKUP("transport|PM25|Infant mortality", US_national_yearly!$D:$AM, 10, FALSE), 1)</f>
        <v>4.579062855959864E-6</v>
      </c>
      <c r="L3" s="7">
        <f>$B3 * IFERROR(VLOOKUP("transport|PM25|Infant mortality", US_national_yearly!$D:$AM, 20, FALSE) / VLOOKUP("transport|PM25|Infant mortality", US_national_yearly!$D:$AM, 10, FALSE), 1)</f>
        <v>4.5485324156818616E-6</v>
      </c>
      <c r="M3" s="7">
        <f>$B3 * IFERROR(VLOOKUP("transport|PM25|Infant mortality", US_national_yearly!$D:$AM, 21, FALSE) / VLOOKUP("transport|PM25|Infant mortality", US_national_yearly!$D:$AM, 10, FALSE), 1)</f>
        <v>4.5180019754038584E-6</v>
      </c>
      <c r="N3" s="7">
        <f>$B3 * IFERROR(VLOOKUP("transport|PM25|Infant mortality", US_national_yearly!$D:$AM, 22, FALSE) / VLOOKUP("transport|PM25|Infant mortality", US_national_yearly!$D:$AM, 10, FALSE), 1)</f>
        <v>4.4988254788594228E-6</v>
      </c>
      <c r="O3" s="7">
        <f>$B3 * IFERROR(VLOOKUP("transport|PM25|Infant mortality", US_national_yearly!$D:$AM, 23, FALSE) / VLOOKUP("transport|PM25|Infant mortality", US_national_yearly!$D:$AM, 10, FALSE), 1)</f>
        <v>4.4796489823149873E-6</v>
      </c>
      <c r="P3" s="7">
        <f>$B3 * IFERROR(VLOOKUP("transport|PM25|Infant mortality", US_national_yearly!$D:$AM, 24, FALSE) / VLOOKUP("transport|PM25|Infant mortality", US_national_yearly!$D:$AM, 10, FALSE), 1)</f>
        <v>4.4604724857705509E-6</v>
      </c>
      <c r="Q3" s="7">
        <f>$B3 * IFERROR(VLOOKUP("transport|PM25|Infant mortality", US_national_yearly!$D:$AM, 25, FALSE) / VLOOKUP("transport|PM25|Infant mortality", US_national_yearly!$D:$AM, 10, FALSE), 1)</f>
        <v>4.4412959892261162E-6</v>
      </c>
      <c r="R3" s="7">
        <f>$B3 * IFERROR(VLOOKUP("transport|PM25|Infant mortality", US_national_yearly!$D:$AM, 26, FALSE) / VLOOKUP("transport|PM25|Infant mortality", US_national_yearly!$D:$AM, 10, FALSE), 1)</f>
        <v>4.4221194926816798E-6</v>
      </c>
      <c r="S3" s="7">
        <f>$B3 * IFERROR(VLOOKUP("transport|PM25|Infant mortality", US_national_yearly!$D:$AM, 27, FALSE) / VLOOKUP("transport|PM25|Infant mortality", US_national_yearly!$D:$AM, 10, FALSE), 1)</f>
        <v>4.3982155976449133E-6</v>
      </c>
      <c r="T3" s="7">
        <f>$B3 * IFERROR(VLOOKUP("transport|PM25|Infant mortality", US_national_yearly!$D:$AM, 28, FALSE) / VLOOKUP("transport|PM25|Infant mortality", US_national_yearly!$D:$AM, 10, FALSE), 1)</f>
        <v>4.3743117026081452E-6</v>
      </c>
      <c r="U3" s="7">
        <f>$B3 * IFERROR(VLOOKUP("transport|PM25|Infant mortality", US_national_yearly!$D:$AM, 29, FALSE) / VLOOKUP("transport|PM25|Infant mortality", US_national_yearly!$D:$AM, 10, FALSE), 1)</f>
        <v>4.3504078075713779E-6</v>
      </c>
      <c r="V3" s="7">
        <f>$B3 * IFERROR(VLOOKUP("transport|PM25|Infant mortality", US_national_yearly!$D:$AM, 30, FALSE) / VLOOKUP("transport|PM25|Infant mortality", US_national_yearly!$D:$AM, 10, FALSE), 1)</f>
        <v>4.3265039125346114E-6</v>
      </c>
      <c r="W3" s="7">
        <f>$B3 * IFERROR(VLOOKUP("transport|PM25|Infant mortality", US_national_yearly!$D:$AM, 31, FALSE) / VLOOKUP("transport|PM25|Infant mortality", US_national_yearly!$D:$AM, 10, FALSE), 1)</f>
        <v>4.3026000174978433E-6</v>
      </c>
      <c r="X3" s="7">
        <f>$B3 * IFERROR(VLOOKUP("transport|PM25|Infant mortality", US_national_yearly!$D:$AM, 32, FALSE) / VLOOKUP("transport|PM25|Infant mortality", US_national_yearly!$D:$AM, 10, FALSE), 1)</f>
        <v>4.2768286142438008E-6</v>
      </c>
      <c r="Y3" s="7">
        <f>$B3 * IFERROR(VLOOKUP("transport|PM25|Infant mortality", US_national_yearly!$D:$AM, 33, FALSE) / VLOOKUP("transport|PM25|Infant mortality", US_national_yearly!$D:$AM, 10, FALSE), 1)</f>
        <v>4.2510572109897566E-6</v>
      </c>
      <c r="Z3" s="7">
        <f>$B3 * IFERROR(VLOOKUP("transport|PM25|Infant mortality", US_national_yearly!$D:$AM, 34, FALSE) / VLOOKUP("transport|PM25|Infant mortality", US_national_yearly!$D:$AM, 10, FALSE), 1)</f>
        <v>4.2252858077357132E-6</v>
      </c>
      <c r="AA3" s="7">
        <f>$B3 * IFERROR(VLOOKUP("transport|PM25|Infant mortality", US_national_yearly!$D:$AM, 35, FALSE) / VLOOKUP("transport|PM25|Infant mortality", US_national_yearly!$D:$AM, 10, FALSE), 1)</f>
        <v>4.1995144044816699E-6</v>
      </c>
      <c r="AB3" s="7">
        <f>$B3 * IFERROR(VLOOKUP("transport|PM25|Infant mortality", US_national_yearly!$D:$AM, 36, FALSE) / VLOOKUP("transport|PM25|Infant mortality", US_national_yearly!$D:$AM, 10, FALSE), 1)</f>
        <v>4.1737430012276274E-6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1.494757628350009E-2</v>
      </c>
      <c r="C6" s="7">
        <f>$B6 * IFERROR(VLOOKUP("transport|PM25|Asthma symptoms cough", US_national_yearly!$D:$AM, 11, FALSE) / VLOOKUP("transport|PM25|Asthma symptoms cough", US_national_yearly!$D:$AM, 10, FALSE), 1)</f>
        <v>1.494757628350009E-2</v>
      </c>
      <c r="D6" s="7">
        <f>$B6 * IFERROR(VLOOKUP("transport|PM25|Asthma symptoms cough", US_national_yearly!$D:$AM, 12, FALSE) / VLOOKUP("transport|PM25|Asthma symptoms cough", US_national_yearly!$D:$AM, 10, FALSE), 1)</f>
        <v>1.494757628350009E-2</v>
      </c>
      <c r="E6" s="7">
        <f>$B6 * IFERROR(VLOOKUP("transport|PM25|Asthma symptoms cough", US_national_yearly!$D:$AM, 13, FALSE) / VLOOKUP("transport|PM25|Asthma symptoms cough", US_national_yearly!$D:$AM, 10, FALSE), 1)</f>
        <v>1.494757628350009E-2</v>
      </c>
      <c r="F6" s="7">
        <f>$B6 * IFERROR(VLOOKUP("transport|PM25|Asthma symptoms cough", US_national_yearly!$D:$AM, 14, FALSE) / VLOOKUP("transport|PM25|Asthma symptoms cough", US_national_yearly!$D:$AM, 10, FALSE), 1)</f>
        <v>1.494757628350009E-2</v>
      </c>
      <c r="G6" s="7">
        <f>$B6 * IFERROR(VLOOKUP("transport|PM25|Asthma symptoms cough", US_national_yearly!$D:$AM, 15, FALSE) / VLOOKUP("transport|PM25|Asthma symptoms cough", US_national_yearly!$D:$AM, 10, FALSE), 1)</f>
        <v>1.494757628350009E-2</v>
      </c>
      <c r="H6" s="7">
        <f>$B6 * IFERROR(VLOOKUP("transport|PM25|Asthma symptoms cough", US_national_yearly!$D:$AM, 16, FALSE) / VLOOKUP("transport|PM25|Asthma symptoms cough", US_national_yearly!$D:$AM, 10, FALSE), 1)</f>
        <v>1.494757628350009E-2</v>
      </c>
      <c r="I6" s="7">
        <f>$B6 * IFERROR(VLOOKUP("transport|PM25|Asthma symptoms cough", US_national_yearly!$D:$AM, 17, FALSE) / VLOOKUP("transport|PM25|Asthma symptoms cough", US_national_yearly!$D:$AM, 10, FALSE), 1)</f>
        <v>1.494757628350009E-2</v>
      </c>
      <c r="J6" s="7">
        <f>$B6 * IFERROR(VLOOKUP("transport|PM25|Asthma symptoms cough", US_national_yearly!$D:$AM, 18, FALSE) / VLOOKUP("transport|PM25|Asthma symptoms cough", US_national_yearly!$D:$AM, 10, FALSE), 1)</f>
        <v>1.494757628350009E-2</v>
      </c>
      <c r="K6" s="7">
        <f>$B6 * IFERROR(VLOOKUP("transport|PM25|Asthma symptoms cough", US_national_yearly!$D:$AM, 19, FALSE) / VLOOKUP("transport|PM25|Asthma symptoms cough", US_national_yearly!$D:$AM, 10, FALSE), 1)</f>
        <v>1.494757628350009E-2</v>
      </c>
      <c r="L6" s="7">
        <f>$B6 * IFERROR(VLOOKUP("transport|PM25|Asthma symptoms cough", US_national_yearly!$D:$AM, 20, FALSE) / VLOOKUP("transport|PM25|Asthma symptoms cough", US_national_yearly!$D:$AM, 10, FALSE), 1)</f>
        <v>1.494757628350009E-2</v>
      </c>
      <c r="M6" s="7">
        <f>$B6 * IFERROR(VLOOKUP("transport|PM25|Asthma symptoms cough", US_national_yearly!$D:$AM, 21, FALSE) / VLOOKUP("transport|PM25|Asthma symptoms cough", US_national_yearly!$D:$AM, 10, FALSE), 1)</f>
        <v>1.494757628350009E-2</v>
      </c>
      <c r="N6" s="7">
        <f>$B6 * IFERROR(VLOOKUP("transport|PM25|Asthma symptoms cough", US_national_yearly!$D:$AM, 22, FALSE) / VLOOKUP("transport|PM25|Asthma symptoms cough", US_national_yearly!$D:$AM, 10, FALSE), 1)</f>
        <v>1.494757628350009E-2</v>
      </c>
      <c r="O6" s="7">
        <f>$B6 * IFERROR(VLOOKUP("transport|PM25|Asthma symptoms cough", US_national_yearly!$D:$AM, 23, FALSE) / VLOOKUP("transport|PM25|Asthma symptoms cough", US_national_yearly!$D:$AM, 10, FALSE), 1)</f>
        <v>1.494757628350009E-2</v>
      </c>
      <c r="P6" s="7">
        <f>$B6 * IFERROR(VLOOKUP("transport|PM25|Asthma symptoms cough", US_national_yearly!$D:$AM, 24, FALSE) / VLOOKUP("transport|PM25|Asthma symptoms cough", US_national_yearly!$D:$AM, 10, FALSE), 1)</f>
        <v>1.494757628350009E-2</v>
      </c>
      <c r="Q6" s="7">
        <f>$B6 * IFERROR(VLOOKUP("transport|PM25|Asthma symptoms cough", US_national_yearly!$D:$AM, 25, FALSE) / VLOOKUP("transport|PM25|Asthma symptoms cough", US_national_yearly!$D:$AM, 10, FALSE), 1)</f>
        <v>1.494757628350009E-2</v>
      </c>
      <c r="R6" s="7">
        <f>$B6 * IFERROR(VLOOKUP("transport|PM25|Asthma symptoms cough", US_national_yearly!$D:$AM, 26, FALSE) / VLOOKUP("transport|PM25|Asthma symptoms cough", US_national_yearly!$D:$AM, 10, FALSE), 1)</f>
        <v>1.494757628350009E-2</v>
      </c>
      <c r="S6" s="7">
        <f>$B6 * IFERROR(VLOOKUP("transport|PM25|Asthma symptoms cough", US_national_yearly!$D:$AM, 27, FALSE) / VLOOKUP("transport|PM25|Asthma symptoms cough", US_national_yearly!$D:$AM, 10, FALSE), 1)</f>
        <v>1.494757628350009E-2</v>
      </c>
      <c r="T6" s="7">
        <f>$B6 * IFERROR(VLOOKUP("transport|PM25|Asthma symptoms cough", US_national_yearly!$D:$AM, 28, FALSE) / VLOOKUP("transport|PM25|Asthma symptoms cough", US_national_yearly!$D:$AM, 10, FALSE), 1)</f>
        <v>1.494757628350009E-2</v>
      </c>
      <c r="U6" s="7">
        <f>$B6 * IFERROR(VLOOKUP("transport|PM25|Asthma symptoms cough", US_national_yearly!$D:$AM, 29, FALSE) / VLOOKUP("transport|PM25|Asthma symptoms cough", US_national_yearly!$D:$AM, 10, FALSE), 1)</f>
        <v>1.494757628350009E-2</v>
      </c>
      <c r="V6" s="7">
        <f>$B6 * IFERROR(VLOOKUP("transport|PM25|Asthma symptoms cough", US_national_yearly!$D:$AM, 30, FALSE) / VLOOKUP("transport|PM25|Asthma symptoms cough", US_national_yearly!$D:$AM, 10, FALSE), 1)</f>
        <v>1.494757628350009E-2</v>
      </c>
      <c r="W6" s="7">
        <f>$B6 * IFERROR(VLOOKUP("transport|PM25|Asthma symptoms cough", US_national_yearly!$D:$AM, 31, FALSE) / VLOOKUP("transport|PM25|Asthma symptoms cough", US_national_yearly!$D:$AM, 10, FALSE), 1)</f>
        <v>1.494757628350009E-2</v>
      </c>
      <c r="X6" s="7">
        <f>$B6 * IFERROR(VLOOKUP("transport|PM25|Asthma symptoms cough", US_national_yearly!$D:$AM, 32, FALSE) / VLOOKUP("transport|PM25|Asthma symptoms cough", US_national_yearly!$D:$AM, 10, FALSE), 1)</f>
        <v>1.494757628350009E-2</v>
      </c>
      <c r="Y6" s="7">
        <f>$B6 * IFERROR(VLOOKUP("transport|PM25|Asthma symptoms cough", US_national_yearly!$D:$AM, 33, FALSE) / VLOOKUP("transport|PM25|Asthma symptoms cough", US_national_yearly!$D:$AM, 10, FALSE), 1)</f>
        <v>1.494757628350009E-2</v>
      </c>
      <c r="Z6" s="7">
        <f>$B6 * IFERROR(VLOOKUP("transport|PM25|Asthma symptoms cough", US_national_yearly!$D:$AM, 34, FALSE) / VLOOKUP("transport|PM25|Asthma symptoms cough", US_national_yearly!$D:$AM, 10, FALSE), 1)</f>
        <v>1.494757628350009E-2</v>
      </c>
      <c r="AA6" s="7">
        <f>$B6 * IFERROR(VLOOKUP("transport|PM25|Asthma symptoms cough", US_national_yearly!$D:$AM, 35, FALSE) / VLOOKUP("transport|PM25|Asthma symptoms cough", US_national_yearly!$D:$AM, 10, FALSE), 1)</f>
        <v>1.494757628350009E-2</v>
      </c>
      <c r="AB6" s="7">
        <f>$B6 * IFERROR(VLOOKUP("transport|PM25|Asthma symptoms cough", US_national_yearly!$D:$AM, 36, FALSE) / VLOOKUP("transport|PM25|Asthma symptoms cough", US_national_yearly!$D:$AM, 10, FALSE), 1)</f>
        <v>1.494757628350009E-2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2.012896673555245E-2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2.012896673555245E-2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2.012896673555245E-2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2.012896673555245E-2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2.012896673555245E-2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2.012896673555245E-2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2.012896673555245E-2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2.012896673555245E-2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2.012896673555245E-2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2.012896673555245E-2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2.012896673555245E-2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2.012896673555245E-2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2.012896673555245E-2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2.012896673555245E-2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2.012896673555245E-2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2.012896673555245E-2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2.012896673555245E-2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2.012896673555245E-2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2.012896673555245E-2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2.012896673555245E-2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2.012896673555245E-2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2.012896673555245E-2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2.012896673555245E-2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2.012896673555245E-2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2.012896673555245E-2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2.012896673555245E-2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2.012896673555245E-2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3.0754055298621446E-2</v>
      </c>
      <c r="C8" s="7">
        <f>$B8 * IFERROR(VLOOKUP("transport|PM25|Asthma symptoms wheeze", US_national_yearly!$D:$AM, 11, FALSE) / VLOOKUP("transport|PM25|Asthma symptoms wheeze", US_national_yearly!$D:$AM, 10, FALSE), 1)</f>
        <v>3.0754055298621446E-2</v>
      </c>
      <c r="D8" s="7">
        <f>$B8 * IFERROR(VLOOKUP("transport|PM25|Asthma symptoms wheeze", US_national_yearly!$D:$AM, 12, FALSE) / VLOOKUP("transport|PM25|Asthma symptoms wheeze", US_national_yearly!$D:$AM, 10, FALSE), 1)</f>
        <v>3.0754055298621446E-2</v>
      </c>
      <c r="E8" s="7">
        <f>$B8 * IFERROR(VLOOKUP("transport|PM25|Asthma symptoms wheeze", US_national_yearly!$D:$AM, 13, FALSE) / VLOOKUP("transport|PM25|Asthma symptoms wheeze", US_national_yearly!$D:$AM, 10, FALSE), 1)</f>
        <v>3.0754055298621446E-2</v>
      </c>
      <c r="F8" s="7">
        <f>$B8 * IFERROR(VLOOKUP("transport|PM25|Asthma symptoms wheeze", US_national_yearly!$D:$AM, 14, FALSE) / VLOOKUP("transport|PM25|Asthma symptoms wheeze", US_national_yearly!$D:$AM, 10, FALSE), 1)</f>
        <v>3.0754055298621446E-2</v>
      </c>
      <c r="G8" s="7">
        <f>$B8 * IFERROR(VLOOKUP("transport|PM25|Asthma symptoms wheeze", US_national_yearly!$D:$AM, 15, FALSE) / VLOOKUP("transport|PM25|Asthma symptoms wheeze", US_national_yearly!$D:$AM, 10, FALSE), 1)</f>
        <v>3.0754055298621446E-2</v>
      </c>
      <c r="H8" s="7">
        <f>$B8 * IFERROR(VLOOKUP("transport|PM25|Asthma symptoms wheeze", US_national_yearly!$D:$AM, 16, FALSE) / VLOOKUP("transport|PM25|Asthma symptoms wheeze", US_national_yearly!$D:$AM, 10, FALSE), 1)</f>
        <v>3.0754055298621446E-2</v>
      </c>
      <c r="I8" s="7">
        <f>$B8 * IFERROR(VLOOKUP("transport|PM25|Asthma symptoms wheeze", US_national_yearly!$D:$AM, 17, FALSE) / VLOOKUP("transport|PM25|Asthma symptoms wheeze", US_national_yearly!$D:$AM, 10, FALSE), 1)</f>
        <v>3.0754055298621446E-2</v>
      </c>
      <c r="J8" s="7">
        <f>$B8 * IFERROR(VLOOKUP("transport|PM25|Asthma symptoms wheeze", US_national_yearly!$D:$AM, 18, FALSE) / VLOOKUP("transport|PM25|Asthma symptoms wheeze", US_national_yearly!$D:$AM, 10, FALSE), 1)</f>
        <v>3.0754055298621446E-2</v>
      </c>
      <c r="K8" s="7">
        <f>$B8 * IFERROR(VLOOKUP("transport|PM25|Asthma symptoms wheeze", US_national_yearly!$D:$AM, 19, FALSE) / VLOOKUP("transport|PM25|Asthma symptoms wheeze", US_national_yearly!$D:$AM, 10, FALSE), 1)</f>
        <v>3.0754055298621446E-2</v>
      </c>
      <c r="L8" s="7">
        <f>$B8 * IFERROR(VLOOKUP("transport|PM25|Asthma symptoms wheeze", US_national_yearly!$D:$AM, 20, FALSE) / VLOOKUP("transport|PM25|Asthma symptoms wheeze", US_national_yearly!$D:$AM, 10, FALSE), 1)</f>
        <v>3.0754055298621446E-2</v>
      </c>
      <c r="M8" s="7">
        <f>$B8 * IFERROR(VLOOKUP("transport|PM25|Asthma symptoms wheeze", US_national_yearly!$D:$AM, 21, FALSE) / VLOOKUP("transport|PM25|Asthma symptoms wheeze", US_national_yearly!$D:$AM, 10, FALSE), 1)</f>
        <v>3.0754055298621446E-2</v>
      </c>
      <c r="N8" s="7">
        <f>$B8 * IFERROR(VLOOKUP("transport|PM25|Asthma symptoms wheeze", US_national_yearly!$D:$AM, 22, FALSE) / VLOOKUP("transport|PM25|Asthma symptoms wheeze", US_national_yearly!$D:$AM, 10, FALSE), 1)</f>
        <v>3.0754055298621446E-2</v>
      </c>
      <c r="O8" s="7">
        <f>$B8 * IFERROR(VLOOKUP("transport|PM25|Asthma symptoms wheeze", US_national_yearly!$D:$AM, 23, FALSE) / VLOOKUP("transport|PM25|Asthma symptoms wheeze", US_national_yearly!$D:$AM, 10, FALSE), 1)</f>
        <v>3.0754055298621446E-2</v>
      </c>
      <c r="P8" s="7">
        <f>$B8 * IFERROR(VLOOKUP("transport|PM25|Asthma symptoms wheeze", US_national_yearly!$D:$AM, 24, FALSE) / VLOOKUP("transport|PM25|Asthma symptoms wheeze", US_national_yearly!$D:$AM, 10, FALSE), 1)</f>
        <v>3.0754055298621446E-2</v>
      </c>
      <c r="Q8" s="7">
        <f>$B8 * IFERROR(VLOOKUP("transport|PM25|Asthma symptoms wheeze", US_national_yearly!$D:$AM, 25, FALSE) / VLOOKUP("transport|PM25|Asthma symptoms wheeze", US_national_yearly!$D:$AM, 10, FALSE), 1)</f>
        <v>3.0754055298621446E-2</v>
      </c>
      <c r="R8" s="7">
        <f>$B8 * IFERROR(VLOOKUP("transport|PM25|Asthma symptoms wheeze", US_national_yearly!$D:$AM, 26, FALSE) / VLOOKUP("transport|PM25|Asthma symptoms wheeze", US_national_yearly!$D:$AM, 10, FALSE), 1)</f>
        <v>3.0754055298621446E-2</v>
      </c>
      <c r="S8" s="7">
        <f>$B8 * IFERROR(VLOOKUP("transport|PM25|Asthma symptoms wheeze", US_national_yearly!$D:$AM, 27, FALSE) / VLOOKUP("transport|PM25|Asthma symptoms wheeze", US_national_yearly!$D:$AM, 10, FALSE), 1)</f>
        <v>3.0754055298621446E-2</v>
      </c>
      <c r="T8" s="7">
        <f>$B8 * IFERROR(VLOOKUP("transport|PM25|Asthma symptoms wheeze", US_national_yearly!$D:$AM, 28, FALSE) / VLOOKUP("transport|PM25|Asthma symptoms wheeze", US_national_yearly!$D:$AM, 10, FALSE), 1)</f>
        <v>3.0754055298621446E-2</v>
      </c>
      <c r="U8" s="7">
        <f>$B8 * IFERROR(VLOOKUP("transport|PM25|Asthma symptoms wheeze", US_national_yearly!$D:$AM, 29, FALSE) / VLOOKUP("transport|PM25|Asthma symptoms wheeze", US_national_yearly!$D:$AM, 10, FALSE), 1)</f>
        <v>3.0754055298621446E-2</v>
      </c>
      <c r="V8" s="7">
        <f>$B8 * IFERROR(VLOOKUP("transport|PM25|Asthma symptoms wheeze", US_national_yearly!$D:$AM, 30, FALSE) / VLOOKUP("transport|PM25|Asthma symptoms wheeze", US_national_yearly!$D:$AM, 10, FALSE), 1)</f>
        <v>3.0754055298621446E-2</v>
      </c>
      <c r="W8" s="7">
        <f>$B8 * IFERROR(VLOOKUP("transport|PM25|Asthma symptoms wheeze", US_national_yearly!$D:$AM, 31, FALSE) / VLOOKUP("transport|PM25|Asthma symptoms wheeze", US_national_yearly!$D:$AM, 10, FALSE), 1)</f>
        <v>3.0754055298621446E-2</v>
      </c>
      <c r="X8" s="7">
        <f>$B8 * IFERROR(VLOOKUP("transport|PM25|Asthma symptoms wheeze", US_national_yearly!$D:$AM, 32, FALSE) / VLOOKUP("transport|PM25|Asthma symptoms wheeze", US_national_yearly!$D:$AM, 10, FALSE), 1)</f>
        <v>3.0754055298621446E-2</v>
      </c>
      <c r="Y8" s="7">
        <f>$B8 * IFERROR(VLOOKUP("transport|PM25|Asthma symptoms wheeze", US_national_yearly!$D:$AM, 33, FALSE) / VLOOKUP("transport|PM25|Asthma symptoms wheeze", US_national_yearly!$D:$AM, 10, FALSE), 1)</f>
        <v>3.0754055298621446E-2</v>
      </c>
      <c r="Z8" s="7">
        <f>$B8 * IFERROR(VLOOKUP("transport|PM25|Asthma symptoms wheeze", US_national_yearly!$D:$AM, 34, FALSE) / VLOOKUP("transport|PM25|Asthma symptoms wheeze", US_national_yearly!$D:$AM, 10, FALSE), 1)</f>
        <v>3.0754055298621446E-2</v>
      </c>
      <c r="AA8" s="7">
        <f>$B8 * IFERROR(VLOOKUP("transport|PM25|Asthma symptoms wheeze", US_national_yearly!$D:$AM, 35, FALSE) / VLOOKUP("transport|PM25|Asthma symptoms wheeze", US_national_yearly!$D:$AM, 10, FALSE), 1)</f>
        <v>3.0754055298621446E-2</v>
      </c>
      <c r="AB8" s="7">
        <f>$B8 * IFERROR(VLOOKUP("transport|PM25|Asthma symptoms wheeze", US_national_yearly!$D:$AM, 36, FALSE) / VLOOKUP("transport|PM25|Asthma symptoms wheeze", US_national_yearly!$D:$AM, 10, FALSE), 1)</f>
        <v>3.0754055298621446E-2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9.3064169007092907E-4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9.3597575313681227E-4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9.4130981620269526E-4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9.4664387926857835E-4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9.5197794233446134E-4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9.577389579715457E-4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9.6349997360862995E-4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9.6900440516864731E-4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9.7450883672866521E-4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9.8001326828868278E-4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9.8551769984870068E-4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9.9102213140871793E-4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9.9497282256872321E-4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9.9892351372872848E-4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1.0028742048887333E-3</v>
      </c>
      <c r="Q12" s="7">
        <f>$B12 * IFERROR(VLOOKUP("transport|PM25|Respiratory hospital admissions", US_national_yearly!$D:$AM, 25, FALSE) / VLOOKUP("transport|PM25|Respiratory hospital admissions", US_national_yearly!$D:$AM, 10, FALSE), 1)</f>
        <v>1.0068248960487384E-3</v>
      </c>
      <c r="R12" s="7">
        <f>$B12 * IFERROR(VLOOKUP("transport|PM25|Respiratory hospital admissions", US_national_yearly!$D:$AM, 26, FALSE) / VLOOKUP("transport|PM25|Respiratory hospital admissions", US_national_yearly!$D:$AM, 10, FALSE), 1)</f>
        <v>1.0107755872087437E-3</v>
      </c>
      <c r="S12" s="7">
        <f>$B12 * IFERROR(VLOOKUP("transport|PM25|Respiratory hospital admissions", US_national_yearly!$D:$AM, 27, FALSE) / VLOOKUP("transport|PM25|Respiratory hospital admissions", US_national_yearly!$D:$AM, 10, FALSE), 1)</f>
        <v>1.0145371657672281E-3</v>
      </c>
      <c r="T12" s="7">
        <f>$B12 * IFERROR(VLOOKUP("transport|PM25|Respiratory hospital admissions", US_national_yearly!$D:$AM, 28, FALSE) / VLOOKUP("transport|PM25|Respiratory hospital admissions", US_national_yearly!$D:$AM, 10, FALSE), 1)</f>
        <v>1.0182987443257128E-3</v>
      </c>
      <c r="U12" s="7">
        <f>$B12 * IFERROR(VLOOKUP("transport|PM25|Respiratory hospital admissions", US_national_yearly!$D:$AM, 29, FALSE) / VLOOKUP("transport|PM25|Respiratory hospital admissions", US_national_yearly!$D:$AM, 10, FALSE), 1)</f>
        <v>1.0220603228841972E-3</v>
      </c>
      <c r="V12" s="7">
        <f>$B12 * IFERROR(VLOOKUP("transport|PM25|Respiratory hospital admissions", US_national_yearly!$D:$AM, 30, FALSE) / VLOOKUP("transport|PM25|Respiratory hospital admissions", US_national_yearly!$D:$AM, 10, FALSE), 1)</f>
        <v>1.0258219014426819E-3</v>
      </c>
      <c r="W12" s="7">
        <f>$B12 * IFERROR(VLOOKUP("transport|PM25|Respiratory hospital admissions", US_national_yearly!$D:$AM, 31, FALSE) / VLOOKUP("transport|PM25|Respiratory hospital admissions", US_national_yearly!$D:$AM, 10, FALSE), 1)</f>
        <v>1.0295834800011663E-3</v>
      </c>
      <c r="X12" s="7">
        <f>$B12 * IFERROR(VLOOKUP("transport|PM25|Respiratory hospital admissions", US_national_yearly!$D:$AM, 32, FALSE) / VLOOKUP("transport|PM25|Respiratory hospital admissions", US_national_yearly!$D:$AM, 10, FALSE), 1)</f>
        <v>1.0332021665577645E-3</v>
      </c>
      <c r="Y12" s="7">
        <f>$B12 * IFERROR(VLOOKUP("transport|PM25|Respiratory hospital admissions", US_national_yearly!$D:$AM, 33, FALSE) / VLOOKUP("transport|PM25|Respiratory hospital admissions", US_national_yearly!$D:$AM, 10, FALSE), 1)</f>
        <v>1.0368208531143625E-3</v>
      </c>
      <c r="Z12" s="7">
        <f>$B12 * IFERROR(VLOOKUP("transport|PM25|Respiratory hospital admissions", US_national_yearly!$D:$AM, 34, FALSE) / VLOOKUP("transport|PM25|Respiratory hospital admissions", US_national_yearly!$D:$AM, 10, FALSE), 1)</f>
        <v>1.0404395396709607E-3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1.0440582262275587E-3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1.0476769127841566E-3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7.5717468329999831E-3</v>
      </c>
      <c r="C13" s="7">
        <f>$B13 * IFERROR(VLOOKUP("transport|PM25|Non-fatal heart attacks", US_national_yearly!$D:$AM, 11, FALSE) / VLOOKUP("transport|PM25|Non-fatal heart attacks", US_national_yearly!$D:$AM, 10, FALSE), 1)</f>
        <v>7.7918776065517316E-3</v>
      </c>
      <c r="D13" s="7">
        <f>$B13 * IFERROR(VLOOKUP("transport|PM25|Non-fatal heart attacks", US_national_yearly!$D:$AM, 12, FALSE) / VLOOKUP("transport|PM25|Non-fatal heart attacks", US_national_yearly!$D:$AM, 10, FALSE), 1)</f>
        <v>8.012008380103481E-3</v>
      </c>
      <c r="E13" s="7">
        <f>$B13 * IFERROR(VLOOKUP("transport|PM25|Non-fatal heart attacks", US_national_yearly!$D:$AM, 13, FALSE) / VLOOKUP("transport|PM25|Non-fatal heart attacks", US_national_yearly!$D:$AM, 10, FALSE), 1)</f>
        <v>8.2321391536552269E-3</v>
      </c>
      <c r="F13" s="7">
        <f>$B13 * IFERROR(VLOOKUP("transport|PM25|Non-fatal heart attacks", US_national_yearly!$D:$AM, 14, FALSE) / VLOOKUP("transport|PM25|Non-fatal heart attacks", US_national_yearly!$D:$AM, 10, FALSE), 1)</f>
        <v>8.452269927206978E-3</v>
      </c>
      <c r="G13" s="7">
        <f>$B13 * IFERROR(VLOOKUP("transport|PM25|Non-fatal heart attacks", US_national_yearly!$D:$AM, 15, FALSE) / VLOOKUP("transport|PM25|Non-fatal heart attacks", US_national_yearly!$D:$AM, 10, FALSE), 1)</f>
        <v>8.6598671630639806E-3</v>
      </c>
      <c r="H13" s="7">
        <f>$B13 * IFERROR(VLOOKUP("transport|PM25|Non-fatal heart attacks", US_national_yearly!$D:$AM, 16, FALSE) / VLOOKUP("transport|PM25|Non-fatal heart attacks", US_national_yearly!$D:$AM, 10, FALSE), 1)</f>
        <v>8.8674643989209833E-3</v>
      </c>
      <c r="I13" s="7">
        <f>$B13 * IFERROR(VLOOKUP("transport|PM25|Non-fatal heart attacks", US_national_yearly!$D:$AM, 17, FALSE) / VLOOKUP("transport|PM25|Non-fatal heart attacks", US_national_yearly!$D:$AM, 10, FALSE), 1)</f>
        <v>9.0343034975306352E-3</v>
      </c>
      <c r="J13" s="7">
        <f>$B13 * IFERROR(VLOOKUP("transport|PM25|Non-fatal heart attacks", US_national_yearly!$D:$AM, 18, FALSE) / VLOOKUP("transport|PM25|Non-fatal heart attacks", US_national_yearly!$D:$AM, 10, FALSE), 1)</f>
        <v>9.2011425961402871E-3</v>
      </c>
      <c r="K13" s="7">
        <f>$B13 * IFERROR(VLOOKUP("transport|PM25|Non-fatal heart attacks", US_national_yearly!$D:$AM, 19, FALSE) / VLOOKUP("transport|PM25|Non-fatal heart attacks", US_national_yearly!$D:$AM, 10, FALSE), 1)</f>
        <v>9.3679816947499408E-3</v>
      </c>
      <c r="L13" s="7">
        <f>$B13 * IFERROR(VLOOKUP("transport|PM25|Non-fatal heart attacks", US_national_yearly!$D:$AM, 20, FALSE) / VLOOKUP("transport|PM25|Non-fatal heart attacks", US_national_yearly!$D:$AM, 10, FALSE), 1)</f>
        <v>9.5348207933595927E-3</v>
      </c>
      <c r="M13" s="7">
        <f>$B13 * IFERROR(VLOOKUP("transport|PM25|Non-fatal heart attacks", US_national_yearly!$D:$AM, 21, FALSE) / VLOOKUP("transport|PM25|Non-fatal heart attacks", US_national_yearly!$D:$AM, 10, FALSE), 1)</f>
        <v>9.7016598919692464E-3</v>
      </c>
      <c r="N13" s="7">
        <f>$B13 * IFERROR(VLOOKUP("transport|PM25|Non-fatal heart attacks", US_national_yearly!$D:$AM, 22, FALSE) / VLOOKUP("transport|PM25|Non-fatal heart attacks", US_national_yearly!$D:$AM, 10, FALSE), 1)</f>
        <v>9.8092546359656498E-3</v>
      </c>
      <c r="O13" s="7">
        <f>$B13 * IFERROR(VLOOKUP("transport|PM25|Non-fatal heart attacks", US_national_yearly!$D:$AM, 23, FALSE) / VLOOKUP("transport|PM25|Non-fatal heart attacks", US_national_yearly!$D:$AM, 10, FALSE), 1)</f>
        <v>9.9168493799620568E-3</v>
      </c>
      <c r="P13" s="7">
        <f>$B13 * IFERROR(VLOOKUP("transport|PM25|Non-fatal heart attacks", US_national_yearly!$D:$AM, 24, FALSE) / VLOOKUP("transport|PM25|Non-fatal heart attacks", US_national_yearly!$D:$AM, 10, FALSE), 1)</f>
        <v>1.0024444123958464E-2</v>
      </c>
      <c r="Q13" s="7">
        <f>$B13 * IFERROR(VLOOKUP("transport|PM25|Non-fatal heart attacks", US_national_yearly!$D:$AM, 25, FALSE) / VLOOKUP("transport|PM25|Non-fatal heart attacks", US_national_yearly!$D:$AM, 10, FALSE), 1)</f>
        <v>1.0132038867954867E-2</v>
      </c>
      <c r="R13" s="7">
        <f>$B13 * IFERROR(VLOOKUP("transport|PM25|Non-fatal heart attacks", US_national_yearly!$D:$AM, 26, FALSE) / VLOOKUP("transport|PM25|Non-fatal heart attacks", US_national_yearly!$D:$AM, 10, FALSE), 1)</f>
        <v>1.0239633611951274E-2</v>
      </c>
      <c r="S13" s="7">
        <f>$B13 * IFERROR(VLOOKUP("transport|PM25|Non-fatal heart attacks", US_national_yearly!$D:$AM, 27, FALSE) / VLOOKUP("transport|PM25|Non-fatal heart attacks", US_national_yearly!$D:$AM, 10, FALSE), 1)</f>
        <v>1.0296296078098156E-2</v>
      </c>
      <c r="T13" s="7">
        <f>$B13 * IFERROR(VLOOKUP("transport|PM25|Non-fatal heart attacks", US_national_yearly!$D:$AM, 28, FALSE) / VLOOKUP("transport|PM25|Non-fatal heart attacks", US_national_yearly!$D:$AM, 10, FALSE), 1)</f>
        <v>1.0352958544245044E-2</v>
      </c>
      <c r="U13" s="7">
        <f>$B13 * IFERROR(VLOOKUP("transport|PM25|Non-fatal heart attacks", US_national_yearly!$D:$AM, 29, FALSE) / VLOOKUP("transport|PM25|Non-fatal heart attacks", US_national_yearly!$D:$AM, 10, FALSE), 1)</f>
        <v>1.0409621010391929E-2</v>
      </c>
      <c r="V13" s="7">
        <f>$B13 * IFERROR(VLOOKUP("transport|PM25|Non-fatal heart attacks", US_national_yearly!$D:$AM, 30, FALSE) / VLOOKUP("transport|PM25|Non-fatal heart attacks", US_national_yearly!$D:$AM, 10, FALSE), 1)</f>
        <v>1.0466283476538815E-2</v>
      </c>
      <c r="W13" s="7">
        <f>$B13 * IFERROR(VLOOKUP("transport|PM25|Non-fatal heart attacks", US_national_yearly!$D:$AM, 31, FALSE) / VLOOKUP("transport|PM25|Non-fatal heart attacks", US_national_yearly!$D:$AM, 10, FALSE), 1)</f>
        <v>1.0522945942685699E-2</v>
      </c>
      <c r="X13" s="7">
        <f>$B13 * IFERROR(VLOOKUP("transport|PM25|Non-fatal heart attacks", US_national_yearly!$D:$AM, 32, FALSE) / VLOOKUP("transport|PM25|Non-fatal heart attacks", US_national_yearly!$D:$AM, 10, FALSE), 1)</f>
        <v>1.0565960947715402E-2</v>
      </c>
      <c r="Y13" s="7">
        <f>$B13 * IFERROR(VLOOKUP("transport|PM25|Non-fatal heart attacks", US_national_yearly!$D:$AM, 33, FALSE) / VLOOKUP("transport|PM25|Non-fatal heart attacks", US_national_yearly!$D:$AM, 10, FALSE), 1)</f>
        <v>1.0608975952745108E-2</v>
      </c>
      <c r="Z13" s="7">
        <f>$B13 * IFERROR(VLOOKUP("transport|PM25|Non-fatal heart attacks", US_national_yearly!$D:$AM, 34, FALSE) / VLOOKUP("transport|PM25|Non-fatal heart attacks", US_national_yearly!$D:$AM, 10, FALSE), 1)</f>
        <v>1.0651990957774811E-2</v>
      </c>
      <c r="AA13" s="7">
        <f>$B13 * IFERROR(VLOOKUP("transport|PM25|Non-fatal heart attacks", US_national_yearly!$D:$AM, 35, FALSE) / VLOOKUP("transport|PM25|Non-fatal heart attacks", US_national_yearly!$D:$AM, 10, FALSE), 1)</f>
        <v>1.0695005962804515E-2</v>
      </c>
      <c r="AB13" s="7">
        <f>$B13 * IFERROR(VLOOKUP("transport|PM25|Non-fatal heart attacks", US_national_yearly!$D:$AM, 36, FALSE) / VLOOKUP("transport|PM25|Non-fatal heart attacks", US_national_yearly!$D:$AM, 10, FALSE), 1)</f>
        <v>1.073802096783422E-2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2.0876974174001806</v>
      </c>
      <c r="C14" s="7">
        <f>$B14 * IFERROR(VLOOKUP("transport|PM25|Minor restricted activity days", US_national_yearly!$D:$AM, 11, FALSE) / VLOOKUP("transport|PM25|Minor restricted activity days", US_national_yearly!$D:$AM, 10, FALSE), 1)</f>
        <v>2.0927958220753538</v>
      </c>
      <c r="D14" s="7">
        <f>$B14 * IFERROR(VLOOKUP("transport|PM25|Minor restricted activity days", US_national_yearly!$D:$AM, 12, FALSE) / VLOOKUP("transport|PM25|Minor restricted activity days", US_national_yearly!$D:$AM, 10, FALSE), 1)</f>
        <v>2.0978942267505269</v>
      </c>
      <c r="E14" s="7">
        <f>$B14 * IFERROR(VLOOKUP("transport|PM25|Minor restricted activity days", US_national_yearly!$D:$AM, 13, FALSE) / VLOOKUP("transport|PM25|Minor restricted activity days", US_national_yearly!$D:$AM, 10, FALSE), 1)</f>
        <v>2.1029926314257006</v>
      </c>
      <c r="F14" s="7">
        <f>$B14 * IFERROR(VLOOKUP("transport|PM25|Minor restricted activity days", US_national_yearly!$D:$AM, 14, FALSE) / VLOOKUP("transport|PM25|Minor restricted activity days", US_national_yearly!$D:$AM, 10, FALSE), 1)</f>
        <v>2.1080910361008733</v>
      </c>
      <c r="G14" s="7">
        <f>$B14 * IFERROR(VLOOKUP("transport|PM25|Minor restricted activity days", US_national_yearly!$D:$AM, 15, FALSE) / VLOOKUP("transport|PM25|Minor restricted activity days", US_national_yearly!$D:$AM, 10, FALSE), 1)</f>
        <v>2.1156135796170616</v>
      </c>
      <c r="H14" s="7">
        <f>$B14 * IFERROR(VLOOKUP("transport|PM25|Minor restricted activity days", US_national_yearly!$D:$AM, 16, FALSE) / VLOOKUP("transport|PM25|Minor restricted activity days", US_national_yearly!$D:$AM, 10, FALSE), 1)</f>
        <v>2.1231361231332504</v>
      </c>
      <c r="I14" s="7">
        <f>$B14 * IFERROR(VLOOKUP("transport|PM25|Minor restricted activity days", US_national_yearly!$D:$AM, 17, FALSE) / VLOOKUP("transport|PM25|Minor restricted activity days", US_national_yearly!$D:$AM, 10, FALSE), 1)</f>
        <v>2.1359962277538296</v>
      </c>
      <c r="J14" s="7">
        <f>$B14 * IFERROR(VLOOKUP("transport|PM25|Minor restricted activity days", US_national_yearly!$D:$AM, 18, FALSE) / VLOOKUP("transport|PM25|Minor restricted activity days", US_national_yearly!$D:$AM, 10, FALSE), 1)</f>
        <v>2.1488563323744079</v>
      </c>
      <c r="K14" s="7">
        <f>$B14 * IFERROR(VLOOKUP("transport|PM25|Minor restricted activity days", US_national_yearly!$D:$AM, 19, FALSE) / VLOOKUP("transport|PM25|Minor restricted activity days", US_national_yearly!$D:$AM, 10, FALSE), 1)</f>
        <v>2.1617164369949875</v>
      </c>
      <c r="L14" s="7">
        <f>$B14 * IFERROR(VLOOKUP("transport|PM25|Minor restricted activity days", US_national_yearly!$D:$AM, 20, FALSE) / VLOOKUP("transport|PM25|Minor restricted activity days", US_national_yearly!$D:$AM, 10, FALSE), 1)</f>
        <v>2.1745765416155662</v>
      </c>
      <c r="M14" s="7">
        <f>$B14 * IFERROR(VLOOKUP("transport|PM25|Minor restricted activity days", US_national_yearly!$D:$AM, 21, FALSE) / VLOOKUP("transport|PM25|Minor restricted activity days", US_national_yearly!$D:$AM, 10, FALSE), 1)</f>
        <v>2.1874366462361454</v>
      </c>
      <c r="N14" s="7">
        <f>$B14 * IFERROR(VLOOKUP("transport|PM25|Minor restricted activity days", US_national_yearly!$D:$AM, 22, FALSE) / VLOOKUP("transport|PM25|Minor restricted activity days", US_national_yearly!$D:$AM, 10, FALSE), 1)</f>
        <v>2.2049546691716504</v>
      </c>
      <c r="O14" s="7">
        <f>$B14 * IFERROR(VLOOKUP("transport|PM25|Minor restricted activity days", US_national_yearly!$D:$AM, 23, FALSE) / VLOOKUP("transport|PM25|Minor restricted activity days", US_national_yearly!$D:$AM, 10, FALSE), 1)</f>
        <v>2.2224726921071549</v>
      </c>
      <c r="P14" s="7">
        <f>$B14 * IFERROR(VLOOKUP("transport|PM25|Minor restricted activity days", US_national_yearly!$D:$AM, 24, FALSE) / VLOOKUP("transport|PM25|Minor restricted activity days", US_national_yearly!$D:$AM, 10, FALSE), 1)</f>
        <v>2.2399907150426599</v>
      </c>
      <c r="Q14" s="7">
        <f>$B14 * IFERROR(VLOOKUP("transport|PM25|Minor restricted activity days", US_national_yearly!$D:$AM, 25, FALSE) / VLOOKUP("transport|PM25|Minor restricted activity days", US_national_yearly!$D:$AM, 10, FALSE), 1)</f>
        <v>2.2575087379781649</v>
      </c>
      <c r="R14" s="7">
        <f>$B14 * IFERROR(VLOOKUP("transport|PM25|Minor restricted activity days", US_national_yearly!$D:$AM, 26, FALSE) / VLOOKUP("transport|PM25|Minor restricted activity days", US_national_yearly!$D:$AM, 10, FALSE), 1)</f>
        <v>2.2750267609136694</v>
      </c>
      <c r="S14" s="7">
        <f>$B14 * IFERROR(VLOOKUP("transport|PM25|Minor restricted activity days", US_national_yearly!$D:$AM, 27, FALSE) / VLOOKUP("transport|PM25|Minor restricted activity days", US_national_yearly!$D:$AM, 10, FALSE), 1)</f>
        <v>2.292665424732836</v>
      </c>
      <c r="T14" s="7">
        <f>$B14 * IFERROR(VLOOKUP("transport|PM25|Minor restricted activity days", US_national_yearly!$D:$AM, 28, FALSE) / VLOOKUP("transport|PM25|Minor restricted activity days", US_national_yearly!$D:$AM, 10, FALSE), 1)</f>
        <v>2.3103040885520021</v>
      </c>
      <c r="U14" s="7">
        <f>$B14 * IFERROR(VLOOKUP("transport|PM25|Minor restricted activity days", US_national_yearly!$D:$AM, 29, FALSE) / VLOOKUP("transport|PM25|Minor restricted activity days", US_national_yearly!$D:$AM, 10, FALSE), 1)</f>
        <v>2.3279427523711687</v>
      </c>
      <c r="V14" s="7">
        <f>$B14 * IFERROR(VLOOKUP("transport|PM25|Minor restricted activity days", US_national_yearly!$D:$AM, 30, FALSE) / VLOOKUP("transport|PM25|Minor restricted activity days", US_national_yearly!$D:$AM, 10, FALSE), 1)</f>
        <v>2.3455814161903352</v>
      </c>
      <c r="W14" s="7">
        <f>$B14 * IFERROR(VLOOKUP("transport|PM25|Minor restricted activity days", US_national_yearly!$D:$AM, 31, FALSE) / VLOOKUP("transport|PM25|Minor restricted activity days", US_national_yearly!$D:$AM, 10, FALSE), 1)</f>
        <v>2.3632200800095018</v>
      </c>
      <c r="X14" s="7">
        <f>$B14 * IFERROR(VLOOKUP("transport|PM25|Minor restricted activity days", US_national_yearly!$D:$AM, 32, FALSE) / VLOOKUP("transport|PM25|Minor restricted activity days", US_national_yearly!$D:$AM, 10, FALSE), 1)</f>
        <v>2.3785322146878798</v>
      </c>
      <c r="Y14" s="7">
        <f>$B14 * IFERROR(VLOOKUP("transport|PM25|Minor restricted activity days", US_national_yearly!$D:$AM, 33, FALSE) / VLOOKUP("transport|PM25|Minor restricted activity days", US_national_yearly!$D:$AM, 10, FALSE), 1)</f>
        <v>2.3938443493662582</v>
      </c>
      <c r="Z14" s="7">
        <f>$B14 * IFERROR(VLOOKUP("transport|PM25|Minor restricted activity days", US_national_yearly!$D:$AM, 34, FALSE) / VLOOKUP("transport|PM25|Minor restricted activity days", US_national_yearly!$D:$AM, 10, FALSE), 1)</f>
        <v>2.4091564840446367</v>
      </c>
      <c r="AA14" s="7">
        <f>$B14 * IFERROR(VLOOKUP("transport|PM25|Minor restricted activity days", US_national_yearly!$D:$AM, 35, FALSE) / VLOOKUP("transport|PM25|Minor restricted activity days", US_national_yearly!$D:$AM, 10, FALSE), 1)</f>
        <v>2.4244686187230142</v>
      </c>
      <c r="AB14" s="7">
        <f>$B14 * IFERROR(VLOOKUP("transport|PM25|Minor restricted activity days", US_national_yearly!$D:$AM, 36, FALSE) / VLOOKUP("transport|PM25|Minor restricted activity days", US_national_yearly!$D:$AM, 10, FALSE), 1)</f>
        <v>2.4397807534013927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0.34827446410385593</v>
      </c>
      <c r="C15" s="7">
        <f>$B15 * IFERROR(VLOOKUP("transport|PM25|Work loss days", US_national_yearly!$D:$AM, 11, FALSE) / VLOOKUP("transport|PM25|Work loss days", US_national_yearly!$D:$AM, 10, FALSE), 1)</f>
        <v>0.34935398950428714</v>
      </c>
      <c r="D15" s="7">
        <f>$B15 * IFERROR(VLOOKUP("transport|PM25|Work loss days", US_national_yearly!$D:$AM, 12, FALSE) / VLOOKUP("transport|PM25|Work loss days", US_national_yearly!$D:$AM, 10, FALSE), 1)</f>
        <v>0.35043351490471847</v>
      </c>
      <c r="E15" s="7">
        <f>$B15 * IFERROR(VLOOKUP("transport|PM25|Work loss days", US_national_yearly!$D:$AM, 13, FALSE) / VLOOKUP("transport|PM25|Work loss days", US_national_yearly!$D:$AM, 10, FALSE), 1)</f>
        <v>0.35151304030514968</v>
      </c>
      <c r="F15" s="7">
        <f>$B15 * IFERROR(VLOOKUP("transport|PM25|Work loss days", US_national_yearly!$D:$AM, 14, FALSE) / VLOOKUP("transport|PM25|Work loss days", US_national_yearly!$D:$AM, 10, FALSE), 1)</f>
        <v>0.35259256570558095</v>
      </c>
      <c r="G15" s="7">
        <f>$B15 * IFERROR(VLOOKUP("transport|PM25|Work loss days", US_national_yearly!$D:$AM, 15, FALSE) / VLOOKUP("transport|PM25|Work loss days", US_national_yearly!$D:$AM, 10, FALSE), 1)</f>
        <v>0.35400789239109748</v>
      </c>
      <c r="H15" s="7">
        <f>$B15 * IFERROR(VLOOKUP("transport|PM25|Work loss days", US_national_yearly!$D:$AM, 16, FALSE) / VLOOKUP("transport|PM25|Work loss days", US_national_yearly!$D:$AM, 10, FALSE), 1)</f>
        <v>0.35542321907661406</v>
      </c>
      <c r="I15" s="7">
        <f>$B15 * IFERROR(VLOOKUP("transport|PM25|Work loss days", US_national_yearly!$D:$AM, 17, FALSE) / VLOOKUP("transport|PM25|Work loss days", US_national_yearly!$D:$AM, 10, FALSE), 1)</f>
        <v>0.35750744328561229</v>
      </c>
      <c r="J15" s="7">
        <f>$B15 * IFERROR(VLOOKUP("transport|PM25|Work loss days", US_national_yearly!$D:$AM, 18, FALSE) / VLOOKUP("transport|PM25|Work loss days", US_national_yearly!$D:$AM, 10, FALSE), 1)</f>
        <v>0.35959166749461058</v>
      </c>
      <c r="K15" s="7">
        <f>$B15 * IFERROR(VLOOKUP("transport|PM25|Work loss days", US_national_yearly!$D:$AM, 19, FALSE) / VLOOKUP("transport|PM25|Work loss days", US_national_yearly!$D:$AM, 10, FALSE), 1)</f>
        <v>0.36167589170360881</v>
      </c>
      <c r="L15" s="7">
        <f>$B15 * IFERROR(VLOOKUP("transport|PM25|Work loss days", US_national_yearly!$D:$AM, 20, FALSE) / VLOOKUP("transport|PM25|Work loss days", US_national_yearly!$D:$AM, 10, FALSE), 1)</f>
        <v>0.36376011591260704</v>
      </c>
      <c r="M15" s="7">
        <f>$B15 * IFERROR(VLOOKUP("transport|PM25|Work loss days", US_national_yearly!$D:$AM, 21, FALSE) / VLOOKUP("transport|PM25|Work loss days", US_national_yearly!$D:$AM, 10, FALSE), 1)</f>
        <v>0.36584434012160533</v>
      </c>
      <c r="N15" s="7">
        <f>$B15 * IFERROR(VLOOKUP("transport|PM25|Work loss days", US_national_yearly!$D:$AM, 22, FALSE) / VLOOKUP("transport|PM25|Work loss days", US_national_yearly!$D:$AM, 10, FALSE), 1)</f>
        <v>0.36846749404106116</v>
      </c>
      <c r="O15" s="7">
        <f>$B15 * IFERROR(VLOOKUP("transport|PM25|Work loss days", US_national_yearly!$D:$AM, 23, FALSE) / VLOOKUP("transport|PM25|Work loss days", US_national_yearly!$D:$AM, 10, FALSE), 1)</f>
        <v>0.37109064796051694</v>
      </c>
      <c r="P15" s="7">
        <f>$B15 * IFERROR(VLOOKUP("transport|PM25|Work loss days", US_national_yearly!$D:$AM, 24, FALSE) / VLOOKUP("transport|PM25|Work loss days", US_national_yearly!$D:$AM, 10, FALSE), 1)</f>
        <v>0.37371380187997283</v>
      </c>
      <c r="Q15" s="7">
        <f>$B15 * IFERROR(VLOOKUP("transport|PM25|Work loss days", US_national_yearly!$D:$AM, 25, FALSE) / VLOOKUP("transport|PM25|Work loss days", US_national_yearly!$D:$AM, 10, FALSE), 1)</f>
        <v>0.37633695579942861</v>
      </c>
      <c r="R15" s="7">
        <f>$B15 * IFERROR(VLOOKUP("transport|PM25|Work loss days", US_national_yearly!$D:$AM, 26, FALSE) / VLOOKUP("transport|PM25|Work loss days", US_national_yearly!$D:$AM, 10, FALSE), 1)</f>
        <v>0.37896010971888444</v>
      </c>
      <c r="S15" s="7">
        <f>$B15 * IFERROR(VLOOKUP("transport|PM25|Work loss days", US_national_yearly!$D:$AM, 27, FALSE) / VLOOKUP("transport|PM25|Work loss days", US_national_yearly!$D:$AM, 10, FALSE), 1)</f>
        <v>0.38186142994530142</v>
      </c>
      <c r="T15" s="7">
        <f>$B15 * IFERROR(VLOOKUP("transport|PM25|Work loss days", US_national_yearly!$D:$AM, 28, FALSE) / VLOOKUP("transport|PM25|Work loss days", US_national_yearly!$D:$AM, 10, FALSE), 1)</f>
        <v>0.38476275017171846</v>
      </c>
      <c r="U15" s="7">
        <f>$B15 * IFERROR(VLOOKUP("transport|PM25|Work loss days", US_national_yearly!$D:$AM, 29, FALSE) / VLOOKUP("transport|PM25|Work loss days", US_national_yearly!$D:$AM, 10, FALSE), 1)</f>
        <v>0.38766407039813533</v>
      </c>
      <c r="V15" s="7">
        <f>$B15 * IFERROR(VLOOKUP("transport|PM25|Work loss days", US_national_yearly!$D:$AM, 30, FALSE) / VLOOKUP("transport|PM25|Work loss days", US_national_yearly!$D:$AM, 10, FALSE), 1)</f>
        <v>0.39056539062455237</v>
      </c>
      <c r="W15" s="7">
        <f>$B15 * IFERROR(VLOOKUP("transport|PM25|Work loss days", US_national_yearly!$D:$AM, 31, FALSE) / VLOOKUP("transport|PM25|Work loss days", US_national_yearly!$D:$AM, 10, FALSE), 1)</f>
        <v>0.39346671085096935</v>
      </c>
      <c r="X15" s="7">
        <f>$B15 * IFERROR(VLOOKUP("transport|PM25|Work loss days", US_national_yearly!$D:$AM, 32, FALSE) / VLOOKUP("transport|PM25|Work loss days", US_national_yearly!$D:$AM, 10, FALSE), 1)</f>
        <v>0.39604096438837594</v>
      </c>
      <c r="Y15" s="7">
        <f>$B15 * IFERROR(VLOOKUP("transport|PM25|Work loss days", US_national_yearly!$D:$AM, 33, FALSE) / VLOOKUP("transport|PM25|Work loss days", US_national_yearly!$D:$AM, 10, FALSE), 1)</f>
        <v>0.39861521792578258</v>
      </c>
      <c r="Z15" s="7">
        <f>$B15 * IFERROR(VLOOKUP("transport|PM25|Work loss days", US_national_yearly!$D:$AM, 34, FALSE) / VLOOKUP("transport|PM25|Work loss days", US_national_yearly!$D:$AM, 10, FALSE), 1)</f>
        <v>0.40118947146318928</v>
      </c>
      <c r="AA15" s="7">
        <f>$B15 * IFERROR(VLOOKUP("transport|PM25|Work loss days", US_national_yearly!$D:$AM, 35, FALSE) / VLOOKUP("transport|PM25|Work loss days", US_national_yearly!$D:$AM, 10, FALSE), 1)</f>
        <v>0.40376372500059599</v>
      </c>
      <c r="AB15" s="7">
        <f>$B15 * IFERROR(VLOOKUP("transport|PM25|Work loss days", US_national_yearly!$D:$AM, 36, FALSE) / VLOOKUP("transport|PM25|Work loss days", US_national_yearly!$D:$AM, 10, FALSE), 1)</f>
        <v>0.40633797853800258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9.7161545919292609E-4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1.0006480066374482E-3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1.0296805540819705E-3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1.0587131015264927E-3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1.0877456489710149E-3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1.1155536434332579E-3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1.1433616378955015E-3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1.1671445614797095E-3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1.1909274850639172E-3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1.214710408648125E-3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1.2384933322323332E-3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1.262276255816541E-3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1.2781328739659835E-3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1.2939894921154263E-3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1.3098461102648688E-3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1.3257027284143115E-3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1.341559346563754E-3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1.3499489779556263E-3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1.3583386093474984E-3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1.3667282407393703E-3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1.3751178721312424E-3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1.3835075035231144E-3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1.3891555137330834E-3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1.3948035239430524E-3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1.4004515341530213E-3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1.4060995443629903E-3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1.4117475545729593E-3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3.4000880631699336E-4</v>
      </c>
      <c r="C2" s="7">
        <f>$B2 * IFERROR(VLOOKUP("transport|NOx|Premature mortality", US_national_yearly!$D:$AM, 11, FALSE) / VLOOKUP("transport|NOx|Premature mortality", US_national_yearly!$D:$AM, 10, FALSE), 1)</f>
        <v>3.4500296098079235E-4</v>
      </c>
      <c r="D2" s="7">
        <f>$B2 * IFERROR(VLOOKUP("transport|NOx|Premature mortality", US_national_yearly!$D:$AM, 12, FALSE) / VLOOKUP("transport|NOx|Premature mortality", US_national_yearly!$D:$AM, 10, FALSE), 1)</f>
        <v>3.4999711564459124E-4</v>
      </c>
      <c r="E2" s="7">
        <f>$B2 * IFERROR(VLOOKUP("transport|NOx|Premature mortality", US_national_yearly!$D:$AM, 13, FALSE) / VLOOKUP("transport|NOx|Premature mortality", US_national_yearly!$D:$AM, 10, FALSE), 1)</f>
        <v>3.5499127030839018E-4</v>
      </c>
      <c r="F2" s="7">
        <f>$B2 * IFERROR(VLOOKUP("transport|NOx|Premature mortality", US_national_yearly!$D:$AM, 14, FALSE) / VLOOKUP("transport|NOx|Premature mortality", US_national_yearly!$D:$AM, 10, FALSE), 1)</f>
        <v>3.5998542497218917E-4</v>
      </c>
      <c r="G2" s="7">
        <f>$B2 * IFERROR(VLOOKUP("transport|NOx|Premature mortality", US_national_yearly!$D:$AM, 15, FALSE) / VLOOKUP("transport|NOx|Premature mortality", US_national_yearly!$D:$AM, 10, FALSE), 1)</f>
        <v>3.6895610748741473E-4</v>
      </c>
      <c r="H2" s="7">
        <f>$B2 * IFERROR(VLOOKUP("transport|NOx|Premature mortality", US_national_yearly!$D:$AM, 16, FALSE) / VLOOKUP("transport|NOx|Premature mortality", US_national_yearly!$D:$AM, 10, FALSE), 1)</f>
        <v>3.7792679000264045E-4</v>
      </c>
      <c r="I2" s="7">
        <f>$B2 * IFERROR(VLOOKUP("transport|NOx|Premature mortality", US_national_yearly!$D:$AM, 17, FALSE) / VLOOKUP("transport|NOx|Premature mortality", US_national_yearly!$D:$AM, 10, FALSE), 1)</f>
        <v>3.8371753572782088E-4</v>
      </c>
      <c r="J2" s="7">
        <f>$B2 * IFERROR(VLOOKUP("transport|NOx|Premature mortality", US_national_yearly!$D:$AM, 18, FALSE) / VLOOKUP("transport|NOx|Premature mortality", US_national_yearly!$D:$AM, 10, FALSE), 1)</f>
        <v>3.8950828145300137E-4</v>
      </c>
      <c r="K2" s="7">
        <f>$B2 * IFERROR(VLOOKUP("transport|NOx|Premature mortality", US_national_yearly!$D:$AM, 19, FALSE) / VLOOKUP("transport|NOx|Premature mortality", US_national_yearly!$D:$AM, 10, FALSE), 1)</f>
        <v>3.9529902717818179E-4</v>
      </c>
      <c r="L2" s="7">
        <f>$B2 * IFERROR(VLOOKUP("transport|NOx|Premature mortality", US_national_yearly!$D:$AM, 20, FALSE) / VLOOKUP("transport|NOx|Premature mortality", US_national_yearly!$D:$AM, 10, FALSE), 1)</f>
        <v>4.0108977290336222E-4</v>
      </c>
      <c r="M2" s="7">
        <f>$B2 * IFERROR(VLOOKUP("transport|NOx|Premature mortality", US_national_yearly!$D:$AM, 21, FALSE) / VLOOKUP("transport|NOx|Premature mortality", US_national_yearly!$D:$AM, 10, FALSE), 1)</f>
        <v>4.0688051862854271E-4</v>
      </c>
      <c r="N2" s="7">
        <f>$B2 * IFERROR(VLOOKUP("transport|NOx|Premature mortality", US_national_yearly!$D:$AM, 22, FALSE) / VLOOKUP("transport|NOx|Premature mortality", US_national_yearly!$D:$AM, 10, FALSE), 1)</f>
        <v>4.1117028054997933E-4</v>
      </c>
      <c r="O2" s="7">
        <f>$B2 * IFERROR(VLOOKUP("transport|NOx|Premature mortality", US_national_yearly!$D:$AM, 23, FALSE) / VLOOKUP("transport|NOx|Premature mortality", US_national_yearly!$D:$AM, 10, FALSE), 1)</f>
        <v>4.1546004247141591E-4</v>
      </c>
      <c r="P2" s="7">
        <f>$B2 * IFERROR(VLOOKUP("transport|NOx|Premature mortality", US_national_yearly!$D:$AM, 24, FALSE) / VLOOKUP("transport|NOx|Premature mortality", US_national_yearly!$D:$AM, 10, FALSE), 1)</f>
        <v>4.1974980439285253E-4</v>
      </c>
      <c r="Q2" s="7">
        <f>$B2 * IFERROR(VLOOKUP("transport|NOx|Premature mortality", US_national_yearly!$D:$AM, 25, FALSE) / VLOOKUP("transport|NOx|Premature mortality", US_national_yearly!$D:$AM, 10, FALSE), 1)</f>
        <v>4.2403956631428922E-4</v>
      </c>
      <c r="R2" s="7">
        <f>$B2 * IFERROR(VLOOKUP("transport|NOx|Premature mortality", US_national_yearly!$D:$AM, 26, FALSE) / VLOOKUP("transport|NOx|Premature mortality", US_national_yearly!$D:$AM, 10, FALSE), 1)</f>
        <v>4.2832932823572584E-4</v>
      </c>
      <c r="S2" s="7">
        <f>$B2 * IFERROR(VLOOKUP("transport|NOx|Premature mortality", US_national_yearly!$D:$AM, 27, FALSE) / VLOOKUP("transport|NOx|Premature mortality", US_national_yearly!$D:$AM, 10, FALSE), 1)</f>
        <v>4.3027906822634725E-4</v>
      </c>
      <c r="T2" s="7">
        <f>$B2 * IFERROR(VLOOKUP("transport|NOx|Premature mortality", US_national_yearly!$D:$AM, 28, FALSE) / VLOOKUP("transport|NOx|Premature mortality", US_national_yearly!$D:$AM, 10, FALSE), 1)</f>
        <v>4.3222880821696877E-4</v>
      </c>
      <c r="U2" s="7">
        <f>$B2 * IFERROR(VLOOKUP("transport|NOx|Premature mortality", US_national_yearly!$D:$AM, 29, FALSE) / VLOOKUP("transport|NOx|Premature mortality", US_national_yearly!$D:$AM, 10, FALSE), 1)</f>
        <v>4.3417854820759018E-4</v>
      </c>
      <c r="V2" s="7">
        <f>$B2 * IFERROR(VLOOKUP("transport|NOx|Premature mortality", US_national_yearly!$D:$AM, 30, FALSE) / VLOOKUP("transport|NOx|Premature mortality", US_national_yearly!$D:$AM, 10, FALSE), 1)</f>
        <v>4.3612828819821159E-4</v>
      </c>
      <c r="W2" s="7">
        <f>$B2 * IFERROR(VLOOKUP("transport|NOx|Premature mortality", US_national_yearly!$D:$AM, 31, FALSE) / VLOOKUP("transport|NOx|Premature mortality", US_national_yearly!$D:$AM, 10, FALSE), 1)</f>
        <v>4.3807802818883311E-4</v>
      </c>
      <c r="X2" s="7">
        <f>$B2 * IFERROR(VLOOKUP("transport|NOx|Premature mortality", US_national_yearly!$D:$AM, 32, FALSE) / VLOOKUP("transport|NOx|Premature mortality", US_national_yearly!$D:$AM, 10, FALSE), 1)</f>
        <v>4.3814556606294855E-4</v>
      </c>
      <c r="Y2" s="7">
        <f>$B2 * IFERROR(VLOOKUP("transport|NOx|Premature mortality", US_national_yearly!$D:$AM, 33, FALSE) / VLOOKUP("transport|NOx|Premature mortality", US_national_yearly!$D:$AM, 10, FALSE), 1)</f>
        <v>4.3821310393706394E-4</v>
      </c>
      <c r="Z2" s="7">
        <f>$B2 * IFERROR(VLOOKUP("transport|NOx|Premature mortality", US_national_yearly!$D:$AM, 34, FALSE) / VLOOKUP("transport|NOx|Premature mortality", US_national_yearly!$D:$AM, 10, FALSE), 1)</f>
        <v>4.3828064181117933E-4</v>
      </c>
      <c r="AA2" s="7">
        <f>$B2 * IFERROR(VLOOKUP("transport|NOx|Premature mortality", US_national_yearly!$D:$AM, 35, FALSE) / VLOOKUP("transport|NOx|Premature mortality", US_national_yearly!$D:$AM, 10, FALSE), 1)</f>
        <v>4.3834817968529483E-4</v>
      </c>
      <c r="AB2" s="7">
        <f>$B2 * IFERROR(VLOOKUP("transport|NOx|Premature mortality", US_national_yearly!$D:$AM, 36, FALSE) / VLOOKUP("transport|NOx|Premature mortality", US_national_yearly!$D:$AM, 10, FALSE), 1)</f>
        <v>4.3841571755941022E-4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5.7375501037486012E-7</v>
      </c>
      <c r="C3" s="7">
        <f>$B3 * IFERROR(VLOOKUP("transport|NOx|Infant mortality", US_national_yearly!$D:$AM, 11, FALSE) / VLOOKUP("transport|NOx|Infant mortality", US_national_yearly!$D:$AM, 10, FALSE), 1)</f>
        <v>5.6828853188003624E-7</v>
      </c>
      <c r="D3" s="7">
        <f>$B3 * IFERROR(VLOOKUP("transport|NOx|Infant mortality", US_national_yearly!$D:$AM, 12, FALSE) / VLOOKUP("transport|NOx|Infant mortality", US_national_yearly!$D:$AM, 10, FALSE), 1)</f>
        <v>5.6282205338521226E-7</v>
      </c>
      <c r="E3" s="7">
        <f>$B3 * IFERROR(VLOOKUP("transport|NOx|Infant mortality", US_national_yearly!$D:$AM, 13, FALSE) / VLOOKUP("transport|NOx|Infant mortality", US_national_yearly!$D:$AM, 10, FALSE), 1)</f>
        <v>5.5735557489038838E-7</v>
      </c>
      <c r="F3" s="7">
        <f>$B3 * IFERROR(VLOOKUP("transport|NOx|Infant mortality", US_national_yearly!$D:$AM, 14, FALSE) / VLOOKUP("transport|NOx|Infant mortality", US_national_yearly!$D:$AM, 10, FALSE), 1)</f>
        <v>5.518890963955645E-7</v>
      </c>
      <c r="G3" s="7">
        <f>$B3 * IFERROR(VLOOKUP("transport|NOx|Infant mortality", US_national_yearly!$D:$AM, 15, FALSE) / VLOOKUP("transport|NOx|Infant mortality", US_national_yearly!$D:$AM, 10, FALSE), 1)</f>
        <v>3.6637123501326623E-7</v>
      </c>
      <c r="H3" s="7">
        <f>$B3 * IFERROR(VLOOKUP("transport|NOx|Infant mortality", US_national_yearly!$D:$AM, 16, FALSE) / VLOOKUP("transport|NOx|Infant mortality", US_national_yearly!$D:$AM, 10, FALSE), 1)</f>
        <v>1.8085337363096804E-7</v>
      </c>
      <c r="I3" s="7">
        <f>$B3 * IFERROR(VLOOKUP("transport|NOx|Infant mortality", US_national_yearly!$D:$AM, 17, FALSE) / VLOOKUP("transport|NOx|Infant mortality", US_national_yearly!$D:$AM, 10, FALSE), 1)</f>
        <v>1.795745675998923E-7</v>
      </c>
      <c r="J3" s="7">
        <f>$B3 * IFERROR(VLOOKUP("transport|NOx|Infant mortality", US_national_yearly!$D:$AM, 18, FALSE) / VLOOKUP("transport|NOx|Infant mortality", US_national_yearly!$D:$AM, 10, FALSE), 1)</f>
        <v>1.7829576156881651E-7</v>
      </c>
      <c r="K3" s="7">
        <f>$B3 * IFERROR(VLOOKUP("transport|NOx|Infant mortality", US_national_yearly!$D:$AM, 19, FALSE) / VLOOKUP("transport|NOx|Infant mortality", US_national_yearly!$D:$AM, 10, FALSE), 1)</f>
        <v>1.7701695553774077E-7</v>
      </c>
      <c r="L3" s="7">
        <f>$B3 * IFERROR(VLOOKUP("transport|NOx|Infant mortality", US_national_yearly!$D:$AM, 20, FALSE) / VLOOKUP("transport|NOx|Infant mortality", US_national_yearly!$D:$AM, 10, FALSE), 1)</f>
        <v>1.7573814950666501E-7</v>
      </c>
      <c r="M3" s="7">
        <f>$B3 * IFERROR(VLOOKUP("transport|NOx|Infant mortality", US_national_yearly!$D:$AM, 21, FALSE) / VLOOKUP("transport|NOx|Infant mortality", US_national_yearly!$D:$AM, 10, FALSE), 1)</f>
        <v>1.7445934347558924E-7</v>
      </c>
      <c r="N3" s="7">
        <f>$B3 * IFERROR(VLOOKUP("transport|NOx|Infant mortality", US_national_yearly!$D:$AM, 22, FALSE) / VLOOKUP("transport|NOx|Infant mortality", US_national_yearly!$D:$AM, 10, FALSE), 1)</f>
        <v>1.7361052550221867E-7</v>
      </c>
      <c r="O3" s="7">
        <f>$B3 * IFERROR(VLOOKUP("transport|NOx|Infant mortality", US_national_yearly!$D:$AM, 23, FALSE) / VLOOKUP("transport|NOx|Infant mortality", US_national_yearly!$D:$AM, 10, FALSE), 1)</f>
        <v>1.7276170752884808E-7</v>
      </c>
      <c r="P3" s="7">
        <f>$B3 * IFERROR(VLOOKUP("transport|NOx|Infant mortality", US_national_yearly!$D:$AM, 24, FALSE) / VLOOKUP("transport|NOx|Infant mortality", US_national_yearly!$D:$AM, 10, FALSE), 1)</f>
        <v>1.7191288955547752E-7</v>
      </c>
      <c r="Q3" s="7">
        <f>$B3 * IFERROR(VLOOKUP("transport|NOx|Infant mortality", US_national_yearly!$D:$AM, 25, FALSE) / VLOOKUP("transport|NOx|Infant mortality", US_national_yearly!$D:$AM, 10, FALSE), 1)</f>
        <v>1.7106407158210695E-7</v>
      </c>
      <c r="R3" s="7">
        <f>$B3 * IFERROR(VLOOKUP("transport|NOx|Infant mortality", US_national_yearly!$D:$AM, 26, FALSE) / VLOOKUP("transport|NOx|Infant mortality", US_national_yearly!$D:$AM, 10, FALSE), 1)</f>
        <v>1.7021525360873636E-7</v>
      </c>
      <c r="S3" s="7">
        <f>$B3 * IFERROR(VLOOKUP("transport|NOx|Infant mortality", US_national_yearly!$D:$AM, 27, FALSE) / VLOOKUP("transport|NOx|Infant mortality", US_national_yearly!$D:$AM, 10, FALSE), 1)</f>
        <v>1.6919483942246345E-7</v>
      </c>
      <c r="T3" s="7">
        <f>$B3 * IFERROR(VLOOKUP("transport|NOx|Infant mortality", US_national_yearly!$D:$AM, 28, FALSE) / VLOOKUP("transport|NOx|Infant mortality", US_national_yearly!$D:$AM, 10, FALSE), 1)</f>
        <v>1.6817442523619052E-7</v>
      </c>
      <c r="U3" s="7">
        <f>$B3 * IFERROR(VLOOKUP("transport|NOx|Infant mortality", US_national_yearly!$D:$AM, 29, FALSE) / VLOOKUP("transport|NOx|Infant mortality", US_national_yearly!$D:$AM, 10, FALSE), 1)</f>
        <v>1.6715401104991761E-7</v>
      </c>
      <c r="V3" s="7">
        <f>$B3 * IFERROR(VLOOKUP("transport|NOx|Infant mortality", US_national_yearly!$D:$AM, 30, FALSE) / VLOOKUP("transport|NOx|Infant mortality", US_national_yearly!$D:$AM, 10, FALSE), 1)</f>
        <v>1.6613359686364468E-7</v>
      </c>
      <c r="W3" s="7">
        <f>$B3 * IFERROR(VLOOKUP("transport|NOx|Infant mortality", US_national_yearly!$D:$AM, 31, FALSE) / VLOOKUP("transport|NOx|Infant mortality", US_national_yearly!$D:$AM, 10, FALSE), 1)</f>
        <v>1.6511318267737177E-7</v>
      </c>
      <c r="X3" s="7">
        <f>$B3 * IFERROR(VLOOKUP("transport|NOx|Infant mortality", US_national_yearly!$D:$AM, 32, FALSE) / VLOOKUP("transport|NOx|Infant mortality", US_national_yearly!$D:$AM, 10, FALSE), 1)</f>
        <v>1.6403251470889271E-7</v>
      </c>
      <c r="Y3" s="7">
        <f>$B3 * IFERROR(VLOOKUP("transport|NOx|Infant mortality", US_national_yearly!$D:$AM, 33, FALSE) / VLOOKUP("transport|NOx|Infant mortality", US_national_yearly!$D:$AM, 10, FALSE), 1)</f>
        <v>1.6295184674041361E-7</v>
      </c>
      <c r="Z3" s="7">
        <f>$B3 * IFERROR(VLOOKUP("transport|NOx|Infant mortality", US_national_yearly!$D:$AM, 34, FALSE) / VLOOKUP("transport|NOx|Infant mortality", US_national_yearly!$D:$AM, 10, FALSE), 1)</f>
        <v>1.6187117877193452E-7</v>
      </c>
      <c r="AA3" s="7">
        <f>$B3 * IFERROR(VLOOKUP("transport|NOx|Infant mortality", US_national_yearly!$D:$AM, 35, FALSE) / VLOOKUP("transport|NOx|Infant mortality", US_national_yearly!$D:$AM, 10, FALSE), 1)</f>
        <v>1.6079051080345543E-7</v>
      </c>
      <c r="AB3" s="7">
        <f>$B3 * IFERROR(VLOOKUP("transport|NOx|Infant mortality", US_national_yearly!$D:$AM, 36, FALSE) / VLOOKUP("transport|NOx|Infant mortality", US_national_yearly!$D:$AM, 10, FALSE), 1)</f>
        <v>1.5970984283497633E-7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5.8853562020368773E-4</v>
      </c>
      <c r="C6" s="7">
        <f>$B6 * IFERROR(VLOOKUP("transport|NOx|Asthma symptoms cough", US_national_yearly!$D:$AM, 11, FALSE) / VLOOKUP("transport|NOx|Asthma symptoms cough", US_national_yearly!$D:$AM, 10, FALSE), 1)</f>
        <v>5.9658186434952208E-4</v>
      </c>
      <c r="D6" s="7">
        <f>$B6 * IFERROR(VLOOKUP("transport|NOx|Asthma symptoms cough", US_national_yearly!$D:$AM, 12, FALSE) / VLOOKUP("transport|NOx|Asthma symptoms cough", US_national_yearly!$D:$AM, 10, FALSE), 1)</f>
        <v>6.0462810849535654E-4</v>
      </c>
      <c r="E6" s="7">
        <f>$B6 * IFERROR(VLOOKUP("transport|NOx|Asthma symptoms cough", US_national_yearly!$D:$AM, 13, FALSE) / VLOOKUP("transport|NOx|Asthma symptoms cough", US_national_yearly!$D:$AM, 10, FALSE), 1)</f>
        <v>6.1267435264119089E-4</v>
      </c>
      <c r="F6" s="7">
        <f>$B6 * IFERROR(VLOOKUP("transport|NOx|Asthma symptoms cough", US_national_yearly!$D:$AM, 14, FALSE) / VLOOKUP("transport|NOx|Asthma symptoms cough", US_national_yearly!$D:$AM, 10, FALSE), 1)</f>
        <v>6.2072059678702535E-4</v>
      </c>
      <c r="G6" s="7">
        <f>$B6 * IFERROR(VLOOKUP("transport|NOx|Asthma symptoms cough", US_national_yearly!$D:$AM, 15, FALSE) / VLOOKUP("transport|NOx|Asthma symptoms cough", US_national_yearly!$D:$AM, 10, FALSE), 1)</f>
        <v>6.2714439835081777E-4</v>
      </c>
      <c r="H6" s="7">
        <f>$B6 * IFERROR(VLOOKUP("transport|NOx|Asthma symptoms cough", US_national_yearly!$D:$AM, 16, FALSE) / VLOOKUP("transport|NOx|Asthma symptoms cough", US_national_yearly!$D:$AM, 10, FALSE), 1)</f>
        <v>6.3356819991461041E-4</v>
      </c>
      <c r="I6" s="7">
        <f>$B6 * IFERROR(VLOOKUP("transport|NOx|Asthma symptoms cough", US_national_yearly!$D:$AM, 17, FALSE) / VLOOKUP("transport|NOx|Asthma symptoms cough", US_national_yearly!$D:$AM, 10, FALSE), 1)</f>
        <v>6.3577918057979813E-4</v>
      </c>
      <c r="J6" s="7">
        <f>$B6 * IFERROR(VLOOKUP("transport|NOx|Asthma symptoms cough", US_national_yearly!$D:$AM, 18, FALSE) / VLOOKUP("transport|NOx|Asthma symptoms cough", US_national_yearly!$D:$AM, 10, FALSE), 1)</f>
        <v>6.3799016124498607E-4</v>
      </c>
      <c r="K6" s="7">
        <f>$B6 * IFERROR(VLOOKUP("transport|NOx|Asthma symptoms cough", US_national_yearly!$D:$AM, 19, FALSE) / VLOOKUP("transport|NOx|Asthma symptoms cough", US_national_yearly!$D:$AM, 10, FALSE), 1)</f>
        <v>6.4020114191017379E-4</v>
      </c>
      <c r="L6" s="7">
        <f>$B6 * IFERROR(VLOOKUP("transport|NOx|Asthma symptoms cough", US_national_yearly!$D:$AM, 20, FALSE) / VLOOKUP("transport|NOx|Asthma symptoms cough", US_national_yearly!$D:$AM, 10, FALSE), 1)</f>
        <v>6.4241212257536151E-4</v>
      </c>
      <c r="M6" s="7">
        <f>$B6 * IFERROR(VLOOKUP("transport|NOx|Asthma symptoms cough", US_national_yearly!$D:$AM, 21, FALSE) / VLOOKUP("transport|NOx|Asthma symptoms cough", US_national_yearly!$D:$AM, 10, FALSE), 1)</f>
        <v>6.4462310324054945E-4</v>
      </c>
      <c r="N6" s="7">
        <f>$B6 * IFERROR(VLOOKUP("transport|NOx|Asthma symptoms cough", US_national_yearly!$D:$AM, 22, FALSE) / VLOOKUP("transport|NOx|Asthma symptoms cough", US_national_yearly!$D:$AM, 10, FALSE), 1)</f>
        <v>6.4718689996752792E-4</v>
      </c>
      <c r="O6" s="7">
        <f>$B6 * IFERROR(VLOOKUP("transport|NOx|Asthma symptoms cough", US_national_yearly!$D:$AM, 23, FALSE) / VLOOKUP("transport|NOx|Asthma symptoms cough", US_national_yearly!$D:$AM, 10, FALSE), 1)</f>
        <v>6.4975069669450649E-4</v>
      </c>
      <c r="P6" s="7">
        <f>$B6 * IFERROR(VLOOKUP("transport|NOx|Asthma symptoms cough", US_national_yearly!$D:$AM, 24, FALSE) / VLOOKUP("transport|NOx|Asthma symptoms cough", US_national_yearly!$D:$AM, 10, FALSE), 1)</f>
        <v>6.5231449342148507E-4</v>
      </c>
      <c r="Q6" s="7">
        <f>$B6 * IFERROR(VLOOKUP("transport|NOx|Asthma symptoms cough", US_national_yearly!$D:$AM, 25, FALSE) / VLOOKUP("transport|NOx|Asthma symptoms cough", US_national_yearly!$D:$AM, 10, FALSE), 1)</f>
        <v>6.5487829014846365E-4</v>
      </c>
      <c r="R6" s="7">
        <f>$B6 * IFERROR(VLOOKUP("transport|NOx|Asthma symptoms cough", US_national_yearly!$D:$AM, 26, FALSE) / VLOOKUP("transport|NOx|Asthma symptoms cough", US_national_yearly!$D:$AM, 10, FALSE), 1)</f>
        <v>6.5744208687544222E-4</v>
      </c>
      <c r="S6" s="7">
        <f>$B6 * IFERROR(VLOOKUP("transport|NOx|Asthma symptoms cough", US_national_yearly!$D:$AM, 27, FALSE) / VLOOKUP("transport|NOx|Asthma symptoms cough", US_national_yearly!$D:$AM, 10, FALSE), 1)</f>
        <v>6.6079122196408306E-4</v>
      </c>
      <c r="T6" s="7">
        <f>$B6 * IFERROR(VLOOKUP("transport|NOx|Asthma symptoms cough", US_national_yearly!$D:$AM, 28, FALSE) / VLOOKUP("transport|NOx|Asthma symptoms cough", US_national_yearly!$D:$AM, 10, FALSE), 1)</f>
        <v>6.6414035705272378E-4</v>
      </c>
      <c r="U6" s="7">
        <f>$B6 * IFERROR(VLOOKUP("transport|NOx|Asthma symptoms cough", US_national_yearly!$D:$AM, 29, FALSE) / VLOOKUP("transport|NOx|Asthma symptoms cough", US_national_yearly!$D:$AM, 10, FALSE), 1)</f>
        <v>6.674894921413644E-4</v>
      </c>
      <c r="V6" s="7">
        <f>$B6 * IFERROR(VLOOKUP("transport|NOx|Asthma symptoms cough", US_national_yearly!$D:$AM, 30, FALSE) / VLOOKUP("transport|NOx|Asthma symptoms cough", US_national_yearly!$D:$AM, 10, FALSE), 1)</f>
        <v>6.7083862723000523E-4</v>
      </c>
      <c r="W6" s="7">
        <f>$B6 * IFERROR(VLOOKUP("transport|NOx|Asthma symptoms cough", US_national_yearly!$D:$AM, 31, FALSE) / VLOOKUP("transport|NOx|Asthma symptoms cough", US_national_yearly!$D:$AM, 10, FALSE), 1)</f>
        <v>6.7418776231864595E-4</v>
      </c>
      <c r="X6" s="7">
        <f>$B6 * IFERROR(VLOOKUP("transport|NOx|Asthma symptoms cough", US_national_yearly!$D:$AM, 32, FALSE) / VLOOKUP("transport|NOx|Asthma symptoms cough", US_national_yearly!$D:$AM, 10, FALSE), 1)</f>
        <v>6.7729959003830274E-4</v>
      </c>
      <c r="Y6" s="7">
        <f>$B6 * IFERROR(VLOOKUP("transport|NOx|Asthma symptoms cough", US_national_yearly!$D:$AM, 33, FALSE) / VLOOKUP("transport|NOx|Asthma symptoms cough", US_national_yearly!$D:$AM, 10, FALSE), 1)</f>
        <v>6.8041141775795953E-4</v>
      </c>
      <c r="Z6" s="7">
        <f>$B6 * IFERROR(VLOOKUP("transport|NOx|Asthma symptoms cough", US_national_yearly!$D:$AM, 34, FALSE) / VLOOKUP("transport|NOx|Asthma symptoms cough", US_national_yearly!$D:$AM, 10, FALSE), 1)</f>
        <v>6.8352324547761632E-4</v>
      </c>
      <c r="AA6" s="7">
        <f>$B6 * IFERROR(VLOOKUP("transport|NOx|Asthma symptoms cough", US_national_yearly!$D:$AM, 35, FALSE) / VLOOKUP("transport|NOx|Asthma symptoms cough", US_national_yearly!$D:$AM, 10, FALSE), 1)</f>
        <v>6.8663507319727311E-4</v>
      </c>
      <c r="AB6" s="7">
        <f>$B6 * IFERROR(VLOOKUP("transport|NOx|Asthma symptoms cough", US_national_yearly!$D:$AM, 36, FALSE) / VLOOKUP("transport|NOx|Asthma symptoms cough", US_national_yearly!$D:$AM, 10, FALSE), 1)</f>
        <v>6.8974690091693001E-4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7.9254191863203439E-4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8.0337726240600272E-4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8.1421260617997083E-4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8.2504794995393906E-4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8.3588329372790739E-4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8.4453380158690781E-4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8.5318430944590824E-4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8.5616169057064313E-4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8.5913907169537812E-4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8.6211645282011312E-4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8.6509383394484801E-4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8.6807121506958301E-4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8.7152371021284331E-4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8.7497620535610362E-4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8.784287004993637E-4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8.81881195642624E-4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8.8533369078588431E-4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8.898437490671762E-4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8.9435380734846832E-4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8.9886386562976022E-4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9.0337392391105201E-4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9.078839821923439E-4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9.1207447436309722E-4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9.1626496653385054E-4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9.2045545870460396E-4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9.2464595087535727E-4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9.2883644304611059E-4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1.2108936064526576E-3</v>
      </c>
      <c r="C8" s="7">
        <f>$B8 * IFERROR(VLOOKUP("transport|NOx|Asthma symptoms wheeze", US_national_yearly!$D:$AM, 11, FALSE) / VLOOKUP("transport|NOx|Asthma symptoms wheeze", US_national_yearly!$D:$AM, 10, FALSE), 1)</f>
        <v>1.2274485018083734E-3</v>
      </c>
      <c r="D8" s="7">
        <f>$B8 * IFERROR(VLOOKUP("transport|NOx|Asthma symptoms wheeze", US_national_yearly!$D:$AM, 12, FALSE) / VLOOKUP("transport|NOx|Asthma symptoms wheeze", US_national_yearly!$D:$AM, 10, FALSE), 1)</f>
        <v>1.2440033971640896E-3</v>
      </c>
      <c r="E8" s="7">
        <f>$B8 * IFERROR(VLOOKUP("transport|NOx|Asthma symptoms wheeze", US_national_yearly!$D:$AM, 13, FALSE) / VLOOKUP("transport|NOx|Asthma symptoms wheeze", US_national_yearly!$D:$AM, 10, FALSE), 1)</f>
        <v>1.2605582925198052E-3</v>
      </c>
      <c r="F8" s="7">
        <f>$B8 * IFERROR(VLOOKUP("transport|NOx|Asthma symptoms wheeze", US_national_yearly!$D:$AM, 14, FALSE) / VLOOKUP("transport|NOx|Asthma symptoms wheeze", US_national_yearly!$D:$AM, 10, FALSE), 1)</f>
        <v>1.277113187875521E-3</v>
      </c>
      <c r="G8" s="7">
        <f>$B8 * IFERROR(VLOOKUP("transport|NOx|Asthma symptoms wheeze", US_national_yearly!$D:$AM, 15, FALSE) / VLOOKUP("transport|NOx|Asthma symptoms wheeze", US_national_yearly!$D:$AM, 10, FALSE), 1)</f>
        <v>1.2903299584365721E-3</v>
      </c>
      <c r="H8" s="7">
        <f>$B8 * IFERROR(VLOOKUP("transport|NOx|Asthma symptoms wheeze", US_national_yearly!$D:$AM, 16, FALSE) / VLOOKUP("transport|NOx|Asthma symptoms wheeze", US_national_yearly!$D:$AM, 10, FALSE), 1)</f>
        <v>1.3035467289976232E-3</v>
      </c>
      <c r="I8" s="7">
        <f>$B8 * IFERROR(VLOOKUP("transport|NOx|Asthma symptoms wheeze", US_national_yearly!$D:$AM, 17, FALSE) / VLOOKUP("transport|NOx|Asthma symptoms wheeze", US_national_yearly!$D:$AM, 10, FALSE), 1)</f>
        <v>1.3080957524978726E-3</v>
      </c>
      <c r="J8" s="7">
        <f>$B8 * IFERROR(VLOOKUP("transport|NOx|Asthma symptoms wheeze", US_national_yearly!$D:$AM, 18, FALSE) / VLOOKUP("transport|NOx|Asthma symptoms wheeze", US_national_yearly!$D:$AM, 10, FALSE), 1)</f>
        <v>1.3126447759981225E-3</v>
      </c>
      <c r="K8" s="7">
        <f>$B8 * IFERROR(VLOOKUP("transport|NOx|Asthma symptoms wheeze", US_national_yearly!$D:$AM, 19, FALSE) / VLOOKUP("transport|NOx|Asthma symptoms wheeze", US_national_yearly!$D:$AM, 10, FALSE), 1)</f>
        <v>1.3171937994983717E-3</v>
      </c>
      <c r="L8" s="7">
        <f>$B8 * IFERROR(VLOOKUP("transport|NOx|Asthma symptoms wheeze", US_national_yearly!$D:$AM, 20, FALSE) / VLOOKUP("transport|NOx|Asthma symptoms wheeze", US_national_yearly!$D:$AM, 10, FALSE), 1)</f>
        <v>1.3217428229986216E-3</v>
      </c>
      <c r="M8" s="7">
        <f>$B8 * IFERROR(VLOOKUP("transport|NOx|Asthma symptoms wheeze", US_national_yearly!$D:$AM, 21, FALSE) / VLOOKUP("transport|NOx|Asthma symptoms wheeze", US_national_yearly!$D:$AM, 10, FALSE), 1)</f>
        <v>1.3262918464988713E-3</v>
      </c>
      <c r="N8" s="7">
        <f>$B8 * IFERROR(VLOOKUP("transport|NOx|Asthma symptoms wheeze", US_national_yearly!$D:$AM, 22, FALSE) / VLOOKUP("transport|NOx|Asthma symptoms wheeze", US_national_yearly!$D:$AM, 10, FALSE), 1)</f>
        <v>1.3315667780028748E-3</v>
      </c>
      <c r="O8" s="7">
        <f>$B8 * IFERROR(VLOOKUP("transport|NOx|Asthma symptoms wheeze", US_national_yearly!$D:$AM, 23, FALSE) / VLOOKUP("transport|NOx|Asthma symptoms wheeze", US_national_yearly!$D:$AM, 10, FALSE), 1)</f>
        <v>1.3368417095068785E-3</v>
      </c>
      <c r="P8" s="7">
        <f>$B8 * IFERROR(VLOOKUP("transport|NOx|Asthma symptoms wheeze", US_national_yearly!$D:$AM, 24, FALSE) / VLOOKUP("transport|NOx|Asthma symptoms wheeze", US_national_yearly!$D:$AM, 10, FALSE), 1)</f>
        <v>1.3421166410108819E-3</v>
      </c>
      <c r="Q8" s="7">
        <f>$B8 * IFERROR(VLOOKUP("transport|NOx|Asthma symptoms wheeze", US_national_yearly!$D:$AM, 25, FALSE) / VLOOKUP("transport|NOx|Asthma symptoms wheeze", US_national_yearly!$D:$AM, 10, FALSE), 1)</f>
        <v>1.3473915725148858E-3</v>
      </c>
      <c r="R8" s="7">
        <f>$B8 * IFERROR(VLOOKUP("transport|NOx|Asthma symptoms wheeze", US_national_yearly!$D:$AM, 26, FALSE) / VLOOKUP("transport|NOx|Asthma symptoms wheeze", US_national_yearly!$D:$AM, 10, FALSE), 1)</f>
        <v>1.3526665040188893E-3</v>
      </c>
      <c r="S8" s="7">
        <f>$B8 * IFERROR(VLOOKUP("transport|NOx|Asthma symptoms wheeze", US_national_yearly!$D:$AM, 27, FALSE) / VLOOKUP("transport|NOx|Asthma symptoms wheeze", US_national_yearly!$D:$AM, 10, FALSE), 1)</f>
        <v>1.3595572446122709E-3</v>
      </c>
      <c r="T8" s="7">
        <f>$B8 * IFERROR(VLOOKUP("transport|NOx|Asthma symptoms wheeze", US_national_yearly!$D:$AM, 28, FALSE) / VLOOKUP("transport|NOx|Asthma symptoms wheeze", US_national_yearly!$D:$AM, 10, FALSE), 1)</f>
        <v>1.3664479852056525E-3</v>
      </c>
      <c r="U8" s="7">
        <f>$B8 * IFERROR(VLOOKUP("transport|NOx|Asthma symptoms wheeze", US_national_yearly!$D:$AM, 29, FALSE) / VLOOKUP("transport|NOx|Asthma symptoms wheeze", US_national_yearly!$D:$AM, 10, FALSE), 1)</f>
        <v>1.3733387257990341E-3</v>
      </c>
      <c r="V8" s="7">
        <f>$B8 * IFERROR(VLOOKUP("transport|NOx|Asthma symptoms wheeze", US_national_yearly!$D:$AM, 30, FALSE) / VLOOKUP("transport|NOx|Asthma symptoms wheeze", US_national_yearly!$D:$AM, 10, FALSE), 1)</f>
        <v>1.3802294663924162E-3</v>
      </c>
      <c r="W8" s="7">
        <f>$B8 * IFERROR(VLOOKUP("transport|NOx|Asthma symptoms wheeze", US_national_yearly!$D:$AM, 31, FALSE) / VLOOKUP("transport|NOx|Asthma symptoms wheeze", US_national_yearly!$D:$AM, 10, FALSE), 1)</f>
        <v>1.3871202069857976E-3</v>
      </c>
      <c r="X8" s="7">
        <f>$B8 * IFERROR(VLOOKUP("transport|NOx|Asthma symptoms wheeze", US_national_yearly!$D:$AM, 32, FALSE) / VLOOKUP("transport|NOx|Asthma symptoms wheeze", US_national_yearly!$D:$AM, 10, FALSE), 1)</f>
        <v>1.39352269509471E-3</v>
      </c>
      <c r="Y8" s="7">
        <f>$B8 * IFERROR(VLOOKUP("transport|NOx|Asthma symptoms wheeze", US_national_yearly!$D:$AM, 33, FALSE) / VLOOKUP("transport|NOx|Asthma symptoms wheeze", US_national_yearly!$D:$AM, 10, FALSE), 1)</f>
        <v>1.3999251832036222E-3</v>
      </c>
      <c r="Z8" s="7">
        <f>$B8 * IFERROR(VLOOKUP("transport|NOx|Asthma symptoms wheeze", US_national_yearly!$D:$AM, 34, FALSE) / VLOOKUP("transport|NOx|Asthma symptoms wheeze", US_national_yearly!$D:$AM, 10, FALSE), 1)</f>
        <v>1.4063276713125346E-3</v>
      </c>
      <c r="AA8" s="7">
        <f>$B8 * IFERROR(VLOOKUP("transport|NOx|Asthma symptoms wheeze", US_national_yearly!$D:$AM, 35, FALSE) / VLOOKUP("transport|NOx|Asthma symptoms wheeze", US_national_yearly!$D:$AM, 10, FALSE), 1)</f>
        <v>1.4127301594214468E-3</v>
      </c>
      <c r="AB8" s="7">
        <f>$B8 * IFERROR(VLOOKUP("transport|NOx|Asthma symptoms wheeze", US_national_yearly!$D:$AM, 36, FALSE) / VLOOKUP("transport|NOx|Asthma symptoms wheeze", US_national_yearly!$D:$AM, 10, FALSE), 1)</f>
        <v>1.4191326475303592E-3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3.6876638958398667E-5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3.7796514352574477E-5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3.8716389746750295E-5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3.9636265140926112E-5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4.055614053510193E-5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4.1435572720765573E-5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4.2315004906429217E-5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4.3061660911353741E-5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4.3808316916278266E-5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4.4554972921202797E-5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4.5301628926127329E-5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4.6048284931051853E-5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4.6547437913556254E-5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4.7046590896060675E-5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4.7545743878565082E-5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4.8044896861069497E-5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4.8544049843573911E-5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4.8811482486120647E-5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4.9078915128667384E-5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4.9346347771214121E-5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4.9613780413760851E-5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4.9881213056307601E-5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5.0063968523579403E-5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5.0246723990851218E-5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5.0429479458123033E-5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5.0612234925394848E-5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5.0794990392666656E-5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3.0191272362888863E-4</v>
      </c>
      <c r="C13" s="7">
        <f>$B13 * IFERROR(VLOOKUP("transport|NOx|Non-fatal heart attacks", US_national_yearly!$D:$AM, 11, FALSE) / VLOOKUP("transport|NOx|Non-fatal heart attacks", US_national_yearly!$D:$AM, 10, FALSE), 1)</f>
        <v>3.105441423953575E-4</v>
      </c>
      <c r="D13" s="7">
        <f>$B13 * IFERROR(VLOOKUP("transport|NOx|Non-fatal heart attacks", US_national_yearly!$D:$AM, 12, FALSE) / VLOOKUP("transport|NOx|Non-fatal heart attacks", US_national_yearly!$D:$AM, 10, FALSE), 1)</f>
        <v>3.1917556116182636E-4</v>
      </c>
      <c r="E13" s="7">
        <f>$B13 * IFERROR(VLOOKUP("transport|NOx|Non-fatal heart attacks", US_national_yearly!$D:$AM, 13, FALSE) / VLOOKUP("transport|NOx|Non-fatal heart attacks", US_national_yearly!$D:$AM, 10, FALSE), 1)</f>
        <v>3.2780697992829512E-4</v>
      </c>
      <c r="F13" s="7">
        <f>$B13 * IFERROR(VLOOKUP("transport|NOx|Non-fatal heart attacks", US_national_yearly!$D:$AM, 14, FALSE) / VLOOKUP("transport|NOx|Non-fatal heart attacks", US_national_yearly!$D:$AM, 10, FALSE), 1)</f>
        <v>3.3643839869476399E-4</v>
      </c>
      <c r="G13" s="7">
        <f>$B13 * IFERROR(VLOOKUP("transport|NOx|Non-fatal heart attacks", US_national_yearly!$D:$AM, 15, FALSE) / VLOOKUP("transport|NOx|Non-fatal heart attacks", US_national_yearly!$D:$AM, 10, FALSE), 1)</f>
        <v>3.4450444159294486E-4</v>
      </c>
      <c r="H13" s="7">
        <f>$B13 * IFERROR(VLOOKUP("transport|NOx|Non-fatal heart attacks", US_national_yearly!$D:$AM, 16, FALSE) / VLOOKUP("transport|NOx|Non-fatal heart attacks", US_national_yearly!$D:$AM, 10, FALSE), 1)</f>
        <v>3.5257048449112568E-4</v>
      </c>
      <c r="I13" s="7">
        <f>$B13 * IFERROR(VLOOKUP("transport|NOx|Non-fatal heart attacks", US_national_yearly!$D:$AM, 17, FALSE) / VLOOKUP("transport|NOx|Non-fatal heart attacks", US_national_yearly!$D:$AM, 10, FALSE), 1)</f>
        <v>3.5892963727960069E-4</v>
      </c>
      <c r="J13" s="7">
        <f>$B13 * IFERROR(VLOOKUP("transport|NOx|Non-fatal heart attacks", US_national_yearly!$D:$AM, 18, FALSE) / VLOOKUP("transport|NOx|Non-fatal heart attacks", US_national_yearly!$D:$AM, 10, FALSE), 1)</f>
        <v>3.6528879006807581E-4</v>
      </c>
      <c r="K13" s="7">
        <f>$B13 * IFERROR(VLOOKUP("transport|NOx|Non-fatal heart attacks", US_national_yearly!$D:$AM, 19, FALSE) / VLOOKUP("transport|NOx|Non-fatal heart attacks", US_national_yearly!$D:$AM, 10, FALSE), 1)</f>
        <v>3.7164794285655061E-4</v>
      </c>
      <c r="L13" s="7">
        <f>$B13 * IFERROR(VLOOKUP("transport|NOx|Non-fatal heart attacks", US_national_yearly!$D:$AM, 20, FALSE) / VLOOKUP("transport|NOx|Non-fatal heart attacks", US_national_yearly!$D:$AM, 10, FALSE), 1)</f>
        <v>3.7800709564502589E-4</v>
      </c>
      <c r="M13" s="7">
        <f>$B13 * IFERROR(VLOOKUP("transport|NOx|Non-fatal heart attacks", US_national_yearly!$D:$AM, 21, FALSE) / VLOOKUP("transport|NOx|Non-fatal heart attacks", US_national_yearly!$D:$AM, 10, FALSE), 1)</f>
        <v>3.8436624843350085E-4</v>
      </c>
      <c r="N13" s="7">
        <f>$B13 * IFERROR(VLOOKUP("transport|NOx|Non-fatal heart attacks", US_national_yearly!$D:$AM, 22, FALSE) / VLOOKUP("transport|NOx|Non-fatal heart attacks", US_national_yearly!$D:$AM, 10, FALSE), 1)</f>
        <v>3.8819210760238884E-4</v>
      </c>
      <c r="O13" s="7">
        <f>$B13 * IFERROR(VLOOKUP("transport|NOx|Non-fatal heart attacks", US_national_yearly!$D:$AM, 23, FALSE) / VLOOKUP("transport|NOx|Non-fatal heart attacks", US_national_yearly!$D:$AM, 10, FALSE), 1)</f>
        <v>3.9201796677127679E-4</v>
      </c>
      <c r="P13" s="7">
        <f>$B13 * IFERROR(VLOOKUP("transport|NOx|Non-fatal heart attacks", US_national_yearly!$D:$AM, 24, FALSE) / VLOOKUP("transport|NOx|Non-fatal heart attacks", US_national_yearly!$D:$AM, 10, FALSE), 1)</f>
        <v>3.9584382594016473E-4</v>
      </c>
      <c r="Q13" s="7">
        <f>$B13 * IFERROR(VLOOKUP("transport|NOx|Non-fatal heart attacks", US_national_yearly!$D:$AM, 25, FALSE) / VLOOKUP("transport|NOx|Non-fatal heart attacks", US_national_yearly!$D:$AM, 10, FALSE), 1)</f>
        <v>3.9966968510905273E-4</v>
      </c>
      <c r="R13" s="7">
        <f>$B13 * IFERROR(VLOOKUP("transport|NOx|Non-fatal heart attacks", US_national_yearly!$D:$AM, 26, FALSE) / VLOOKUP("transport|NOx|Non-fatal heart attacks", US_national_yearly!$D:$AM, 10, FALSE), 1)</f>
        <v>4.0349554427794072E-4</v>
      </c>
      <c r="S13" s="7">
        <f>$B13 * IFERROR(VLOOKUP("transport|NOx|Non-fatal heart attacks", US_national_yearly!$D:$AM, 27, FALSE) / VLOOKUP("transport|NOx|Non-fatal heart attacks", US_national_yearly!$D:$AM, 10, FALSE), 1)</f>
        <v>4.0523098045801357E-4</v>
      </c>
      <c r="T13" s="7">
        <f>$B13 * IFERROR(VLOOKUP("transport|NOx|Non-fatal heart attacks", US_national_yearly!$D:$AM, 28, FALSE) / VLOOKUP("transport|NOx|Non-fatal heart attacks", US_national_yearly!$D:$AM, 10, FALSE), 1)</f>
        <v>4.0696641663808642E-4</v>
      </c>
      <c r="U13" s="7">
        <f>$B13 * IFERROR(VLOOKUP("transport|NOx|Non-fatal heart attacks", US_national_yearly!$D:$AM, 29, FALSE) / VLOOKUP("transport|NOx|Non-fatal heart attacks", US_national_yearly!$D:$AM, 10, FALSE), 1)</f>
        <v>4.0870185281815927E-4</v>
      </c>
      <c r="V13" s="7">
        <f>$B13 * IFERROR(VLOOKUP("transport|NOx|Non-fatal heart attacks", US_national_yearly!$D:$AM, 30, FALSE) / VLOOKUP("transport|NOx|Non-fatal heart attacks", US_national_yearly!$D:$AM, 10, FALSE), 1)</f>
        <v>4.1043728899823212E-4</v>
      </c>
      <c r="W13" s="7">
        <f>$B13 * IFERROR(VLOOKUP("transport|NOx|Non-fatal heart attacks", US_national_yearly!$D:$AM, 31, FALSE) / VLOOKUP("transport|NOx|Non-fatal heart attacks", US_national_yearly!$D:$AM, 10, FALSE), 1)</f>
        <v>4.1217272517830503E-4</v>
      </c>
      <c r="X13" s="7">
        <f>$B13 * IFERROR(VLOOKUP("transport|NOx|Non-fatal heart attacks", US_national_yearly!$D:$AM, 32, FALSE) / VLOOKUP("transport|NOx|Non-fatal heart attacks", US_national_yearly!$D:$AM, 10, FALSE), 1)</f>
        <v>4.1333243494937592E-4</v>
      </c>
      <c r="Y13" s="7">
        <f>$B13 * IFERROR(VLOOKUP("transport|NOx|Non-fatal heart attacks", US_national_yearly!$D:$AM, 33, FALSE) / VLOOKUP("transport|NOx|Non-fatal heart attacks", US_national_yearly!$D:$AM, 10, FALSE), 1)</f>
        <v>4.1449214472044692E-4</v>
      </c>
      <c r="Z13" s="7">
        <f>$B13 * IFERROR(VLOOKUP("transport|NOx|Non-fatal heart attacks", US_national_yearly!$D:$AM, 34, FALSE) / VLOOKUP("transport|NOx|Non-fatal heart attacks", US_national_yearly!$D:$AM, 10, FALSE), 1)</f>
        <v>4.1565185449151775E-4</v>
      </c>
      <c r="AA13" s="7">
        <f>$B13 * IFERROR(VLOOKUP("transport|NOx|Non-fatal heart attacks", US_national_yearly!$D:$AM, 35, FALSE) / VLOOKUP("transport|NOx|Non-fatal heart attacks", US_national_yearly!$D:$AM, 10, FALSE), 1)</f>
        <v>4.168115642625887E-4</v>
      </c>
      <c r="AB13" s="7">
        <f>$B13 * IFERROR(VLOOKUP("transport|NOx|Non-fatal heart attacks", US_national_yearly!$D:$AM, 36, FALSE) / VLOOKUP("transport|NOx|Non-fatal heart attacks", US_national_yearly!$D:$AM, 10, FALSE), 1)</f>
        <v>4.179712740336597E-4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8.2640724313565533E-2</v>
      </c>
      <c r="C14" s="7">
        <f>$B14 * IFERROR(VLOOKUP("transport|NOx|Minor restricted activity days", US_national_yearly!$D:$AM, 11, FALSE) / VLOOKUP("transport|NOx|Minor restricted activity days", US_national_yearly!$D:$AM, 10, FALSE), 1)</f>
        <v>8.2767426412590731E-2</v>
      </c>
      <c r="D14" s="7">
        <f>$B14 * IFERROR(VLOOKUP("transport|NOx|Minor restricted activity days", US_national_yearly!$D:$AM, 12, FALSE) / VLOOKUP("transport|NOx|Minor restricted activity days", US_national_yearly!$D:$AM, 10, FALSE), 1)</f>
        <v>8.2894128511615955E-2</v>
      </c>
      <c r="E14" s="7">
        <f>$B14 * IFERROR(VLOOKUP("transport|NOx|Minor restricted activity days", US_national_yearly!$D:$AM, 13, FALSE) / VLOOKUP("transport|NOx|Minor restricted activity days", US_national_yearly!$D:$AM, 10, FALSE), 1)</f>
        <v>8.3020830610641166E-2</v>
      </c>
      <c r="F14" s="7">
        <f>$B14 * IFERROR(VLOOKUP("transport|NOx|Minor restricted activity days", US_national_yearly!$D:$AM, 14, FALSE) / VLOOKUP("transport|NOx|Minor restricted activity days", US_national_yearly!$D:$AM, 10, FALSE), 1)</f>
        <v>8.3147532709666364E-2</v>
      </c>
      <c r="G14" s="7">
        <f>$B14 * IFERROR(VLOOKUP("transport|NOx|Minor restricted activity days", US_national_yearly!$D:$AM, 15, FALSE) / VLOOKUP("transport|NOx|Minor restricted activity days", US_national_yearly!$D:$AM, 10, FALSE), 1)</f>
        <v>8.3376326542814919E-2</v>
      </c>
      <c r="H14" s="7">
        <f>$B14 * IFERROR(VLOOKUP("transport|NOx|Minor restricted activity days", US_national_yearly!$D:$AM, 16, FALSE) / VLOOKUP("transport|NOx|Minor restricted activity days", US_national_yearly!$D:$AM, 10, FALSE), 1)</f>
        <v>8.3605120375963446E-2</v>
      </c>
      <c r="I14" s="7">
        <f>$B14 * IFERROR(VLOOKUP("transport|NOx|Minor restricted activity days", US_national_yearly!$D:$AM, 17, FALSE) / VLOOKUP("transport|NOx|Minor restricted activity days", US_national_yearly!$D:$AM, 10, FALSE), 1)</f>
        <v>8.4052632066157637E-2</v>
      </c>
      <c r="J14" s="7">
        <f>$B14 * IFERROR(VLOOKUP("transport|NOx|Minor restricted activity days", US_national_yearly!$D:$AM, 18, FALSE) / VLOOKUP("transport|NOx|Minor restricted activity days", US_national_yearly!$D:$AM, 10, FALSE), 1)</f>
        <v>8.4500143756351814E-2</v>
      </c>
      <c r="K14" s="7">
        <f>$B14 * IFERROR(VLOOKUP("transport|NOx|Minor restricted activity days", US_national_yearly!$D:$AM, 19, FALSE) / VLOOKUP("transport|NOx|Minor restricted activity days", US_national_yearly!$D:$AM, 10, FALSE), 1)</f>
        <v>8.4947655446546019E-2</v>
      </c>
      <c r="L14" s="7">
        <f>$B14 * IFERROR(VLOOKUP("transport|NOx|Minor restricted activity days", US_national_yearly!$D:$AM, 20, FALSE) / VLOOKUP("transport|NOx|Minor restricted activity days", US_national_yearly!$D:$AM, 10, FALSE), 1)</f>
        <v>8.5395167136740197E-2</v>
      </c>
      <c r="M14" s="7">
        <f>$B14 * IFERROR(VLOOKUP("transport|NOx|Minor restricted activity days", US_national_yearly!$D:$AM, 21, FALSE) / VLOOKUP("transport|NOx|Minor restricted activity days", US_national_yearly!$D:$AM, 10, FALSE), 1)</f>
        <v>8.5842678826934402E-2</v>
      </c>
      <c r="N14" s="7">
        <f>$B14 * IFERROR(VLOOKUP("transport|NOx|Minor restricted activity days", US_national_yearly!$D:$AM, 22, FALSE) / VLOOKUP("transport|NOx|Minor restricted activity days", US_national_yearly!$D:$AM, 10, FALSE), 1)</f>
        <v>8.6483414096214545E-2</v>
      </c>
      <c r="O14" s="7">
        <f>$B14 * IFERROR(VLOOKUP("transport|NOx|Minor restricted activity days", US_national_yearly!$D:$AM, 23, FALSE) / VLOOKUP("transport|NOx|Minor restricted activity days", US_national_yearly!$D:$AM, 10, FALSE), 1)</f>
        <v>8.7124149365494688E-2</v>
      </c>
      <c r="P14" s="7">
        <f>$B14 * IFERROR(VLOOKUP("transport|NOx|Minor restricted activity days", US_national_yearly!$D:$AM, 24, FALSE) / VLOOKUP("transport|NOx|Minor restricted activity days", US_national_yearly!$D:$AM, 10, FALSE), 1)</f>
        <v>8.7764884634774831E-2</v>
      </c>
      <c r="Q14" s="7">
        <f>$B14 * IFERROR(VLOOKUP("transport|NOx|Minor restricted activity days", US_national_yearly!$D:$AM, 25, FALSE) / VLOOKUP("transport|NOx|Minor restricted activity days", US_national_yearly!$D:$AM, 10, FALSE), 1)</f>
        <v>8.8405619904054975E-2</v>
      </c>
      <c r="R14" s="7">
        <f>$B14 * IFERROR(VLOOKUP("transport|NOx|Minor restricted activity days", US_national_yearly!$D:$AM, 26, FALSE) / VLOOKUP("transport|NOx|Minor restricted activity days", US_national_yearly!$D:$AM, 10, FALSE), 1)</f>
        <v>8.9046355173335118E-2</v>
      </c>
      <c r="S14" s="7">
        <f>$B14 * IFERROR(VLOOKUP("transport|NOx|Minor restricted activity days", US_national_yearly!$D:$AM, 27, FALSE) / VLOOKUP("transport|NOx|Minor restricted activity days", US_national_yearly!$D:$AM, 10, FALSE), 1)</f>
        <v>8.9686955729396278E-2</v>
      </c>
      <c r="T14" s="7">
        <f>$B14 * IFERROR(VLOOKUP("transport|NOx|Minor restricted activity days", US_national_yearly!$D:$AM, 28, FALSE) / VLOOKUP("transport|NOx|Minor restricted activity days", US_national_yearly!$D:$AM, 10, FALSE), 1)</f>
        <v>9.0327556285457439E-2</v>
      </c>
      <c r="U14" s="7">
        <f>$B14 * IFERROR(VLOOKUP("transport|NOx|Minor restricted activity days", US_national_yearly!$D:$AM, 29, FALSE) / VLOOKUP("transport|NOx|Minor restricted activity days", US_national_yearly!$D:$AM, 10, FALSE), 1)</f>
        <v>9.0968156841518613E-2</v>
      </c>
      <c r="V14" s="7">
        <f>$B14 * IFERROR(VLOOKUP("transport|NOx|Minor restricted activity days", US_national_yearly!$D:$AM, 30, FALSE) / VLOOKUP("transport|NOx|Minor restricted activity days", US_national_yearly!$D:$AM, 10, FALSE), 1)</f>
        <v>9.1608757397579774E-2</v>
      </c>
      <c r="W14" s="7">
        <f>$B14 * IFERROR(VLOOKUP("transport|NOx|Minor restricted activity days", US_national_yearly!$D:$AM, 31, FALSE) / VLOOKUP("transport|NOx|Minor restricted activity days", US_national_yearly!$D:$AM, 10, FALSE), 1)</f>
        <v>9.2249357953640934E-2</v>
      </c>
      <c r="X14" s="7">
        <f>$B14 * IFERROR(VLOOKUP("transport|NOx|Minor restricted activity days", US_national_yearly!$D:$AM, 32, FALSE) / VLOOKUP("transport|NOx|Minor restricted activity days", US_national_yearly!$D:$AM, 10, FALSE), 1)</f>
        <v>9.2790961319580853E-2</v>
      </c>
      <c r="Y14" s="7">
        <f>$B14 * IFERROR(VLOOKUP("transport|NOx|Minor restricted activity days", US_national_yearly!$D:$AM, 33, FALSE) / VLOOKUP("transport|NOx|Minor restricted activity days", US_national_yearly!$D:$AM, 10, FALSE), 1)</f>
        <v>9.3332564685520772E-2</v>
      </c>
      <c r="Z14" s="7">
        <f>$B14 * IFERROR(VLOOKUP("transport|NOx|Minor restricted activity days", US_national_yearly!$D:$AM, 34, FALSE) / VLOOKUP("transport|NOx|Minor restricted activity days", US_national_yearly!$D:$AM, 10, FALSE), 1)</f>
        <v>9.3874168051460691E-2</v>
      </c>
      <c r="AA14" s="7">
        <f>$B14 * IFERROR(VLOOKUP("transport|NOx|Minor restricted activity days", US_national_yearly!$D:$AM, 35, FALSE) / VLOOKUP("transport|NOx|Minor restricted activity days", US_national_yearly!$D:$AM, 10, FALSE), 1)</f>
        <v>9.441577141740061E-2</v>
      </c>
      <c r="AB14" s="7">
        <f>$B14 * IFERROR(VLOOKUP("transport|NOx|Minor restricted activity days", US_national_yearly!$D:$AM, 36, FALSE) / VLOOKUP("transport|NOx|Minor restricted activity days", US_national_yearly!$D:$AM, 10, FALSE), 1)</f>
        <v>9.4957374783340529E-2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1.3793188304868321E-2</v>
      </c>
      <c r="C15" s="7">
        <f>$B15 * IFERROR(VLOOKUP("transport|NOx|Work loss days", US_national_yearly!$D:$AM, 11, FALSE) / VLOOKUP("transport|NOx|Work loss days", US_national_yearly!$D:$AM, 10, FALSE), 1)</f>
        <v>1.3823870510225843E-2</v>
      </c>
      <c r="D15" s="7">
        <f>$B15 * IFERROR(VLOOKUP("transport|NOx|Work loss days", US_national_yearly!$D:$AM, 12, FALSE) / VLOOKUP("transport|NOx|Work loss days", US_national_yearly!$D:$AM, 10, FALSE), 1)</f>
        <v>1.3854552715583366E-2</v>
      </c>
      <c r="E15" s="7">
        <f>$B15 * IFERROR(VLOOKUP("transport|NOx|Work loss days", US_national_yearly!$D:$AM, 13, FALSE) / VLOOKUP("transport|NOx|Work loss days", US_national_yearly!$D:$AM, 10, FALSE), 1)</f>
        <v>1.3885234920940888E-2</v>
      </c>
      <c r="F15" s="7">
        <f>$B15 * IFERROR(VLOOKUP("transport|NOx|Work loss days", US_national_yearly!$D:$AM, 14, FALSE) / VLOOKUP("transport|NOx|Work loss days", US_national_yearly!$D:$AM, 10, FALSE), 1)</f>
        <v>1.3915917126298413E-2</v>
      </c>
      <c r="G15" s="7">
        <f>$B15 * IFERROR(VLOOKUP("transport|NOx|Work loss days", US_national_yearly!$D:$AM, 15, FALSE) / VLOOKUP("transport|NOx|Work loss days", US_national_yearly!$D:$AM, 10, FALSE), 1)</f>
        <v>1.396071340785323E-2</v>
      </c>
      <c r="H15" s="7">
        <f>$B15 * IFERROR(VLOOKUP("transport|NOx|Work loss days", US_national_yearly!$D:$AM, 16, FALSE) / VLOOKUP("transport|NOx|Work loss days", US_national_yearly!$D:$AM, 10, FALSE), 1)</f>
        <v>1.4005509689408049E-2</v>
      </c>
      <c r="I15" s="7">
        <f>$B15 * IFERROR(VLOOKUP("transport|NOx|Work loss days", US_national_yearly!$D:$AM, 17, FALSE) / VLOOKUP("transport|NOx|Work loss days", US_national_yearly!$D:$AM, 10, FALSE), 1)</f>
        <v>1.4078077237737871E-2</v>
      </c>
      <c r="J15" s="7">
        <f>$B15 * IFERROR(VLOOKUP("transport|NOx|Work loss days", US_national_yearly!$D:$AM, 18, FALSE) / VLOOKUP("transport|NOx|Work loss days", US_national_yearly!$D:$AM, 10, FALSE), 1)</f>
        <v>1.4150644786067696E-2</v>
      </c>
      <c r="K15" s="7">
        <f>$B15 * IFERROR(VLOOKUP("transport|NOx|Work loss days", US_national_yearly!$D:$AM, 19, FALSE) / VLOOKUP("transport|NOx|Work loss days", US_national_yearly!$D:$AM, 10, FALSE), 1)</f>
        <v>1.4223212334397519E-2</v>
      </c>
      <c r="L15" s="7">
        <f>$B15 * IFERROR(VLOOKUP("transport|NOx|Work loss days", US_national_yearly!$D:$AM, 20, FALSE) / VLOOKUP("transport|NOx|Work loss days", US_national_yearly!$D:$AM, 10, FALSE), 1)</f>
        <v>1.4295779882727341E-2</v>
      </c>
      <c r="M15" s="7">
        <f>$B15 * IFERROR(VLOOKUP("transport|NOx|Work loss days", US_national_yearly!$D:$AM, 21, FALSE) / VLOOKUP("transport|NOx|Work loss days", US_national_yearly!$D:$AM, 10, FALSE), 1)</f>
        <v>1.4368347431057166E-2</v>
      </c>
      <c r="N15" s="7">
        <f>$B15 * IFERROR(VLOOKUP("transport|NOx|Work loss days", US_national_yearly!$D:$AM, 22, FALSE) / VLOOKUP("transport|NOx|Work loss days", US_national_yearly!$D:$AM, 10, FALSE), 1)</f>
        <v>1.4462789642265316E-2</v>
      </c>
      <c r="O15" s="7">
        <f>$B15 * IFERROR(VLOOKUP("transport|NOx|Work loss days", US_national_yearly!$D:$AM, 23, FALSE) / VLOOKUP("transport|NOx|Work loss days", US_national_yearly!$D:$AM, 10, FALSE), 1)</f>
        <v>1.4557231853473468E-2</v>
      </c>
      <c r="P15" s="7">
        <f>$B15 * IFERROR(VLOOKUP("transport|NOx|Work loss days", US_national_yearly!$D:$AM, 24, FALSE) / VLOOKUP("transport|NOx|Work loss days", US_national_yearly!$D:$AM, 10, FALSE), 1)</f>
        <v>1.4651674064681618E-2</v>
      </c>
      <c r="Q15" s="7">
        <f>$B15 * IFERROR(VLOOKUP("transport|NOx|Work loss days", US_national_yearly!$D:$AM, 25, FALSE) / VLOOKUP("transport|NOx|Work loss days", US_national_yearly!$D:$AM, 10, FALSE), 1)</f>
        <v>1.4746116275889766E-2</v>
      </c>
      <c r="R15" s="7">
        <f>$B15 * IFERROR(VLOOKUP("transport|NOx|Work loss days", US_national_yearly!$D:$AM, 26, FALSE) / VLOOKUP("transport|NOx|Work loss days", US_national_yearly!$D:$AM, 10, FALSE), 1)</f>
        <v>1.484055848709792E-2</v>
      </c>
      <c r="S15" s="7">
        <f>$B15 * IFERROR(VLOOKUP("transport|NOx|Work loss days", US_national_yearly!$D:$AM, 27, FALSE) / VLOOKUP("transport|NOx|Work loss days", US_national_yearly!$D:$AM, 10, FALSE), 1)</f>
        <v>1.4945849477024556E-2</v>
      </c>
      <c r="T15" s="7">
        <f>$B15 * IFERROR(VLOOKUP("transport|NOx|Work loss days", US_national_yearly!$D:$AM, 28, FALSE) / VLOOKUP("transport|NOx|Work loss days", US_national_yearly!$D:$AM, 10, FALSE), 1)</f>
        <v>1.5051140466951191E-2</v>
      </c>
      <c r="U15" s="7">
        <f>$B15 * IFERROR(VLOOKUP("transport|NOx|Work loss days", US_national_yearly!$D:$AM, 29, FALSE) / VLOOKUP("transport|NOx|Work loss days", US_national_yearly!$D:$AM, 10, FALSE), 1)</f>
        <v>1.5156431456877823E-2</v>
      </c>
      <c r="V15" s="7">
        <f>$B15 * IFERROR(VLOOKUP("transport|NOx|Work loss days", US_national_yearly!$D:$AM, 30, FALSE) / VLOOKUP("transport|NOx|Work loss days", US_national_yearly!$D:$AM, 10, FALSE), 1)</f>
        <v>1.526172244680446E-2</v>
      </c>
      <c r="W15" s="7">
        <f>$B15 * IFERROR(VLOOKUP("transport|NOx|Work loss days", US_national_yearly!$D:$AM, 31, FALSE) / VLOOKUP("transport|NOx|Work loss days", US_national_yearly!$D:$AM, 10, FALSE), 1)</f>
        <v>1.5367013436731096E-2</v>
      </c>
      <c r="X15" s="7">
        <f>$B15 * IFERROR(VLOOKUP("transport|NOx|Work loss days", US_national_yearly!$D:$AM, 32, FALSE) / VLOOKUP("transport|NOx|Work loss days", US_national_yearly!$D:$AM, 10, FALSE), 1)</f>
        <v>1.5458400402215021E-2</v>
      </c>
      <c r="Y15" s="7">
        <f>$B15 * IFERROR(VLOOKUP("transport|NOx|Work loss days", US_national_yearly!$D:$AM, 33, FALSE) / VLOOKUP("transport|NOx|Work loss days", US_national_yearly!$D:$AM, 10, FALSE), 1)</f>
        <v>1.5549787367698947E-2</v>
      </c>
      <c r="Z15" s="7">
        <f>$B15 * IFERROR(VLOOKUP("transport|NOx|Work loss days", US_national_yearly!$D:$AM, 34, FALSE) / VLOOKUP("transport|NOx|Work loss days", US_national_yearly!$D:$AM, 10, FALSE), 1)</f>
        <v>1.5641174333182871E-2</v>
      </c>
      <c r="AA15" s="7">
        <f>$B15 * IFERROR(VLOOKUP("transport|NOx|Work loss days", US_national_yearly!$D:$AM, 35, FALSE) / VLOOKUP("transport|NOx|Work loss days", US_national_yearly!$D:$AM, 10, FALSE), 1)</f>
        <v>1.5732561298666795E-2</v>
      </c>
      <c r="AB15" s="7">
        <f>$B15 * IFERROR(VLOOKUP("transport|NOx|Work loss days", US_national_yearly!$D:$AM, 36, FALSE) / VLOOKUP("transport|NOx|Work loss days", US_national_yearly!$D:$AM, 10, FALSE), 1)</f>
        <v>1.582394826415072E-2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3.8232265031620764E-5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3.9355706059262921E-5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4.0479147086905071E-5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4.1602588114547214E-5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4.2726029142189371E-5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4.3793112329840524E-5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4.486019551749169E-5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4.575753015748483E-5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4.665486479747797E-5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4.755219943747111E-5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4.844953407746425E-5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4.9346868717457404E-5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4.9908001800836218E-5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5.0469134884215045E-5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5.1030267967593865E-5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5.1591401050972686E-5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5.2152534134351506E-5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5.2408563751313058E-5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5.2664593368274609E-5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5.2920622985236154E-5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5.3176652602197705E-5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5.343268221915925E-5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5.3575171577446567E-5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5.3717660935733878E-5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5.3860150294021189E-5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5.4002639652308499E-5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5.414512901059581E-5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1.6070895562998485E-3</v>
      </c>
      <c r="C2" s="7">
        <f>$B2 * IFERROR(VLOOKUP("transport|SO2|Premature mortality", US_national_yearly!$D:$AM, 11, FALSE) / VLOOKUP("transport|SO2|Premature mortality", US_national_yearly!$D:$AM, 10, FALSE), 1)</f>
        <v>1.62744247599139E-3</v>
      </c>
      <c r="D2" s="7">
        <f>$B2 * IFERROR(VLOOKUP("transport|SO2|Premature mortality", US_national_yearly!$D:$AM, 12, FALSE) / VLOOKUP("transport|SO2|Premature mortality", US_national_yearly!$D:$AM, 10, FALSE), 1)</f>
        <v>1.6477953956829318E-3</v>
      </c>
      <c r="E2" s="7">
        <f>$B2 * IFERROR(VLOOKUP("transport|SO2|Premature mortality", US_national_yearly!$D:$AM, 13, FALSE) / VLOOKUP("transport|SO2|Premature mortality", US_national_yearly!$D:$AM, 10, FALSE), 1)</f>
        <v>1.6681483153744732E-3</v>
      </c>
      <c r="F2" s="7">
        <f>$B2 * IFERROR(VLOOKUP("transport|SO2|Premature mortality", US_national_yearly!$D:$AM, 14, FALSE) / VLOOKUP("transport|SO2|Premature mortality", US_national_yearly!$D:$AM, 10, FALSE), 1)</f>
        <v>1.6885012350660146E-3</v>
      </c>
      <c r="G2" s="7">
        <f>$B2 * IFERROR(VLOOKUP("transport|SO2|Premature mortality", US_national_yearly!$D:$AM, 15, FALSE) / VLOOKUP("transport|SO2|Premature mortality", US_national_yearly!$D:$AM, 10, FALSE), 1)</f>
        <v>1.7277201578332617E-3</v>
      </c>
      <c r="H2" s="7">
        <f>$B2 * IFERROR(VLOOKUP("transport|SO2|Premature mortality", US_national_yearly!$D:$AM, 16, FALSE) / VLOOKUP("transport|SO2|Premature mortality", US_national_yearly!$D:$AM, 10, FALSE), 1)</f>
        <v>1.7669390806005086E-3</v>
      </c>
      <c r="I2" s="7">
        <f>$B2 * IFERROR(VLOOKUP("transport|SO2|Premature mortality", US_national_yearly!$D:$AM, 17, FALSE) / VLOOKUP("transport|SO2|Premature mortality", US_national_yearly!$D:$AM, 10, FALSE), 1)</f>
        <v>1.792857347866141E-3</v>
      </c>
      <c r="J2" s="7">
        <f>$B2 * IFERROR(VLOOKUP("transport|SO2|Premature mortality", US_national_yearly!$D:$AM, 18, FALSE) / VLOOKUP("transport|SO2|Premature mortality", US_national_yearly!$D:$AM, 10, FALSE), 1)</f>
        <v>1.8187756151317733E-3</v>
      </c>
      <c r="K2" s="7">
        <f>$B2 * IFERROR(VLOOKUP("transport|SO2|Premature mortality", US_national_yearly!$D:$AM, 19, FALSE) / VLOOKUP("transport|SO2|Premature mortality", US_national_yearly!$D:$AM, 10, FALSE), 1)</f>
        <v>1.8446938823974055E-3</v>
      </c>
      <c r="L2" s="7">
        <f>$B2 * IFERROR(VLOOKUP("transport|SO2|Premature mortality", US_national_yearly!$D:$AM, 20, FALSE) / VLOOKUP("transport|SO2|Premature mortality", US_national_yearly!$D:$AM, 10, FALSE), 1)</f>
        <v>1.8706121496630378E-3</v>
      </c>
      <c r="M2" s="7">
        <f>$B2 * IFERROR(VLOOKUP("transport|SO2|Premature mortality", US_national_yearly!$D:$AM, 21, FALSE) / VLOOKUP("transport|SO2|Premature mortality", US_national_yearly!$D:$AM, 10, FALSE), 1)</f>
        <v>1.8965304169286702E-3</v>
      </c>
      <c r="N2" s="7">
        <f>$B2 * IFERROR(VLOOKUP("transport|SO2|Premature mortality", US_national_yearly!$D:$AM, 22, FALSE) / VLOOKUP("transport|SO2|Premature mortality", US_national_yearly!$D:$AM, 10, FALSE), 1)</f>
        <v>1.9167815450925471E-3</v>
      </c>
      <c r="O2" s="7">
        <f>$B2 * IFERROR(VLOOKUP("transport|SO2|Premature mortality", US_national_yearly!$D:$AM, 23, FALSE) / VLOOKUP("transport|SO2|Premature mortality", US_national_yearly!$D:$AM, 10, FALSE), 1)</f>
        <v>1.9370326732564237E-3</v>
      </c>
      <c r="P2" s="7">
        <f>$B2 * IFERROR(VLOOKUP("transport|SO2|Premature mortality", US_national_yearly!$D:$AM, 24, FALSE) / VLOOKUP("transport|SO2|Premature mortality", US_national_yearly!$D:$AM, 10, FALSE), 1)</f>
        <v>1.9572838014203005E-3</v>
      </c>
      <c r="Q2" s="7">
        <f>$B2 * IFERROR(VLOOKUP("transport|SO2|Premature mortality", US_national_yearly!$D:$AM, 25, FALSE) / VLOOKUP("transport|SO2|Premature mortality", US_national_yearly!$D:$AM, 10, FALSE), 1)</f>
        <v>1.977534929584177E-3</v>
      </c>
      <c r="R2" s="7">
        <f>$B2 * IFERROR(VLOOKUP("transport|SO2|Premature mortality", US_national_yearly!$D:$AM, 26, FALSE) / VLOOKUP("transport|SO2|Premature mortality", US_national_yearly!$D:$AM, 10, FALSE), 1)</f>
        <v>1.9977860577480534E-3</v>
      </c>
      <c r="S2" s="7">
        <f>$B2 * IFERROR(VLOOKUP("transport|SO2|Premature mortality", US_national_yearly!$D:$AM, 27, FALSE) / VLOOKUP("transport|SO2|Premature mortality", US_national_yearly!$D:$AM, 10, FALSE), 1)</f>
        <v>2.0086308065276159E-3</v>
      </c>
      <c r="T2" s="7">
        <f>$B2 * IFERROR(VLOOKUP("transport|SO2|Premature mortality", US_national_yearly!$D:$AM, 28, FALSE) / VLOOKUP("transport|SO2|Premature mortality", US_national_yearly!$D:$AM, 10, FALSE), 1)</f>
        <v>2.019475555307178E-3</v>
      </c>
      <c r="U2" s="7">
        <f>$B2 * IFERROR(VLOOKUP("transport|SO2|Premature mortality", US_national_yearly!$D:$AM, 29, FALSE) / VLOOKUP("transport|SO2|Premature mortality", US_national_yearly!$D:$AM, 10, FALSE), 1)</f>
        <v>2.0303203040867401E-3</v>
      </c>
      <c r="V2" s="7">
        <f>$B2 * IFERROR(VLOOKUP("transport|SO2|Premature mortality", US_national_yearly!$D:$AM, 30, FALSE) / VLOOKUP("transport|SO2|Premature mortality", US_national_yearly!$D:$AM, 10, FALSE), 1)</f>
        <v>2.0411650528663026E-3</v>
      </c>
      <c r="W2" s="7">
        <f>$B2 * IFERROR(VLOOKUP("transport|SO2|Premature mortality", US_national_yearly!$D:$AM, 31, FALSE) / VLOOKUP("transport|SO2|Premature mortality", US_national_yearly!$D:$AM, 10, FALSE), 1)</f>
        <v>2.0520098016458652E-3</v>
      </c>
      <c r="X2" s="7">
        <f>$B2 * IFERROR(VLOOKUP("transport|SO2|Premature mortality", US_national_yearly!$D:$AM, 32, FALSE) / VLOOKUP("transport|SO2|Premature mortality", US_national_yearly!$D:$AM, 10, FALSE), 1)</f>
        <v>2.0542129455320248E-3</v>
      </c>
      <c r="Y2" s="7">
        <f>$B2 * IFERROR(VLOOKUP("transport|SO2|Premature mortality", US_national_yearly!$D:$AM, 33, FALSE) / VLOOKUP("transport|SO2|Premature mortality", US_national_yearly!$D:$AM, 10, FALSE), 1)</f>
        <v>2.0564160894181852E-3</v>
      </c>
      <c r="Z2" s="7">
        <f>$B2 * IFERROR(VLOOKUP("transport|SO2|Premature mortality", US_national_yearly!$D:$AM, 34, FALSE) / VLOOKUP("transport|SO2|Premature mortality", US_national_yearly!$D:$AM, 10, FALSE), 1)</f>
        <v>2.0586192333043453E-3</v>
      </c>
      <c r="AA2" s="7">
        <f>$B2 * IFERROR(VLOOKUP("transport|SO2|Premature mortality", US_national_yearly!$D:$AM, 35, FALSE) / VLOOKUP("transport|SO2|Premature mortality", US_national_yearly!$D:$AM, 10, FALSE), 1)</f>
        <v>2.0608223771905057E-3</v>
      </c>
      <c r="AB2" s="7">
        <f>$B2 * IFERROR(VLOOKUP("transport|SO2|Premature mortality", US_national_yearly!$D:$AM, 36, FALSE) / VLOOKUP("transport|SO2|Premature mortality", US_national_yearly!$D:$AM, 10, FALSE), 1)</f>
        <v>2.0630255210766658E-3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2.696911635748179E-6</v>
      </c>
      <c r="C3" s="7">
        <f>$B3 * IFERROR(VLOOKUP("transport|SO2|Infant mortality", US_national_yearly!$D:$AM, 11, FALSE) / VLOOKUP("transport|SO2|Infant mortality", US_national_yearly!$D:$AM, 10, FALSE), 1)</f>
        <v>2.6737446728653955E-6</v>
      </c>
      <c r="D3" s="7">
        <f>$B3 * IFERROR(VLOOKUP("transport|SO2|Infant mortality", US_national_yearly!$D:$AM, 12, FALSE) / VLOOKUP("transport|SO2|Infant mortality", US_national_yearly!$D:$AM, 10, FALSE), 1)</f>
        <v>2.650577709982612E-6</v>
      </c>
      <c r="E3" s="7">
        <f>$B3 * IFERROR(VLOOKUP("transport|SO2|Infant mortality", US_national_yearly!$D:$AM, 13, FALSE) / VLOOKUP("transport|SO2|Infant mortality", US_national_yearly!$D:$AM, 10, FALSE), 1)</f>
        <v>2.6274107470998281E-6</v>
      </c>
      <c r="F3" s="7">
        <f>$B3 * IFERROR(VLOOKUP("transport|SO2|Infant mortality", US_national_yearly!$D:$AM, 14, FALSE) / VLOOKUP("transport|SO2|Infant mortality", US_national_yearly!$D:$AM, 10, FALSE), 1)</f>
        <v>2.604243784217045E-6</v>
      </c>
      <c r="G3" s="7">
        <f>$B3 * IFERROR(VLOOKUP("transport|SO2|Infant mortality", US_national_yearly!$D:$AM, 15, FALSE) / VLOOKUP("transport|SO2|Infant mortality", US_national_yearly!$D:$AM, 10, FALSE), 1)</f>
        <v>1.7346361101994373E-6</v>
      </c>
      <c r="H3" s="7">
        <f>$B3 * IFERROR(VLOOKUP("transport|SO2|Infant mortality", US_national_yearly!$D:$AM, 16, FALSE) / VLOOKUP("transport|SO2|Infant mortality", US_national_yearly!$D:$AM, 10, FALSE), 1)</f>
        <v>8.6502843618183108E-7</v>
      </c>
      <c r="I3" s="7">
        <f>$B3 * IFERROR(VLOOKUP("transport|SO2|Infant mortality", US_national_yearly!$D:$AM, 17, FALSE) / VLOOKUP("transport|SO2|Infant mortality", US_national_yearly!$D:$AM, 10, FALSE), 1)</f>
        <v>8.5960185158550203E-7</v>
      </c>
      <c r="J3" s="7">
        <f>$B3 * IFERROR(VLOOKUP("transport|SO2|Infant mortality", US_national_yearly!$D:$AM, 18, FALSE) / VLOOKUP("transport|SO2|Infant mortality", US_national_yearly!$D:$AM, 10, FALSE), 1)</f>
        <v>8.5417526698917299E-7</v>
      </c>
      <c r="K3" s="7">
        <f>$B3 * IFERROR(VLOOKUP("transport|SO2|Infant mortality", US_national_yearly!$D:$AM, 19, FALSE) / VLOOKUP("transport|SO2|Infant mortality", US_national_yearly!$D:$AM, 10, FALSE), 1)</f>
        <v>8.4874868239284404E-7</v>
      </c>
      <c r="L3" s="7">
        <f>$B3 * IFERROR(VLOOKUP("transport|SO2|Infant mortality", US_national_yearly!$D:$AM, 20, FALSE) / VLOOKUP("transport|SO2|Infant mortality", US_national_yearly!$D:$AM, 10, FALSE), 1)</f>
        <v>8.4332209779651521E-7</v>
      </c>
      <c r="M3" s="7">
        <f>$B3 * IFERROR(VLOOKUP("transport|SO2|Infant mortality", US_national_yearly!$D:$AM, 21, FALSE) / VLOOKUP("transport|SO2|Infant mortality", US_national_yearly!$D:$AM, 10, FALSE), 1)</f>
        <v>8.3789551320018616E-7</v>
      </c>
      <c r="N3" s="7">
        <f>$B3 * IFERROR(VLOOKUP("transport|SO2|Infant mortality", US_national_yearly!$D:$AM, 22, FALSE) / VLOOKUP("transport|SO2|Infant mortality", US_national_yearly!$D:$AM, 10, FALSE), 1)</f>
        <v>8.344892866760764E-7</v>
      </c>
      <c r="O3" s="7">
        <f>$B3 * IFERROR(VLOOKUP("transport|SO2|Infant mortality", US_national_yearly!$D:$AM, 23, FALSE) / VLOOKUP("transport|SO2|Infant mortality", US_national_yearly!$D:$AM, 10, FALSE), 1)</f>
        <v>8.3108306015196654E-7</v>
      </c>
      <c r="P3" s="7">
        <f>$B3 * IFERROR(VLOOKUP("transport|SO2|Infant mortality", US_national_yearly!$D:$AM, 24, FALSE) / VLOOKUP("transport|SO2|Infant mortality", US_national_yearly!$D:$AM, 10, FALSE), 1)</f>
        <v>8.2767683362785667E-7</v>
      </c>
      <c r="Q3" s="7">
        <f>$B3 * IFERROR(VLOOKUP("transport|SO2|Infant mortality", US_national_yearly!$D:$AM, 25, FALSE) / VLOOKUP("transport|SO2|Infant mortality", US_national_yearly!$D:$AM, 10, FALSE), 1)</f>
        <v>8.2427060710374691E-7</v>
      </c>
      <c r="R3" s="7">
        <f>$B3 * IFERROR(VLOOKUP("transport|SO2|Infant mortality", US_national_yearly!$D:$AM, 26, FALSE) / VLOOKUP("transport|SO2|Infant mortality", US_national_yearly!$D:$AM, 10, FALSE), 1)</f>
        <v>8.2086438057963694E-7</v>
      </c>
      <c r="S3" s="7">
        <f>$B3 * IFERROR(VLOOKUP("transport|SO2|Infant mortality", US_national_yearly!$D:$AM, 27, FALSE) / VLOOKUP("transport|SO2|Infant mortality", US_national_yearly!$D:$AM, 10, FALSE), 1)</f>
        <v>8.1658765566685522E-7</v>
      </c>
      <c r="T3" s="7">
        <f>$B3 * IFERROR(VLOOKUP("transport|SO2|Infant mortality", US_national_yearly!$D:$AM, 28, FALSE) / VLOOKUP("transport|SO2|Infant mortality", US_national_yearly!$D:$AM, 10, FALSE), 1)</f>
        <v>8.1231093075407361E-7</v>
      </c>
      <c r="U3" s="7">
        <f>$B3 * IFERROR(VLOOKUP("transport|SO2|Infant mortality", US_national_yearly!$D:$AM, 29, FALSE) / VLOOKUP("transport|SO2|Infant mortality", US_national_yearly!$D:$AM, 10, FALSE), 1)</f>
        <v>8.0803420584129157E-7</v>
      </c>
      <c r="V3" s="7">
        <f>$B3 * IFERROR(VLOOKUP("transport|SO2|Infant mortality", US_national_yearly!$D:$AM, 30, FALSE) / VLOOKUP("transport|SO2|Infant mortality", US_national_yearly!$D:$AM, 10, FALSE), 1)</f>
        <v>8.0375748092851006E-7</v>
      </c>
      <c r="W3" s="7">
        <f>$B3 * IFERROR(VLOOKUP("transport|SO2|Infant mortality", US_national_yearly!$D:$AM, 31, FALSE) / VLOOKUP("transport|SO2|Infant mortality", US_national_yearly!$D:$AM, 10, FALSE), 1)</f>
        <v>7.9948075601572824E-7</v>
      </c>
      <c r="X3" s="7">
        <f>$B3 * IFERROR(VLOOKUP("transport|SO2|Infant mortality", US_national_yearly!$D:$AM, 32, FALSE) / VLOOKUP("transport|SO2|Infant mortality", US_national_yearly!$D:$AM, 10, FALSE), 1)</f>
        <v>7.9480497558051852E-7</v>
      </c>
      <c r="Y3" s="7">
        <f>$B3 * IFERROR(VLOOKUP("transport|SO2|Infant mortality", US_national_yearly!$D:$AM, 33, FALSE) / VLOOKUP("transport|SO2|Infant mortality", US_national_yearly!$D:$AM, 10, FALSE), 1)</f>
        <v>7.9012919514530859E-7</v>
      </c>
      <c r="Z3" s="7">
        <f>$B3 * IFERROR(VLOOKUP("transport|SO2|Infant mortality", US_national_yearly!$D:$AM, 34, FALSE) / VLOOKUP("transport|SO2|Infant mortality", US_national_yearly!$D:$AM, 10, FALSE), 1)</f>
        <v>7.8545341471009888E-7</v>
      </c>
      <c r="AA3" s="7">
        <f>$B3 * IFERROR(VLOOKUP("transport|SO2|Infant mortality", US_national_yearly!$D:$AM, 35, FALSE) / VLOOKUP("transport|SO2|Infant mortality", US_national_yearly!$D:$AM, 10, FALSE), 1)</f>
        <v>7.8077763427488885E-7</v>
      </c>
      <c r="AB3" s="7">
        <f>$B3 * IFERROR(VLOOKUP("transport|SO2|Infant mortality", US_national_yearly!$D:$AM, 36, FALSE) / VLOOKUP("transport|SO2|Infant mortality", US_national_yearly!$D:$AM, 10, FALSE), 1)</f>
        <v>7.7610185383967913E-7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2.8199690953787334E-3</v>
      </c>
      <c r="C6" s="7">
        <f>$B6 * IFERROR(VLOOKUP("transport|SO2|Asthma symptoms cough", US_national_yearly!$D:$AM, 11, FALSE) / VLOOKUP("transport|SO2|Asthma symptoms cough", US_national_yearly!$D:$AM, 10, FALSE), 1)</f>
        <v>2.8199690953787334E-3</v>
      </c>
      <c r="D6" s="7">
        <f>$B6 * IFERROR(VLOOKUP("transport|SO2|Asthma symptoms cough", US_national_yearly!$D:$AM, 12, FALSE) / VLOOKUP("transport|SO2|Asthma symptoms cough", US_national_yearly!$D:$AM, 10, FALSE), 1)</f>
        <v>2.8199690953787334E-3</v>
      </c>
      <c r="E6" s="7">
        <f>$B6 * IFERROR(VLOOKUP("transport|SO2|Asthma symptoms cough", US_national_yearly!$D:$AM, 13, FALSE) / VLOOKUP("transport|SO2|Asthma symptoms cough", US_national_yearly!$D:$AM, 10, FALSE), 1)</f>
        <v>2.8199690953787334E-3</v>
      </c>
      <c r="F6" s="7">
        <f>$B6 * IFERROR(VLOOKUP("transport|SO2|Asthma symptoms cough", US_national_yearly!$D:$AM, 14, FALSE) / VLOOKUP("transport|SO2|Asthma symptoms cough", US_national_yearly!$D:$AM, 10, FALSE), 1)</f>
        <v>2.8199690953787334E-3</v>
      </c>
      <c r="G6" s="7">
        <f>$B6 * IFERROR(VLOOKUP("transport|SO2|Asthma symptoms cough", US_national_yearly!$D:$AM, 15, FALSE) / VLOOKUP("transport|SO2|Asthma symptoms cough", US_national_yearly!$D:$AM, 10, FALSE), 1)</f>
        <v>2.8199690953787334E-3</v>
      </c>
      <c r="H6" s="7">
        <f>$B6 * IFERROR(VLOOKUP("transport|SO2|Asthma symptoms cough", US_national_yearly!$D:$AM, 16, FALSE) / VLOOKUP("transport|SO2|Asthma symptoms cough", US_national_yearly!$D:$AM, 10, FALSE), 1)</f>
        <v>2.8199690953787334E-3</v>
      </c>
      <c r="I6" s="7">
        <f>$B6 * IFERROR(VLOOKUP("transport|SO2|Asthma symptoms cough", US_national_yearly!$D:$AM, 17, FALSE) / VLOOKUP("transport|SO2|Asthma symptoms cough", US_national_yearly!$D:$AM, 10, FALSE), 1)</f>
        <v>2.8199690953787334E-3</v>
      </c>
      <c r="J6" s="7">
        <f>$B6 * IFERROR(VLOOKUP("transport|SO2|Asthma symptoms cough", US_national_yearly!$D:$AM, 18, FALSE) / VLOOKUP("transport|SO2|Asthma symptoms cough", US_national_yearly!$D:$AM, 10, FALSE), 1)</f>
        <v>2.8199690953787334E-3</v>
      </c>
      <c r="K6" s="7">
        <f>$B6 * IFERROR(VLOOKUP("transport|SO2|Asthma symptoms cough", US_national_yearly!$D:$AM, 19, FALSE) / VLOOKUP("transport|SO2|Asthma symptoms cough", US_national_yearly!$D:$AM, 10, FALSE), 1)</f>
        <v>2.8199690953787334E-3</v>
      </c>
      <c r="L6" s="7">
        <f>$B6 * IFERROR(VLOOKUP("transport|SO2|Asthma symptoms cough", US_national_yearly!$D:$AM, 20, FALSE) / VLOOKUP("transport|SO2|Asthma symptoms cough", US_national_yearly!$D:$AM, 10, FALSE), 1)</f>
        <v>2.8199690953787334E-3</v>
      </c>
      <c r="M6" s="7">
        <f>$B6 * IFERROR(VLOOKUP("transport|SO2|Asthma symptoms cough", US_national_yearly!$D:$AM, 21, FALSE) / VLOOKUP("transport|SO2|Asthma symptoms cough", US_national_yearly!$D:$AM, 10, FALSE), 1)</f>
        <v>2.8199690953787334E-3</v>
      </c>
      <c r="N6" s="7">
        <f>$B6 * IFERROR(VLOOKUP("transport|SO2|Asthma symptoms cough", US_national_yearly!$D:$AM, 22, FALSE) / VLOOKUP("transport|SO2|Asthma symptoms cough", US_national_yearly!$D:$AM, 10, FALSE), 1)</f>
        <v>2.8199690953787334E-3</v>
      </c>
      <c r="O6" s="7">
        <f>$B6 * IFERROR(VLOOKUP("transport|SO2|Asthma symptoms cough", US_national_yearly!$D:$AM, 23, FALSE) / VLOOKUP("transport|SO2|Asthma symptoms cough", US_national_yearly!$D:$AM, 10, FALSE), 1)</f>
        <v>2.8199690953787334E-3</v>
      </c>
      <c r="P6" s="7">
        <f>$B6 * IFERROR(VLOOKUP("transport|SO2|Asthma symptoms cough", US_national_yearly!$D:$AM, 24, FALSE) / VLOOKUP("transport|SO2|Asthma symptoms cough", US_national_yearly!$D:$AM, 10, FALSE), 1)</f>
        <v>2.8199690953787334E-3</v>
      </c>
      <c r="Q6" s="7">
        <f>$B6 * IFERROR(VLOOKUP("transport|SO2|Asthma symptoms cough", US_national_yearly!$D:$AM, 25, FALSE) / VLOOKUP("transport|SO2|Asthma symptoms cough", US_national_yearly!$D:$AM, 10, FALSE), 1)</f>
        <v>2.8199690953787334E-3</v>
      </c>
      <c r="R6" s="7">
        <f>$B6 * IFERROR(VLOOKUP("transport|SO2|Asthma symptoms cough", US_national_yearly!$D:$AM, 26, FALSE) / VLOOKUP("transport|SO2|Asthma symptoms cough", US_national_yearly!$D:$AM, 10, FALSE), 1)</f>
        <v>2.8199690953787334E-3</v>
      </c>
      <c r="S6" s="7">
        <f>$B6 * IFERROR(VLOOKUP("transport|SO2|Asthma symptoms cough", US_national_yearly!$D:$AM, 27, FALSE) / VLOOKUP("transport|SO2|Asthma symptoms cough", US_national_yearly!$D:$AM, 10, FALSE), 1)</f>
        <v>2.8199690953787334E-3</v>
      </c>
      <c r="T6" s="7">
        <f>$B6 * IFERROR(VLOOKUP("transport|SO2|Asthma symptoms cough", US_national_yearly!$D:$AM, 28, FALSE) / VLOOKUP("transport|SO2|Asthma symptoms cough", US_national_yearly!$D:$AM, 10, FALSE), 1)</f>
        <v>2.8199690953787334E-3</v>
      </c>
      <c r="U6" s="7">
        <f>$B6 * IFERROR(VLOOKUP("transport|SO2|Asthma symptoms cough", US_national_yearly!$D:$AM, 29, FALSE) / VLOOKUP("transport|SO2|Asthma symptoms cough", US_national_yearly!$D:$AM, 10, FALSE), 1)</f>
        <v>2.8199690953787334E-3</v>
      </c>
      <c r="V6" s="7">
        <f>$B6 * IFERROR(VLOOKUP("transport|SO2|Asthma symptoms cough", US_national_yearly!$D:$AM, 30, FALSE) / VLOOKUP("transport|SO2|Asthma symptoms cough", US_national_yearly!$D:$AM, 10, FALSE), 1)</f>
        <v>2.8199690953787334E-3</v>
      </c>
      <c r="W6" s="7">
        <f>$B6 * IFERROR(VLOOKUP("transport|SO2|Asthma symptoms cough", US_national_yearly!$D:$AM, 31, FALSE) / VLOOKUP("transport|SO2|Asthma symptoms cough", US_national_yearly!$D:$AM, 10, FALSE), 1)</f>
        <v>2.8199690953787334E-3</v>
      </c>
      <c r="X6" s="7">
        <f>$B6 * IFERROR(VLOOKUP("transport|SO2|Asthma symptoms cough", US_national_yearly!$D:$AM, 32, FALSE) / VLOOKUP("transport|SO2|Asthma symptoms cough", US_national_yearly!$D:$AM, 10, FALSE), 1)</f>
        <v>2.8199690953787334E-3</v>
      </c>
      <c r="Y6" s="7">
        <f>$B6 * IFERROR(VLOOKUP("transport|SO2|Asthma symptoms cough", US_national_yearly!$D:$AM, 33, FALSE) / VLOOKUP("transport|SO2|Asthma symptoms cough", US_national_yearly!$D:$AM, 10, FALSE), 1)</f>
        <v>2.8199690953787334E-3</v>
      </c>
      <c r="Z6" s="7">
        <f>$B6 * IFERROR(VLOOKUP("transport|SO2|Asthma symptoms cough", US_national_yearly!$D:$AM, 34, FALSE) / VLOOKUP("transport|SO2|Asthma symptoms cough", US_national_yearly!$D:$AM, 10, FALSE), 1)</f>
        <v>2.8199690953787334E-3</v>
      </c>
      <c r="AA6" s="7">
        <f>$B6 * IFERROR(VLOOKUP("transport|SO2|Asthma symptoms cough", US_national_yearly!$D:$AM, 35, FALSE) / VLOOKUP("transport|SO2|Asthma symptoms cough", US_national_yearly!$D:$AM, 10, FALSE), 1)</f>
        <v>2.8199690953787334E-3</v>
      </c>
      <c r="AB6" s="7">
        <f>$B6 * IFERROR(VLOOKUP("transport|SO2|Asthma symptoms cough", US_national_yearly!$D:$AM, 36, FALSE) / VLOOKUP("transport|SO2|Asthma symptoms cough", US_national_yearly!$D:$AM, 10, FALSE), 1)</f>
        <v>2.8199690953787334E-3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3.7975017331563221E-3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3.7975017331563221E-3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3.7975017331563221E-3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3.7975017331563221E-3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3.7975017331563221E-3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3.7975017331563221E-3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3.7975017331563221E-3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3.7975017331563221E-3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3.7975017331563221E-3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3.7975017331563221E-3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3.7975017331563221E-3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3.7975017331563221E-3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3.7975017331563221E-3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3.7975017331563221E-3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3.7975017331563221E-3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3.7975017331563221E-3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3.7975017331563221E-3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3.7975017331563221E-3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3.7975017331563221E-3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3.7975017331563221E-3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3.7975017331563221E-3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3.7975017331563221E-3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3.7975017331563221E-3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3.7975017331563221E-3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3.7975017331563221E-3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3.7975017331563221E-3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3.7975017331563221E-3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5.8019243819019354E-3</v>
      </c>
      <c r="C8" s="7">
        <f>$B8 * IFERROR(VLOOKUP("transport|SO2|Asthma symptoms wheeze", US_national_yearly!$D:$AM, 11, FALSE) / VLOOKUP("transport|SO2|Asthma symptoms wheeze", US_national_yearly!$D:$AM, 10, FALSE), 1)</f>
        <v>5.8019243819019354E-3</v>
      </c>
      <c r="D8" s="7">
        <f>$B8 * IFERROR(VLOOKUP("transport|SO2|Asthma symptoms wheeze", US_national_yearly!$D:$AM, 12, FALSE) / VLOOKUP("transport|SO2|Asthma symptoms wheeze", US_national_yearly!$D:$AM, 10, FALSE), 1)</f>
        <v>5.8019243819019354E-3</v>
      </c>
      <c r="E8" s="7">
        <f>$B8 * IFERROR(VLOOKUP("transport|SO2|Asthma symptoms wheeze", US_national_yearly!$D:$AM, 13, FALSE) / VLOOKUP("transport|SO2|Asthma symptoms wheeze", US_national_yearly!$D:$AM, 10, FALSE), 1)</f>
        <v>5.8019243819019354E-3</v>
      </c>
      <c r="F8" s="7">
        <f>$B8 * IFERROR(VLOOKUP("transport|SO2|Asthma symptoms wheeze", US_national_yearly!$D:$AM, 14, FALSE) / VLOOKUP("transport|SO2|Asthma symptoms wheeze", US_national_yearly!$D:$AM, 10, FALSE), 1)</f>
        <v>5.8019243819019354E-3</v>
      </c>
      <c r="G8" s="7">
        <f>$B8 * IFERROR(VLOOKUP("transport|SO2|Asthma symptoms wheeze", US_national_yearly!$D:$AM, 15, FALSE) / VLOOKUP("transport|SO2|Asthma symptoms wheeze", US_national_yearly!$D:$AM, 10, FALSE), 1)</f>
        <v>5.8019243819019354E-3</v>
      </c>
      <c r="H8" s="7">
        <f>$B8 * IFERROR(VLOOKUP("transport|SO2|Asthma symptoms wheeze", US_national_yearly!$D:$AM, 16, FALSE) / VLOOKUP("transport|SO2|Asthma symptoms wheeze", US_national_yearly!$D:$AM, 10, FALSE), 1)</f>
        <v>5.8019243819019354E-3</v>
      </c>
      <c r="I8" s="7">
        <f>$B8 * IFERROR(VLOOKUP("transport|SO2|Asthma symptoms wheeze", US_national_yearly!$D:$AM, 17, FALSE) / VLOOKUP("transport|SO2|Asthma symptoms wheeze", US_national_yearly!$D:$AM, 10, FALSE), 1)</f>
        <v>5.8019243819019354E-3</v>
      </c>
      <c r="J8" s="7">
        <f>$B8 * IFERROR(VLOOKUP("transport|SO2|Asthma symptoms wheeze", US_national_yearly!$D:$AM, 18, FALSE) / VLOOKUP("transport|SO2|Asthma symptoms wheeze", US_national_yearly!$D:$AM, 10, FALSE), 1)</f>
        <v>5.8019243819019354E-3</v>
      </c>
      <c r="K8" s="7">
        <f>$B8 * IFERROR(VLOOKUP("transport|SO2|Asthma symptoms wheeze", US_national_yearly!$D:$AM, 19, FALSE) / VLOOKUP("transport|SO2|Asthma symptoms wheeze", US_national_yearly!$D:$AM, 10, FALSE), 1)</f>
        <v>5.8019243819019354E-3</v>
      </c>
      <c r="L8" s="7">
        <f>$B8 * IFERROR(VLOOKUP("transport|SO2|Asthma symptoms wheeze", US_national_yearly!$D:$AM, 20, FALSE) / VLOOKUP("transport|SO2|Asthma symptoms wheeze", US_national_yearly!$D:$AM, 10, FALSE), 1)</f>
        <v>5.8019243819019354E-3</v>
      </c>
      <c r="M8" s="7">
        <f>$B8 * IFERROR(VLOOKUP("transport|SO2|Asthma symptoms wheeze", US_national_yearly!$D:$AM, 21, FALSE) / VLOOKUP("transport|SO2|Asthma symptoms wheeze", US_national_yearly!$D:$AM, 10, FALSE), 1)</f>
        <v>5.8019243819019354E-3</v>
      </c>
      <c r="N8" s="7">
        <f>$B8 * IFERROR(VLOOKUP("transport|SO2|Asthma symptoms wheeze", US_national_yearly!$D:$AM, 22, FALSE) / VLOOKUP("transport|SO2|Asthma symptoms wheeze", US_national_yearly!$D:$AM, 10, FALSE), 1)</f>
        <v>5.8019243819019354E-3</v>
      </c>
      <c r="O8" s="7">
        <f>$B8 * IFERROR(VLOOKUP("transport|SO2|Asthma symptoms wheeze", US_national_yearly!$D:$AM, 23, FALSE) / VLOOKUP("transport|SO2|Asthma symptoms wheeze", US_national_yearly!$D:$AM, 10, FALSE), 1)</f>
        <v>5.8019243819019354E-3</v>
      </c>
      <c r="P8" s="7">
        <f>$B8 * IFERROR(VLOOKUP("transport|SO2|Asthma symptoms wheeze", US_national_yearly!$D:$AM, 24, FALSE) / VLOOKUP("transport|SO2|Asthma symptoms wheeze", US_national_yearly!$D:$AM, 10, FALSE), 1)</f>
        <v>5.8019243819019354E-3</v>
      </c>
      <c r="Q8" s="7">
        <f>$B8 * IFERROR(VLOOKUP("transport|SO2|Asthma symptoms wheeze", US_national_yearly!$D:$AM, 25, FALSE) / VLOOKUP("transport|SO2|Asthma symptoms wheeze", US_national_yearly!$D:$AM, 10, FALSE), 1)</f>
        <v>5.8019243819019354E-3</v>
      </c>
      <c r="R8" s="7">
        <f>$B8 * IFERROR(VLOOKUP("transport|SO2|Asthma symptoms wheeze", US_national_yearly!$D:$AM, 26, FALSE) / VLOOKUP("transport|SO2|Asthma symptoms wheeze", US_national_yearly!$D:$AM, 10, FALSE), 1)</f>
        <v>5.8019243819019354E-3</v>
      </c>
      <c r="S8" s="7">
        <f>$B8 * IFERROR(VLOOKUP("transport|SO2|Asthma symptoms wheeze", US_national_yearly!$D:$AM, 27, FALSE) / VLOOKUP("transport|SO2|Asthma symptoms wheeze", US_national_yearly!$D:$AM, 10, FALSE), 1)</f>
        <v>5.8019243819019354E-3</v>
      </c>
      <c r="T8" s="7">
        <f>$B8 * IFERROR(VLOOKUP("transport|SO2|Asthma symptoms wheeze", US_national_yearly!$D:$AM, 28, FALSE) / VLOOKUP("transport|SO2|Asthma symptoms wheeze", US_national_yearly!$D:$AM, 10, FALSE), 1)</f>
        <v>5.8019243819019354E-3</v>
      </c>
      <c r="U8" s="7">
        <f>$B8 * IFERROR(VLOOKUP("transport|SO2|Asthma symptoms wheeze", US_national_yearly!$D:$AM, 29, FALSE) / VLOOKUP("transport|SO2|Asthma symptoms wheeze", US_national_yearly!$D:$AM, 10, FALSE), 1)</f>
        <v>5.8019243819019354E-3</v>
      </c>
      <c r="V8" s="7">
        <f>$B8 * IFERROR(VLOOKUP("transport|SO2|Asthma symptoms wheeze", US_national_yearly!$D:$AM, 30, FALSE) / VLOOKUP("transport|SO2|Asthma symptoms wheeze", US_national_yearly!$D:$AM, 10, FALSE), 1)</f>
        <v>5.8019243819019354E-3</v>
      </c>
      <c r="W8" s="7">
        <f>$B8 * IFERROR(VLOOKUP("transport|SO2|Asthma symptoms wheeze", US_national_yearly!$D:$AM, 31, FALSE) / VLOOKUP("transport|SO2|Asthma symptoms wheeze", US_national_yearly!$D:$AM, 10, FALSE), 1)</f>
        <v>5.8019243819019354E-3</v>
      </c>
      <c r="X8" s="7">
        <f>$B8 * IFERROR(VLOOKUP("transport|SO2|Asthma symptoms wheeze", US_national_yearly!$D:$AM, 32, FALSE) / VLOOKUP("transport|SO2|Asthma symptoms wheeze", US_national_yearly!$D:$AM, 10, FALSE), 1)</f>
        <v>5.8019243819019354E-3</v>
      </c>
      <c r="Y8" s="7">
        <f>$B8 * IFERROR(VLOOKUP("transport|SO2|Asthma symptoms wheeze", US_national_yearly!$D:$AM, 33, FALSE) / VLOOKUP("transport|SO2|Asthma symptoms wheeze", US_national_yearly!$D:$AM, 10, FALSE), 1)</f>
        <v>5.8019243819019354E-3</v>
      </c>
      <c r="Z8" s="7">
        <f>$B8 * IFERROR(VLOOKUP("transport|SO2|Asthma symptoms wheeze", US_national_yearly!$D:$AM, 34, FALSE) / VLOOKUP("transport|SO2|Asthma symptoms wheeze", US_national_yearly!$D:$AM, 10, FALSE), 1)</f>
        <v>5.8019243819019354E-3</v>
      </c>
      <c r="AA8" s="7">
        <f>$B8 * IFERROR(VLOOKUP("transport|SO2|Asthma symptoms wheeze", US_national_yearly!$D:$AM, 35, FALSE) / VLOOKUP("transport|SO2|Asthma symptoms wheeze", US_national_yearly!$D:$AM, 10, FALSE), 1)</f>
        <v>5.8019243819019354E-3</v>
      </c>
      <c r="AB8" s="7">
        <f>$B8 * IFERROR(VLOOKUP("transport|SO2|Asthma symptoms wheeze", US_national_yearly!$D:$AM, 36, FALSE) / VLOOKUP("transport|SO2|Asthma symptoms wheeze", US_national_yearly!$D:$AM, 10, FALSE), 1)</f>
        <v>5.8019243819019354E-3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1.7706390173369033E-4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1.7810823342528844E-4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1.7915256511688655E-4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1.8019689680848463E-4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1.8124122850008274E-4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1.8237972619238992E-4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1.835182238846971E-4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1.846409181635498E-4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1.8576361244240251E-4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1.8688630672125515E-4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1.8800900100010787E-4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1.8913169527896051E-4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1.8995122744652499E-4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1.9077075961408942E-4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1.9159029178165385E-4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1.9240982394921834E-4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1.9322935611678277E-4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1.9401112727257037E-4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1.9479289842835792E-4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1.9557466958414549E-4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1.9635644073993309E-4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1.9713821189572066E-4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1.9787998437099252E-4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1.9862175684626441E-4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1.9936352932153626E-4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2.0010530179680812E-4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2.0084707427208003E-4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1.4604030828560225E-3</v>
      </c>
      <c r="C13" s="7">
        <f>$B13 * IFERROR(VLOOKUP("transport|SO2|Non-fatal heart attacks", US_national_yearly!$D:$AM, 11, FALSE) / VLOOKUP("transport|SO2|Non-fatal heart attacks", US_national_yearly!$D:$AM, 10, FALSE), 1)</f>
        <v>1.5032752128938298E-3</v>
      </c>
      <c r="D13" s="7">
        <f>$B13 * IFERROR(VLOOKUP("transport|SO2|Non-fatal heart attacks", US_national_yearly!$D:$AM, 12, FALSE) / VLOOKUP("transport|SO2|Non-fatal heart attacks", US_national_yearly!$D:$AM, 10, FALSE), 1)</f>
        <v>1.5461473429316374E-3</v>
      </c>
      <c r="E13" s="7">
        <f>$B13 * IFERROR(VLOOKUP("transport|SO2|Non-fatal heart attacks", US_national_yearly!$D:$AM, 13, FALSE) / VLOOKUP("transport|SO2|Non-fatal heart attacks", US_national_yearly!$D:$AM, 10, FALSE), 1)</f>
        <v>1.5890194729694448E-3</v>
      </c>
      <c r="F13" s="7">
        <f>$B13 * IFERROR(VLOOKUP("transport|SO2|Non-fatal heart attacks", US_national_yearly!$D:$AM, 14, FALSE) / VLOOKUP("transport|SO2|Non-fatal heart attacks", US_national_yearly!$D:$AM, 10, FALSE), 1)</f>
        <v>1.6318916030072519E-3</v>
      </c>
      <c r="G13" s="7">
        <f>$B13 * IFERROR(VLOOKUP("transport|SO2|Non-fatal heart attacks", US_national_yearly!$D:$AM, 15, FALSE) / VLOOKUP("transport|SO2|Non-fatal heart attacks", US_national_yearly!$D:$AM, 10, FALSE), 1)</f>
        <v>1.6723239982658973E-3</v>
      </c>
      <c r="H13" s="7">
        <f>$B13 * IFERROR(VLOOKUP("transport|SO2|Non-fatal heart attacks", US_national_yearly!$D:$AM, 16, FALSE) / VLOOKUP("transport|SO2|Non-fatal heart attacks", US_national_yearly!$D:$AM, 10, FALSE), 1)</f>
        <v>1.7127563935245426E-3</v>
      </c>
      <c r="I13" s="7">
        <f>$B13 * IFERROR(VLOOKUP("transport|SO2|Non-fatal heart attacks", US_national_yearly!$D:$AM, 17, FALSE) / VLOOKUP("transport|SO2|Non-fatal heart attacks", US_national_yearly!$D:$AM, 10, FALSE), 1)</f>
        <v>1.7452917967380438E-3</v>
      </c>
      <c r="J13" s="7">
        <f>$B13 * IFERROR(VLOOKUP("transport|SO2|Non-fatal heart attacks", US_national_yearly!$D:$AM, 18, FALSE) / VLOOKUP("transport|SO2|Non-fatal heart attacks", US_national_yearly!$D:$AM, 10, FALSE), 1)</f>
        <v>1.777827199951545E-3</v>
      </c>
      <c r="K13" s="7">
        <f>$B13 * IFERROR(VLOOKUP("transport|SO2|Non-fatal heart attacks", US_national_yearly!$D:$AM, 19, FALSE) / VLOOKUP("transport|SO2|Non-fatal heart attacks", US_national_yearly!$D:$AM, 10, FALSE), 1)</f>
        <v>1.8103626031650462E-3</v>
      </c>
      <c r="L13" s="7">
        <f>$B13 * IFERROR(VLOOKUP("transport|SO2|Non-fatal heart attacks", US_national_yearly!$D:$AM, 20, FALSE) / VLOOKUP("transport|SO2|Non-fatal heart attacks", US_national_yearly!$D:$AM, 10, FALSE), 1)</f>
        <v>1.8428980063785478E-3</v>
      </c>
      <c r="M13" s="7">
        <f>$B13 * IFERROR(VLOOKUP("transport|SO2|Non-fatal heart attacks", US_national_yearly!$D:$AM, 21, FALSE) / VLOOKUP("transport|SO2|Non-fatal heart attacks", US_national_yearly!$D:$AM, 10, FALSE), 1)</f>
        <v>1.8754334095920492E-3</v>
      </c>
      <c r="N13" s="7">
        <f>$B13 * IFERROR(VLOOKUP("transport|SO2|Non-fatal heart attacks", US_national_yearly!$D:$AM, 22, FALSE) / VLOOKUP("transport|SO2|Non-fatal heart attacks", US_national_yearly!$D:$AM, 10, FALSE), 1)</f>
        <v>1.8965590399783979E-3</v>
      </c>
      <c r="O13" s="7">
        <f>$B13 * IFERROR(VLOOKUP("transport|SO2|Non-fatal heart attacks", US_national_yearly!$D:$AM, 23, FALSE) / VLOOKUP("transport|SO2|Non-fatal heart attacks", US_national_yearly!$D:$AM, 10, FALSE), 1)</f>
        <v>1.9176846703647472E-3</v>
      </c>
      <c r="P13" s="7">
        <f>$B13 * IFERROR(VLOOKUP("transport|SO2|Non-fatal heart attacks", US_national_yearly!$D:$AM, 24, FALSE) / VLOOKUP("transport|SO2|Non-fatal heart attacks", US_national_yearly!$D:$AM, 10, FALSE), 1)</f>
        <v>1.9388103007510968E-3</v>
      </c>
      <c r="Q13" s="7">
        <f>$B13 * IFERROR(VLOOKUP("transport|SO2|Non-fatal heart attacks", US_national_yearly!$D:$AM, 25, FALSE) / VLOOKUP("transport|SO2|Non-fatal heart attacks", US_national_yearly!$D:$AM, 10, FALSE), 1)</f>
        <v>1.9599359311374457E-3</v>
      </c>
      <c r="R13" s="7">
        <f>$B13 * IFERROR(VLOOKUP("transport|SO2|Non-fatal heart attacks", US_national_yearly!$D:$AM, 26, FALSE) / VLOOKUP("transport|SO2|Non-fatal heart attacks", US_national_yearly!$D:$AM, 10, FALSE), 1)</f>
        <v>1.981061561523795E-3</v>
      </c>
      <c r="S13" s="7">
        <f>$B13 * IFERROR(VLOOKUP("transport|SO2|Non-fatal heart attacks", US_national_yearly!$D:$AM, 27, FALSE) / VLOOKUP("transport|SO2|Non-fatal heart attacks", US_national_yearly!$D:$AM, 10, FALSE), 1)</f>
        <v>1.9920911343212933E-3</v>
      </c>
      <c r="T13" s="7">
        <f>$B13 * IFERROR(VLOOKUP("transport|SO2|Non-fatal heart attacks", US_national_yearly!$D:$AM, 28, FALSE) / VLOOKUP("transport|SO2|Non-fatal heart attacks", US_national_yearly!$D:$AM, 10, FALSE), 1)</f>
        <v>2.0031207071187921E-3</v>
      </c>
      <c r="U13" s="7">
        <f>$B13 * IFERROR(VLOOKUP("transport|SO2|Non-fatal heart attacks", US_national_yearly!$D:$AM, 29, FALSE) / VLOOKUP("transport|SO2|Non-fatal heart attacks", US_national_yearly!$D:$AM, 10, FALSE), 1)</f>
        <v>2.0141502799162904E-3</v>
      </c>
      <c r="V13" s="7">
        <f>$B13 * IFERROR(VLOOKUP("transport|SO2|Non-fatal heart attacks", US_national_yearly!$D:$AM, 30, FALSE) / VLOOKUP("transport|SO2|Non-fatal heart attacks", US_national_yearly!$D:$AM, 10, FALSE), 1)</f>
        <v>2.0251798527137887E-3</v>
      </c>
      <c r="W13" s="7">
        <f>$B13 * IFERROR(VLOOKUP("transport|SO2|Non-fatal heart attacks", US_national_yearly!$D:$AM, 31, FALSE) / VLOOKUP("transport|SO2|Non-fatal heart attacks", US_national_yearly!$D:$AM, 10, FALSE), 1)</f>
        <v>2.0362094255112874E-3</v>
      </c>
      <c r="X13" s="7">
        <f>$B13 * IFERROR(VLOOKUP("transport|SO2|Non-fatal heart attacks", US_national_yearly!$D:$AM, 32, FALSE) / VLOOKUP("transport|SO2|Non-fatal heart attacks", US_national_yearly!$D:$AM, 10, FALSE), 1)</f>
        <v>2.0445357881741892E-3</v>
      </c>
      <c r="Y13" s="7">
        <f>$B13 * IFERROR(VLOOKUP("transport|SO2|Non-fatal heart attacks", US_national_yearly!$D:$AM, 33, FALSE) / VLOOKUP("transport|SO2|Non-fatal heart attacks", US_national_yearly!$D:$AM, 10, FALSE), 1)</f>
        <v>2.052862150837091E-3</v>
      </c>
      <c r="Z13" s="7">
        <f>$B13 * IFERROR(VLOOKUP("transport|SO2|Non-fatal heart attacks", US_national_yearly!$D:$AM, 34, FALSE) / VLOOKUP("transport|SO2|Non-fatal heart attacks", US_national_yearly!$D:$AM, 10, FALSE), 1)</f>
        <v>2.0611885134999928E-3</v>
      </c>
      <c r="AA13" s="7">
        <f>$B13 * IFERROR(VLOOKUP("transport|SO2|Non-fatal heart attacks", US_national_yearly!$D:$AM, 35, FALSE) / VLOOKUP("transport|SO2|Non-fatal heart attacks", US_national_yearly!$D:$AM, 10, FALSE), 1)</f>
        <v>2.0695148761628946E-3</v>
      </c>
      <c r="AB13" s="7">
        <f>$B13 * IFERROR(VLOOKUP("transport|SO2|Non-fatal heart attacks", US_national_yearly!$D:$AM, 36, FALSE) / VLOOKUP("transport|SO2|Non-fatal heart attacks", US_national_yearly!$D:$AM, 10, FALSE), 1)</f>
        <v>2.0778412388257964E-3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0.3971972473485807</v>
      </c>
      <c r="C14" s="7">
        <f>$B14 * IFERROR(VLOOKUP("transport|SO2|Minor restricted activity days", US_national_yearly!$D:$AM, 11, FALSE) / VLOOKUP("transport|SO2|Minor restricted activity days", US_national_yearly!$D:$AM, 10, FALSE), 1)</f>
        <v>0.39819844926607317</v>
      </c>
      <c r="D14" s="7">
        <f>$B14 * IFERROR(VLOOKUP("transport|SO2|Minor restricted activity days", US_national_yearly!$D:$AM, 12, FALSE) / VLOOKUP("transport|SO2|Minor restricted activity days", US_national_yearly!$D:$AM, 10, FALSE), 1)</f>
        <v>0.39919965118356554</v>
      </c>
      <c r="E14" s="7">
        <f>$B14 * IFERROR(VLOOKUP("transport|SO2|Minor restricted activity days", US_national_yearly!$D:$AM, 13, FALSE) / VLOOKUP("transport|SO2|Minor restricted activity days", US_national_yearly!$D:$AM, 10, FALSE), 1)</f>
        <v>0.40020085310105802</v>
      </c>
      <c r="F14" s="7">
        <f>$B14 * IFERROR(VLOOKUP("transport|SO2|Minor restricted activity days", US_national_yearly!$D:$AM, 14, FALSE) / VLOOKUP("transport|SO2|Minor restricted activity days", US_national_yearly!$D:$AM, 10, FALSE), 1)</f>
        <v>0.40120205501855044</v>
      </c>
      <c r="G14" s="7">
        <f>$B14 * IFERROR(VLOOKUP("transport|SO2|Minor restricted activity days", US_national_yearly!$D:$AM, 15, FALSE) / VLOOKUP("transport|SO2|Minor restricted activity days", US_national_yearly!$D:$AM, 10, FALSE), 1)</f>
        <v>0.40267572588247369</v>
      </c>
      <c r="H14" s="7">
        <f>$B14 * IFERROR(VLOOKUP("transport|SO2|Minor restricted activity days", US_national_yearly!$D:$AM, 16, FALSE) / VLOOKUP("transport|SO2|Minor restricted activity days", US_national_yearly!$D:$AM, 10, FALSE), 1)</f>
        <v>0.40414939674639699</v>
      </c>
      <c r="I14" s="7">
        <f>$B14 * IFERROR(VLOOKUP("transport|SO2|Minor restricted activity days", US_national_yearly!$D:$AM, 17, FALSE) / VLOOKUP("transport|SO2|Minor restricted activity days", US_national_yearly!$D:$AM, 10, FALSE), 1)</f>
        <v>0.40666260504259977</v>
      </c>
      <c r="J14" s="7">
        <f>$B14 * IFERROR(VLOOKUP("transport|SO2|Minor restricted activity days", US_national_yearly!$D:$AM, 18, FALSE) / VLOOKUP("transport|SO2|Minor restricted activity days", US_national_yearly!$D:$AM, 10, FALSE), 1)</f>
        <v>0.40917581333880254</v>
      </c>
      <c r="K14" s="7">
        <f>$B14 * IFERROR(VLOOKUP("transport|SO2|Minor restricted activity days", US_national_yearly!$D:$AM, 19, FALSE) / VLOOKUP("transport|SO2|Minor restricted activity days", US_national_yearly!$D:$AM, 10, FALSE), 1)</f>
        <v>0.41168902163500543</v>
      </c>
      <c r="L14" s="7">
        <f>$B14 * IFERROR(VLOOKUP("transport|SO2|Minor restricted activity days", US_national_yearly!$D:$AM, 20, FALSE) / VLOOKUP("transport|SO2|Minor restricted activity days", US_national_yearly!$D:$AM, 10, FALSE), 1)</f>
        <v>0.4142022299312082</v>
      </c>
      <c r="M14" s="7">
        <f>$B14 * IFERROR(VLOOKUP("transport|SO2|Minor restricted activity days", US_national_yearly!$D:$AM, 21, FALSE) / VLOOKUP("transport|SO2|Minor restricted activity days", US_national_yearly!$D:$AM, 10, FALSE), 1)</f>
        <v>0.41671543822741103</v>
      </c>
      <c r="N14" s="7">
        <f>$B14 * IFERROR(VLOOKUP("transport|SO2|Minor restricted activity days", US_national_yearly!$D:$AM, 22, FALSE) / VLOOKUP("transport|SO2|Minor restricted activity days", US_national_yearly!$D:$AM, 10, FALSE), 1)</f>
        <v>0.42015310390978072</v>
      </c>
      <c r="O14" s="7">
        <f>$B14 * IFERROR(VLOOKUP("transport|SO2|Minor restricted activity days", US_national_yearly!$D:$AM, 23, FALSE) / VLOOKUP("transport|SO2|Minor restricted activity days", US_national_yearly!$D:$AM, 10, FALSE), 1)</f>
        <v>0.42359076959215042</v>
      </c>
      <c r="P14" s="7">
        <f>$B14 * IFERROR(VLOOKUP("transport|SO2|Minor restricted activity days", US_national_yearly!$D:$AM, 24, FALSE) / VLOOKUP("transport|SO2|Minor restricted activity days", US_national_yearly!$D:$AM, 10, FALSE), 1)</f>
        <v>0.42702843527452017</v>
      </c>
      <c r="Q14" s="7">
        <f>$B14 * IFERROR(VLOOKUP("transport|SO2|Minor restricted activity days", US_national_yearly!$D:$AM, 25, FALSE) / VLOOKUP("transport|SO2|Minor restricted activity days", US_national_yearly!$D:$AM, 10, FALSE), 1)</f>
        <v>0.43046610095688986</v>
      </c>
      <c r="R14" s="7">
        <f>$B14 * IFERROR(VLOOKUP("transport|SO2|Minor restricted activity days", US_national_yearly!$D:$AM, 26, FALSE) / VLOOKUP("transport|SO2|Minor restricted activity days", US_national_yearly!$D:$AM, 10, FALSE), 1)</f>
        <v>0.43390376663925961</v>
      </c>
      <c r="S14" s="7">
        <f>$B14 * IFERROR(VLOOKUP("transport|SO2|Minor restricted activity days", US_national_yearly!$D:$AM, 27, FALSE) / VLOOKUP("transport|SO2|Minor restricted activity days", US_national_yearly!$D:$AM, 10, FALSE), 1)</f>
        <v>0.43740880326026826</v>
      </c>
      <c r="T14" s="7">
        <f>$B14 * IFERROR(VLOOKUP("transport|SO2|Minor restricted activity days", US_national_yearly!$D:$AM, 28, FALSE) / VLOOKUP("transport|SO2|Minor restricted activity days", US_national_yearly!$D:$AM, 10, FALSE), 1)</f>
        <v>0.44091383988127697</v>
      </c>
      <c r="U14" s="7">
        <f>$B14 * IFERROR(VLOOKUP("transport|SO2|Minor restricted activity days", US_national_yearly!$D:$AM, 29, FALSE) / VLOOKUP("transport|SO2|Minor restricted activity days", US_national_yearly!$D:$AM, 10, FALSE), 1)</f>
        <v>0.44441887650228562</v>
      </c>
      <c r="V14" s="7">
        <f>$B14 * IFERROR(VLOOKUP("transport|SO2|Minor restricted activity days", US_national_yearly!$D:$AM, 30, FALSE) / VLOOKUP("transport|SO2|Minor restricted activity days", US_national_yearly!$D:$AM, 10, FALSE), 1)</f>
        <v>0.44792391312329433</v>
      </c>
      <c r="W14" s="7">
        <f>$B14 * IFERROR(VLOOKUP("transport|SO2|Minor restricted activity days", US_national_yearly!$D:$AM, 31, FALSE) / VLOOKUP("transport|SO2|Minor restricted activity days", US_national_yearly!$D:$AM, 10, FALSE), 1)</f>
        <v>0.45142894974430309</v>
      </c>
      <c r="X14" s="7">
        <f>$B14 * IFERROR(VLOOKUP("transport|SO2|Minor restricted activity days", US_national_yearly!$D:$AM, 32, FALSE) / VLOOKUP("transport|SO2|Minor restricted activity days", US_national_yearly!$D:$AM, 10, FALSE), 1)</f>
        <v>0.45451135014026045</v>
      </c>
      <c r="Y14" s="7">
        <f>$B14 * IFERROR(VLOOKUP("transport|SO2|Minor restricted activity days", US_national_yearly!$D:$AM, 33, FALSE) / VLOOKUP("transport|SO2|Minor restricted activity days", US_national_yearly!$D:$AM, 10, FALSE), 1)</f>
        <v>0.45759375053621776</v>
      </c>
      <c r="Z14" s="7">
        <f>$B14 * IFERROR(VLOOKUP("transport|SO2|Minor restricted activity days", US_national_yearly!$D:$AM, 34, FALSE) / VLOOKUP("transport|SO2|Minor restricted activity days", US_national_yearly!$D:$AM, 10, FALSE), 1)</f>
        <v>0.46067615093217518</v>
      </c>
      <c r="AA14" s="7">
        <f>$B14 * IFERROR(VLOOKUP("transport|SO2|Minor restricted activity days", US_national_yearly!$D:$AM, 35, FALSE) / VLOOKUP("transport|SO2|Minor restricted activity days", US_national_yearly!$D:$AM, 10, FALSE), 1)</f>
        <v>0.46375855132813254</v>
      </c>
      <c r="AB14" s="7">
        <f>$B14 * IFERROR(VLOOKUP("transport|SO2|Minor restricted activity days", US_national_yearly!$D:$AM, 36, FALSE) / VLOOKUP("transport|SO2|Minor restricted activity days", US_national_yearly!$D:$AM, 10, FALSE), 1)</f>
        <v>0.46684095172408996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6.6359405614606556E-2</v>
      </c>
      <c r="C15" s="7">
        <f>$B15 * IFERROR(VLOOKUP("transport|SO2|Work loss days", US_national_yearly!$D:$AM, 11, FALSE) / VLOOKUP("transport|SO2|Work loss days", US_national_yearly!$D:$AM, 10, FALSE), 1)</f>
        <v>6.6574399541903279E-2</v>
      </c>
      <c r="D15" s="7">
        <f>$B15 * IFERROR(VLOOKUP("transport|SO2|Work loss days", US_national_yearly!$D:$AM, 12, FALSE) / VLOOKUP("transport|SO2|Work loss days", US_national_yearly!$D:$AM, 10, FALSE), 1)</f>
        <v>6.6789393469200001E-2</v>
      </c>
      <c r="E15" s="7">
        <f>$B15 * IFERROR(VLOOKUP("transport|SO2|Work loss days", US_national_yearly!$D:$AM, 13, FALSE) / VLOOKUP("transport|SO2|Work loss days", US_national_yearly!$D:$AM, 10, FALSE), 1)</f>
        <v>6.7004387396496723E-2</v>
      </c>
      <c r="F15" s="7">
        <f>$B15 * IFERROR(VLOOKUP("transport|SO2|Work loss days", US_national_yearly!$D:$AM, 14, FALSE) / VLOOKUP("transport|SO2|Work loss days", US_national_yearly!$D:$AM, 10, FALSE), 1)</f>
        <v>6.7219381323793459E-2</v>
      </c>
      <c r="G15" s="7">
        <f>$B15 * IFERROR(VLOOKUP("transport|SO2|Work loss days", US_national_yearly!$D:$AM, 15, FALSE) / VLOOKUP("transport|SO2|Work loss days", US_national_yearly!$D:$AM, 10, FALSE), 1)</f>
        <v>6.7500297195995013E-2</v>
      </c>
      <c r="H15" s="7">
        <f>$B15 * IFERROR(VLOOKUP("transport|SO2|Work loss days", US_national_yearly!$D:$AM, 16, FALSE) / VLOOKUP("transport|SO2|Work loss days", US_national_yearly!$D:$AM, 10, FALSE), 1)</f>
        <v>6.7781213068196552E-2</v>
      </c>
      <c r="I15" s="7">
        <f>$B15 * IFERROR(VLOOKUP("transport|SO2|Work loss days", US_national_yearly!$D:$AM, 17, FALSE) / VLOOKUP("transport|SO2|Work loss days", US_national_yearly!$D:$AM, 10, FALSE), 1)</f>
        <v>6.8192155278992153E-2</v>
      </c>
      <c r="J15" s="7">
        <f>$B15 * IFERROR(VLOOKUP("transport|SO2|Work loss days", US_national_yearly!$D:$AM, 18, FALSE) / VLOOKUP("transport|SO2|Work loss days", US_national_yearly!$D:$AM, 10, FALSE), 1)</f>
        <v>6.860309748978774E-2</v>
      </c>
      <c r="K15" s="7">
        <f>$B15 * IFERROR(VLOOKUP("transport|SO2|Work loss days", US_national_yearly!$D:$AM, 19, FALSE) / VLOOKUP("transport|SO2|Work loss days", US_national_yearly!$D:$AM, 10, FALSE), 1)</f>
        <v>6.9014039700583354E-2</v>
      </c>
      <c r="L15" s="7">
        <f>$B15 * IFERROR(VLOOKUP("transport|SO2|Work loss days", US_national_yearly!$D:$AM, 20, FALSE) / VLOOKUP("transport|SO2|Work loss days", US_national_yearly!$D:$AM, 10, FALSE), 1)</f>
        <v>6.9424981911378955E-2</v>
      </c>
      <c r="M15" s="7">
        <f>$B15 * IFERROR(VLOOKUP("transport|SO2|Work loss days", US_national_yearly!$D:$AM, 21, FALSE) / VLOOKUP("transport|SO2|Work loss days", US_national_yearly!$D:$AM, 10, FALSE), 1)</f>
        <v>6.983592412217457E-2</v>
      </c>
      <c r="N15" s="7">
        <f>$B15 * IFERROR(VLOOKUP("transport|SO2|Work loss days", US_national_yearly!$D:$AM, 22, FALSE) / VLOOKUP("transport|SO2|Work loss days", US_national_yearly!$D:$AM, 10, FALSE), 1)</f>
        <v>7.0351179061089411E-2</v>
      </c>
      <c r="O15" s="7">
        <f>$B15 * IFERROR(VLOOKUP("transport|SO2|Work loss days", US_national_yearly!$D:$AM, 23, FALSE) / VLOOKUP("transport|SO2|Work loss days", US_national_yearly!$D:$AM, 10, FALSE), 1)</f>
        <v>7.0866434000004253E-2</v>
      </c>
      <c r="P15" s="7">
        <f>$B15 * IFERROR(VLOOKUP("transport|SO2|Work loss days", US_national_yearly!$D:$AM, 24, FALSE) / VLOOKUP("transport|SO2|Work loss days", US_national_yearly!$D:$AM, 10, FALSE), 1)</f>
        <v>7.138168893891908E-2</v>
      </c>
      <c r="Q15" s="7">
        <f>$B15 * IFERROR(VLOOKUP("transport|SO2|Work loss days", US_national_yearly!$D:$AM, 25, FALSE) / VLOOKUP("transport|SO2|Work loss days", US_national_yearly!$D:$AM, 10, FALSE), 1)</f>
        <v>7.1896943877833921E-2</v>
      </c>
      <c r="R15" s="7">
        <f>$B15 * IFERROR(VLOOKUP("transport|SO2|Work loss days", US_national_yearly!$D:$AM, 26, FALSE) / VLOOKUP("transport|SO2|Work loss days", US_national_yearly!$D:$AM, 10, FALSE), 1)</f>
        <v>7.2412198816748777E-2</v>
      </c>
      <c r="S15" s="7">
        <f>$B15 * IFERROR(VLOOKUP("transport|SO2|Work loss days", US_national_yearly!$D:$AM, 27, FALSE) / VLOOKUP("transport|SO2|Work loss days", US_national_yearly!$D:$AM, 10, FALSE), 1)</f>
        <v>7.2987994512212273E-2</v>
      </c>
      <c r="T15" s="7">
        <f>$B15 * IFERROR(VLOOKUP("transport|SO2|Work loss days", US_national_yearly!$D:$AM, 28, FALSE) / VLOOKUP("transport|SO2|Work loss days", US_national_yearly!$D:$AM, 10, FALSE), 1)</f>
        <v>7.3563790207675783E-2</v>
      </c>
      <c r="U15" s="7">
        <f>$B15 * IFERROR(VLOOKUP("transport|SO2|Work loss days", US_national_yearly!$D:$AM, 29, FALSE) / VLOOKUP("transport|SO2|Work loss days", US_national_yearly!$D:$AM, 10, FALSE), 1)</f>
        <v>7.413958590313928E-2</v>
      </c>
      <c r="V15" s="7">
        <f>$B15 * IFERROR(VLOOKUP("transport|SO2|Work loss days", US_national_yearly!$D:$AM, 30, FALSE) / VLOOKUP("transport|SO2|Work loss days", US_national_yearly!$D:$AM, 10, FALSE), 1)</f>
        <v>7.4715381598602776E-2</v>
      </c>
      <c r="W15" s="7">
        <f>$B15 * IFERROR(VLOOKUP("transport|SO2|Work loss days", US_national_yearly!$D:$AM, 31, FALSE) / VLOOKUP("transport|SO2|Work loss days", US_national_yearly!$D:$AM, 10, FALSE), 1)</f>
        <v>7.5291177294066286E-2</v>
      </c>
      <c r="X15" s="7">
        <f>$B15 * IFERROR(VLOOKUP("transport|SO2|Work loss days", US_national_yearly!$D:$AM, 32, FALSE) / VLOOKUP("transport|SO2|Work loss days", US_national_yearly!$D:$AM, 10, FALSE), 1)</f>
        <v>7.5808162462862705E-2</v>
      </c>
      <c r="Y15" s="7">
        <f>$B15 * IFERROR(VLOOKUP("transport|SO2|Work loss days", US_national_yearly!$D:$AM, 33, FALSE) / VLOOKUP("transport|SO2|Work loss days", US_national_yearly!$D:$AM, 10, FALSE), 1)</f>
        <v>7.6325147631659124E-2</v>
      </c>
      <c r="Z15" s="7">
        <f>$B15 * IFERROR(VLOOKUP("transport|SO2|Work loss days", US_national_yearly!$D:$AM, 34, FALSE) / VLOOKUP("transport|SO2|Work loss days", US_national_yearly!$D:$AM, 10, FALSE), 1)</f>
        <v>7.6842132800455556E-2</v>
      </c>
      <c r="AA15" s="7">
        <f>$B15 * IFERROR(VLOOKUP("transport|SO2|Work loss days", US_national_yearly!$D:$AM, 35, FALSE) / VLOOKUP("transport|SO2|Work loss days", US_national_yearly!$D:$AM, 10, FALSE), 1)</f>
        <v>7.7359117969251975E-2</v>
      </c>
      <c r="AB15" s="7">
        <f>$B15 * IFERROR(VLOOKUP("transport|SO2|Work loss days", US_national_yearly!$D:$AM, 36, FALSE) / VLOOKUP("transport|SO2|Work loss days", US_national_yearly!$D:$AM, 10, FALSE), 1)</f>
        <v>7.7876103138048408E-2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1.8203562392128219E-4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1.8754107827984316E-4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1.9304653263840413E-4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1.985519869969651E-4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2.040574413555261E-4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2.0933114314414171E-4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2.1460484493275738E-4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2.1912337821168102E-4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2.2364191149060463E-4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2.2816044476952827E-4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2.3267897804845188E-4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2.3719751132737546E-4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2.4023293641514887E-4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2.4326836150292223E-4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2.4630378659069559E-4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2.4933921167846898E-4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2.5237463676624236E-4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2.5397105423994307E-4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2.5556747171364373E-4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2.5716388918734445E-4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2.587603066610451E-4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2.6035672413474582E-4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2.6142845195837081E-4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2.6250017978199581E-4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2.635719076056208E-4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2.6464363542924585E-4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2.6571536325287079E-4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8.5270706305441112E-3</v>
      </c>
      <c r="C2" s="7">
        <f>$B2 * IFERROR(VLOOKUP("electricity|PM25|Premature mortality", US_national_yearly!$D:$AM, 11, FALSE) / VLOOKUP("electricity|PM25|Premature mortality", US_national_yearly!$D:$AM, 10, FALSE), 1)</f>
        <v>8.6326889545808444E-3</v>
      </c>
      <c r="D2" s="7">
        <f>$B2 * IFERROR(VLOOKUP("electricity|PM25|Premature mortality", US_national_yearly!$D:$AM, 12, FALSE) / VLOOKUP("electricity|PM25|Premature mortality", US_national_yearly!$D:$AM, 10, FALSE), 1)</f>
        <v>8.7383072786175794E-3</v>
      </c>
      <c r="E2" s="7">
        <f>$B2 * IFERROR(VLOOKUP("electricity|PM25|Premature mortality", US_national_yearly!$D:$AM, 13, FALSE) / VLOOKUP("electricity|PM25|Premature mortality", US_national_yearly!$D:$AM, 10, FALSE), 1)</f>
        <v>8.8439256026543126E-3</v>
      </c>
      <c r="F2" s="7">
        <f>$B2 * IFERROR(VLOOKUP("electricity|PM25|Premature mortality", US_national_yearly!$D:$AM, 14, FALSE) / VLOOKUP("electricity|PM25|Premature mortality", US_national_yearly!$D:$AM, 10, FALSE), 1)</f>
        <v>8.9495439266910476E-3</v>
      </c>
      <c r="G2" s="7">
        <f>$B2 * IFERROR(VLOOKUP("electricity|PM25|Premature mortality", US_national_yearly!$D:$AM, 15, FALSE) / VLOOKUP("electricity|PM25|Premature mortality", US_national_yearly!$D:$AM, 10, FALSE), 1)</f>
        <v>9.1569839320585801E-3</v>
      </c>
      <c r="H2" s="7">
        <f>$B2 * IFERROR(VLOOKUP("electricity|PM25|Premature mortality", US_national_yearly!$D:$AM, 16, FALSE) / VLOOKUP("electricity|PM25|Premature mortality", US_national_yearly!$D:$AM, 10, FALSE), 1)</f>
        <v>9.3644239374261161E-3</v>
      </c>
      <c r="I2" s="7">
        <f>$B2 * IFERROR(VLOOKUP("electricity|PM25|Premature mortality", US_national_yearly!$D:$AM, 17, FALSE) / VLOOKUP("electricity|PM25|Premature mortality", US_national_yearly!$D:$AM, 10, FALSE), 1)</f>
        <v>9.5038046391052924E-3</v>
      </c>
      <c r="J2" s="7">
        <f>$B2 * IFERROR(VLOOKUP("electricity|PM25|Premature mortality", US_national_yearly!$D:$AM, 18, FALSE) / VLOOKUP("electricity|PM25|Premature mortality", US_national_yearly!$D:$AM, 10, FALSE), 1)</f>
        <v>9.6431853407844721E-3</v>
      </c>
      <c r="K2" s="7">
        <f>$B2 * IFERROR(VLOOKUP("electricity|PM25|Premature mortality", US_national_yearly!$D:$AM, 19, FALSE) / VLOOKUP("electricity|PM25|Premature mortality", US_national_yearly!$D:$AM, 10, FALSE), 1)</f>
        <v>9.7825660424636501E-3</v>
      </c>
      <c r="L2" s="7">
        <f>$B2 * IFERROR(VLOOKUP("electricity|PM25|Premature mortality", US_national_yearly!$D:$AM, 20, FALSE) / VLOOKUP("electricity|PM25|Premature mortality", US_national_yearly!$D:$AM, 10, FALSE), 1)</f>
        <v>9.9219467441428299E-3</v>
      </c>
      <c r="M2" s="7">
        <f>$B2 * IFERROR(VLOOKUP("electricity|PM25|Premature mortality", US_national_yearly!$D:$AM, 21, FALSE) / VLOOKUP("electricity|PM25|Premature mortality", US_national_yearly!$D:$AM, 10, FALSE), 1)</f>
        <v>1.0061327445822008E-2</v>
      </c>
      <c r="N2" s="7">
        <f>$B2 * IFERROR(VLOOKUP("electricity|PM25|Premature mortality", US_national_yearly!$D:$AM, 22, FALSE) / VLOOKUP("electricity|PM25|Premature mortality", US_national_yearly!$D:$AM, 10, FALSE), 1)</f>
        <v>1.0172429645255616E-2</v>
      </c>
      <c r="O2" s="7">
        <f>$B2 * IFERROR(VLOOKUP("electricity|PM25|Premature mortality", US_national_yearly!$D:$AM, 23, FALSE) / VLOOKUP("electricity|PM25|Premature mortality", US_national_yearly!$D:$AM, 10, FALSE), 1)</f>
        <v>1.0283531844689222E-2</v>
      </c>
      <c r="P2" s="7">
        <f>$B2 * IFERROR(VLOOKUP("electricity|PM25|Premature mortality", US_national_yearly!$D:$AM, 24, FALSE) / VLOOKUP("electricity|PM25|Premature mortality", US_national_yearly!$D:$AM, 10, FALSE), 1)</f>
        <v>1.039463404412283E-2</v>
      </c>
      <c r="Q2" s="7">
        <f>$B2 * IFERROR(VLOOKUP("electricity|PM25|Premature mortality", US_national_yearly!$D:$AM, 25, FALSE) / VLOOKUP("electricity|PM25|Premature mortality", US_national_yearly!$D:$AM, 10, FALSE), 1)</f>
        <v>1.0505736243556435E-2</v>
      </c>
      <c r="R2" s="7">
        <f>$B2 * IFERROR(VLOOKUP("electricity|PM25|Premature mortality", US_national_yearly!$D:$AM, 26, FALSE) / VLOOKUP("electricity|PM25|Premature mortality", US_national_yearly!$D:$AM, 10, FALSE), 1)</f>
        <v>1.0616838442990044E-2</v>
      </c>
      <c r="S2" s="7">
        <f>$B2 * IFERROR(VLOOKUP("electricity|PM25|Premature mortality", US_national_yearly!$D:$AM, 27, FALSE) / VLOOKUP("electricity|PM25|Premature mortality", US_national_yearly!$D:$AM, 10, FALSE), 1)</f>
        <v>1.0680411716985761E-2</v>
      </c>
      <c r="T2" s="7">
        <f>$B2 * IFERROR(VLOOKUP("electricity|PM25|Premature mortality", US_national_yearly!$D:$AM, 28, FALSE) / VLOOKUP("electricity|PM25|Premature mortality", US_national_yearly!$D:$AM, 10, FALSE), 1)</f>
        <v>1.0743984990981477E-2</v>
      </c>
      <c r="U2" s="7">
        <f>$B2 * IFERROR(VLOOKUP("electricity|PM25|Premature mortality", US_national_yearly!$D:$AM, 29, FALSE) / VLOOKUP("electricity|PM25|Premature mortality", US_national_yearly!$D:$AM, 10, FALSE), 1)</f>
        <v>1.0807558264977198E-2</v>
      </c>
      <c r="V2" s="7">
        <f>$B2 * IFERROR(VLOOKUP("electricity|PM25|Premature mortality", US_national_yearly!$D:$AM, 30, FALSE) / VLOOKUP("electricity|PM25|Premature mortality", US_national_yearly!$D:$AM, 10, FALSE), 1)</f>
        <v>1.0871131538972914E-2</v>
      </c>
      <c r="W2" s="7">
        <f>$B2 * IFERROR(VLOOKUP("electricity|PM25|Premature mortality", US_national_yearly!$D:$AM, 31, FALSE) / VLOOKUP("electricity|PM25|Premature mortality", US_national_yearly!$D:$AM, 10, FALSE), 1)</f>
        <v>1.0934704812968633E-2</v>
      </c>
      <c r="X2" s="7">
        <f>$B2 * IFERROR(VLOOKUP("electricity|PM25|Premature mortality", US_national_yearly!$D:$AM, 32, FALSE) / VLOOKUP("electricity|PM25|Premature mortality", US_national_yearly!$D:$AM, 10, FALSE), 1)</f>
        <v>1.0952365057445745E-2</v>
      </c>
      <c r="Y2" s="7">
        <f>$B2 * IFERROR(VLOOKUP("electricity|PM25|Premature mortality", US_national_yearly!$D:$AM, 33, FALSE) / VLOOKUP("electricity|PM25|Premature mortality", US_national_yearly!$D:$AM, 10, FALSE), 1)</f>
        <v>1.0970025301922856E-2</v>
      </c>
      <c r="Z2" s="7">
        <f>$B2 * IFERROR(VLOOKUP("electricity|PM25|Premature mortality", US_national_yearly!$D:$AM, 34, FALSE) / VLOOKUP("electricity|PM25|Premature mortality", US_national_yearly!$D:$AM, 10, FALSE), 1)</f>
        <v>1.0987685546399969E-2</v>
      </c>
      <c r="AA2" s="7">
        <f>$B2 * IFERROR(VLOOKUP("electricity|PM25|Premature mortality", US_national_yearly!$D:$AM, 35, FALSE) / VLOOKUP("electricity|PM25|Premature mortality", US_national_yearly!$D:$AM, 10, FALSE), 1)</f>
        <v>1.1005345790877082E-2</v>
      </c>
      <c r="AB2" s="7">
        <f>$B2 * IFERROR(VLOOKUP("electricity|PM25|Premature mortality", US_national_yearly!$D:$AM, 36, FALSE) / VLOOKUP("electricity|PM25|Premature mortality", US_national_yearly!$D:$AM, 10, FALSE), 1)</f>
        <v>1.1023006035354194E-2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1.3913921716497414E-5</v>
      </c>
      <c r="C3" s="7">
        <f>$B3 * IFERROR(VLOOKUP("electricity|PM25|Infant mortality", US_national_yearly!$D:$AM, 11, FALSE) / VLOOKUP("electricity|PM25|Infant mortality", US_national_yearly!$D:$AM, 10, FALSE), 1)</f>
        <v>1.3792689751629227E-5</v>
      </c>
      <c r="D3" s="7">
        <f>$B3 * IFERROR(VLOOKUP("electricity|PM25|Infant mortality", US_national_yearly!$D:$AM, 12, FALSE) / VLOOKUP("electricity|PM25|Infant mortality", US_national_yearly!$D:$AM, 10, FALSE), 1)</f>
        <v>1.3671457786761041E-5</v>
      </c>
      <c r="E3" s="7">
        <f>$B3 * IFERROR(VLOOKUP("electricity|PM25|Infant mortality", US_national_yearly!$D:$AM, 13, FALSE) / VLOOKUP("electricity|PM25|Infant mortality", US_national_yearly!$D:$AM, 10, FALSE), 1)</f>
        <v>1.3550225821892853E-5</v>
      </c>
      <c r="F3" s="7">
        <f>$B3 * IFERROR(VLOOKUP("electricity|PM25|Infant mortality", US_national_yearly!$D:$AM, 14, FALSE) / VLOOKUP("electricity|PM25|Infant mortality", US_national_yearly!$D:$AM, 10, FALSE), 1)</f>
        <v>1.3428993857024665E-5</v>
      </c>
      <c r="G3" s="7">
        <f>$B3 * IFERROR(VLOOKUP("electricity|PM25|Infant mortality", US_national_yearly!$D:$AM, 15, FALSE) / VLOOKUP("electricity|PM25|Infant mortality", US_national_yearly!$D:$AM, 10, FALSE), 1)</f>
        <v>8.9056901655159836E-6</v>
      </c>
      <c r="H3" s="7">
        <f>$B3 * IFERROR(VLOOKUP("electricity|PM25|Infant mortality", US_national_yearly!$D:$AM, 16, FALSE) / VLOOKUP("electricity|PM25|Infant mortality", US_national_yearly!$D:$AM, 10, FALSE), 1)</f>
        <v>4.3823864740073002E-6</v>
      </c>
      <c r="I3" s="7">
        <f>$B3 * IFERROR(VLOOKUP("electricity|PM25|Infant mortality", US_national_yearly!$D:$AM, 17, FALSE) / VLOOKUP("electricity|PM25|Infant mortality", US_national_yearly!$D:$AM, 10, FALSE), 1)</f>
        <v>4.3514448173846764E-6</v>
      </c>
      <c r="J3" s="7">
        <f>$B3 * IFERROR(VLOOKUP("electricity|PM25|Infant mortality", US_national_yearly!$D:$AM, 18, FALSE) / VLOOKUP("electricity|PM25|Infant mortality", US_national_yearly!$D:$AM, 10, FALSE), 1)</f>
        <v>4.3205031607620544E-6</v>
      </c>
      <c r="K3" s="7">
        <f>$B3 * IFERROR(VLOOKUP("electricity|PM25|Infant mortality", US_national_yearly!$D:$AM, 19, FALSE) / VLOOKUP("electricity|PM25|Infant mortality", US_national_yearly!$D:$AM, 10, FALSE), 1)</f>
        <v>4.2895615041394298E-6</v>
      </c>
      <c r="L3" s="7">
        <f>$B3 * IFERROR(VLOOKUP("electricity|PM25|Infant mortality", US_national_yearly!$D:$AM, 20, FALSE) / VLOOKUP("electricity|PM25|Infant mortality", US_national_yearly!$D:$AM, 10, FALSE), 1)</f>
        <v>4.2586198475168069E-6</v>
      </c>
      <c r="M3" s="7">
        <f>$B3 * IFERROR(VLOOKUP("electricity|PM25|Infant mortality", US_national_yearly!$D:$AM, 21, FALSE) / VLOOKUP("electricity|PM25|Infant mortality", US_national_yearly!$D:$AM, 10, FALSE), 1)</f>
        <v>4.227678190894184E-6</v>
      </c>
      <c r="N3" s="7">
        <f>$B3 * IFERROR(VLOOKUP("electricity|PM25|Infant mortality", US_national_yearly!$D:$AM, 22, FALSE) / VLOOKUP("electricity|PM25|Infant mortality", US_national_yearly!$D:$AM, 10, FALSE), 1)</f>
        <v>4.2077785976334383E-6</v>
      </c>
      <c r="O3" s="7">
        <f>$B3 * IFERROR(VLOOKUP("electricity|PM25|Infant mortality", US_national_yearly!$D:$AM, 23, FALSE) / VLOOKUP("electricity|PM25|Infant mortality", US_national_yearly!$D:$AM, 10, FALSE), 1)</f>
        <v>4.1878790043726935E-6</v>
      </c>
      <c r="P3" s="7">
        <f>$B3 * IFERROR(VLOOKUP("electricity|PM25|Infant mortality", US_national_yearly!$D:$AM, 24, FALSE) / VLOOKUP("electricity|PM25|Infant mortality", US_national_yearly!$D:$AM, 10, FALSE), 1)</f>
        <v>4.1679794111119478E-6</v>
      </c>
      <c r="Q3" s="7">
        <f>$B3 * IFERROR(VLOOKUP("electricity|PM25|Infant mortality", US_national_yearly!$D:$AM, 25, FALSE) / VLOOKUP("electricity|PM25|Infant mortality", US_national_yearly!$D:$AM, 10, FALSE), 1)</f>
        <v>4.148079817851203E-6</v>
      </c>
      <c r="R3" s="7">
        <f>$B3 * IFERROR(VLOOKUP("electricity|PM25|Infant mortality", US_national_yearly!$D:$AM, 26, FALSE) / VLOOKUP("electricity|PM25|Infant mortality", US_national_yearly!$D:$AM, 10, FALSE), 1)</f>
        <v>4.1281802245904573E-6</v>
      </c>
      <c r="S3" s="7">
        <f>$B3 * IFERROR(VLOOKUP("electricity|PM25|Infant mortality", US_national_yearly!$D:$AM, 27, FALSE) / VLOOKUP("electricity|PM25|Infant mortality", US_national_yearly!$D:$AM, 10, FALSE), 1)</f>
        <v>4.1043400671774826E-6</v>
      </c>
      <c r="T3" s="7">
        <f>$B3 * IFERROR(VLOOKUP("electricity|PM25|Infant mortality", US_national_yearly!$D:$AM, 28, FALSE) / VLOOKUP("electricity|PM25|Infant mortality", US_national_yearly!$D:$AM, 10, FALSE), 1)</f>
        <v>4.0804999097645079E-6</v>
      </c>
      <c r="U3" s="7">
        <f>$B3 * IFERROR(VLOOKUP("electricity|PM25|Infant mortality", US_national_yearly!$D:$AM, 29, FALSE) / VLOOKUP("electricity|PM25|Infant mortality", US_national_yearly!$D:$AM, 10, FALSE), 1)</f>
        <v>4.0566597523515341E-6</v>
      </c>
      <c r="V3" s="7">
        <f>$B3 * IFERROR(VLOOKUP("electricity|PM25|Infant mortality", US_national_yearly!$D:$AM, 30, FALSE) / VLOOKUP("electricity|PM25|Infant mortality", US_national_yearly!$D:$AM, 10, FALSE), 1)</f>
        <v>4.0328195949385602E-6</v>
      </c>
      <c r="W3" s="7">
        <f>$B3 * IFERROR(VLOOKUP("electricity|PM25|Infant mortality", US_national_yearly!$D:$AM, 31, FALSE) / VLOOKUP("electricity|PM25|Infant mortality", US_national_yearly!$D:$AM, 10, FALSE), 1)</f>
        <v>4.0089794375255856E-6</v>
      </c>
      <c r="X3" s="7">
        <f>$B3 * IFERROR(VLOOKUP("electricity|PM25|Infant mortality", US_national_yearly!$D:$AM, 32, FALSE) / VLOOKUP("electricity|PM25|Infant mortality", US_national_yearly!$D:$AM, 10, FALSE), 1)</f>
        <v>3.984343611418984E-6</v>
      </c>
      <c r="Y3" s="7">
        <f>$B3 * IFERROR(VLOOKUP("electricity|PM25|Infant mortality", US_national_yearly!$D:$AM, 33, FALSE) / VLOOKUP("electricity|PM25|Infant mortality", US_national_yearly!$D:$AM, 10, FALSE), 1)</f>
        <v>3.9597077853123834E-6</v>
      </c>
      <c r="Z3" s="7">
        <f>$B3 * IFERROR(VLOOKUP("electricity|PM25|Infant mortality", US_national_yearly!$D:$AM, 34, FALSE) / VLOOKUP("electricity|PM25|Infant mortality", US_national_yearly!$D:$AM, 10, FALSE), 1)</f>
        <v>3.9350719592057818E-6</v>
      </c>
      <c r="AA3" s="7">
        <f>$B3 * IFERROR(VLOOKUP("electricity|PM25|Infant mortality", US_national_yearly!$D:$AM, 35, FALSE) / VLOOKUP("electricity|PM25|Infant mortality", US_national_yearly!$D:$AM, 10, FALSE), 1)</f>
        <v>3.9104361330991812E-6</v>
      </c>
      <c r="AB3" s="7">
        <f>$B3 * IFERROR(VLOOKUP("electricity|PM25|Infant mortality", US_national_yearly!$D:$AM, 36, FALSE) / VLOOKUP("electricity|PM25|Infant mortality", US_national_yearly!$D:$AM, 10, FALSE), 1)</f>
        <v>3.8858003069925796E-6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1.5299460574490456E-2</v>
      </c>
      <c r="C6" s="7">
        <f>$B6 * IFERROR(VLOOKUP("electricity|PM25|Asthma symptoms cough", US_national_yearly!$D:$AM, 11, FALSE) / VLOOKUP("electricity|PM25|Asthma symptoms cough", US_national_yearly!$D:$AM, 10, FALSE), 1)</f>
        <v>1.5299460574490456E-2</v>
      </c>
      <c r="D6" s="7">
        <f>$B6 * IFERROR(VLOOKUP("electricity|PM25|Asthma symptoms cough", US_national_yearly!$D:$AM, 12, FALSE) / VLOOKUP("electricity|PM25|Asthma symptoms cough", US_national_yearly!$D:$AM, 10, FALSE), 1)</f>
        <v>1.5299460574490456E-2</v>
      </c>
      <c r="E6" s="7">
        <f>$B6 * IFERROR(VLOOKUP("electricity|PM25|Asthma symptoms cough", US_national_yearly!$D:$AM, 13, FALSE) / VLOOKUP("electricity|PM25|Asthma symptoms cough", US_national_yearly!$D:$AM, 10, FALSE), 1)</f>
        <v>1.5299460574490456E-2</v>
      </c>
      <c r="F6" s="7">
        <f>$B6 * IFERROR(VLOOKUP("electricity|PM25|Asthma symptoms cough", US_national_yearly!$D:$AM, 14, FALSE) / VLOOKUP("electricity|PM25|Asthma symptoms cough", US_national_yearly!$D:$AM, 10, FALSE), 1)</f>
        <v>1.5299460574490456E-2</v>
      </c>
      <c r="G6" s="7">
        <f>$B6 * IFERROR(VLOOKUP("electricity|PM25|Asthma symptoms cough", US_national_yearly!$D:$AM, 15, FALSE) / VLOOKUP("electricity|PM25|Asthma symptoms cough", US_national_yearly!$D:$AM, 10, FALSE), 1)</f>
        <v>1.5299460574490456E-2</v>
      </c>
      <c r="H6" s="7">
        <f>$B6 * IFERROR(VLOOKUP("electricity|PM25|Asthma symptoms cough", US_national_yearly!$D:$AM, 16, FALSE) / VLOOKUP("electricity|PM25|Asthma symptoms cough", US_national_yearly!$D:$AM, 10, FALSE), 1)</f>
        <v>1.5299460574490456E-2</v>
      </c>
      <c r="I6" s="7">
        <f>$B6 * IFERROR(VLOOKUP("electricity|PM25|Asthma symptoms cough", US_national_yearly!$D:$AM, 17, FALSE) / VLOOKUP("electricity|PM25|Asthma symptoms cough", US_national_yearly!$D:$AM, 10, FALSE), 1)</f>
        <v>1.5299460574490456E-2</v>
      </c>
      <c r="J6" s="7">
        <f>$B6 * IFERROR(VLOOKUP("electricity|PM25|Asthma symptoms cough", US_national_yearly!$D:$AM, 18, FALSE) / VLOOKUP("electricity|PM25|Asthma symptoms cough", US_national_yearly!$D:$AM, 10, FALSE), 1)</f>
        <v>1.5299460574490456E-2</v>
      </c>
      <c r="K6" s="7">
        <f>$B6 * IFERROR(VLOOKUP("electricity|PM25|Asthma symptoms cough", US_national_yearly!$D:$AM, 19, FALSE) / VLOOKUP("electricity|PM25|Asthma symptoms cough", US_national_yearly!$D:$AM, 10, FALSE), 1)</f>
        <v>1.5299460574490456E-2</v>
      </c>
      <c r="L6" s="7">
        <f>$B6 * IFERROR(VLOOKUP("electricity|PM25|Asthma symptoms cough", US_national_yearly!$D:$AM, 20, FALSE) / VLOOKUP("electricity|PM25|Asthma symptoms cough", US_national_yearly!$D:$AM, 10, FALSE), 1)</f>
        <v>1.5299460574490456E-2</v>
      </c>
      <c r="M6" s="7">
        <f>$B6 * IFERROR(VLOOKUP("electricity|PM25|Asthma symptoms cough", US_national_yearly!$D:$AM, 21, FALSE) / VLOOKUP("electricity|PM25|Asthma symptoms cough", US_national_yearly!$D:$AM, 10, FALSE), 1)</f>
        <v>1.5299460574490456E-2</v>
      </c>
      <c r="N6" s="7">
        <f>$B6 * IFERROR(VLOOKUP("electricity|PM25|Asthma symptoms cough", US_national_yearly!$D:$AM, 22, FALSE) / VLOOKUP("electricity|PM25|Asthma symptoms cough", US_national_yearly!$D:$AM, 10, FALSE), 1)</f>
        <v>1.5299460574490456E-2</v>
      </c>
      <c r="O6" s="7">
        <f>$B6 * IFERROR(VLOOKUP("electricity|PM25|Asthma symptoms cough", US_national_yearly!$D:$AM, 23, FALSE) / VLOOKUP("electricity|PM25|Asthma symptoms cough", US_national_yearly!$D:$AM, 10, FALSE), 1)</f>
        <v>1.5299460574490456E-2</v>
      </c>
      <c r="P6" s="7">
        <f>$B6 * IFERROR(VLOOKUP("electricity|PM25|Asthma symptoms cough", US_national_yearly!$D:$AM, 24, FALSE) / VLOOKUP("electricity|PM25|Asthma symptoms cough", US_national_yearly!$D:$AM, 10, FALSE), 1)</f>
        <v>1.5299460574490456E-2</v>
      </c>
      <c r="Q6" s="7">
        <f>$B6 * IFERROR(VLOOKUP("electricity|PM25|Asthma symptoms cough", US_national_yearly!$D:$AM, 25, FALSE) / VLOOKUP("electricity|PM25|Asthma symptoms cough", US_national_yearly!$D:$AM, 10, FALSE), 1)</f>
        <v>1.5299460574490456E-2</v>
      </c>
      <c r="R6" s="7">
        <f>$B6 * IFERROR(VLOOKUP("electricity|PM25|Asthma symptoms cough", US_national_yearly!$D:$AM, 26, FALSE) / VLOOKUP("electricity|PM25|Asthma symptoms cough", US_national_yearly!$D:$AM, 10, FALSE), 1)</f>
        <v>1.5299460574490456E-2</v>
      </c>
      <c r="S6" s="7">
        <f>$B6 * IFERROR(VLOOKUP("electricity|PM25|Asthma symptoms cough", US_national_yearly!$D:$AM, 27, FALSE) / VLOOKUP("electricity|PM25|Asthma symptoms cough", US_national_yearly!$D:$AM, 10, FALSE), 1)</f>
        <v>1.5299460574490456E-2</v>
      </c>
      <c r="T6" s="7">
        <f>$B6 * IFERROR(VLOOKUP("electricity|PM25|Asthma symptoms cough", US_national_yearly!$D:$AM, 28, FALSE) / VLOOKUP("electricity|PM25|Asthma symptoms cough", US_national_yearly!$D:$AM, 10, FALSE), 1)</f>
        <v>1.5299460574490456E-2</v>
      </c>
      <c r="U6" s="7">
        <f>$B6 * IFERROR(VLOOKUP("electricity|PM25|Asthma symptoms cough", US_national_yearly!$D:$AM, 29, FALSE) / VLOOKUP("electricity|PM25|Asthma symptoms cough", US_national_yearly!$D:$AM, 10, FALSE), 1)</f>
        <v>1.5299460574490456E-2</v>
      </c>
      <c r="V6" s="7">
        <f>$B6 * IFERROR(VLOOKUP("electricity|PM25|Asthma symptoms cough", US_national_yearly!$D:$AM, 30, FALSE) / VLOOKUP("electricity|PM25|Asthma symptoms cough", US_national_yearly!$D:$AM, 10, FALSE), 1)</f>
        <v>1.5299460574490456E-2</v>
      </c>
      <c r="W6" s="7">
        <f>$B6 * IFERROR(VLOOKUP("electricity|PM25|Asthma symptoms cough", US_national_yearly!$D:$AM, 31, FALSE) / VLOOKUP("electricity|PM25|Asthma symptoms cough", US_national_yearly!$D:$AM, 10, FALSE), 1)</f>
        <v>1.5299460574490456E-2</v>
      </c>
      <c r="X6" s="7">
        <f>$B6 * IFERROR(VLOOKUP("electricity|PM25|Asthma symptoms cough", US_national_yearly!$D:$AM, 32, FALSE) / VLOOKUP("electricity|PM25|Asthma symptoms cough", US_national_yearly!$D:$AM, 10, FALSE), 1)</f>
        <v>1.5299460574490456E-2</v>
      </c>
      <c r="Y6" s="7">
        <f>$B6 * IFERROR(VLOOKUP("electricity|PM25|Asthma symptoms cough", US_national_yearly!$D:$AM, 33, FALSE) / VLOOKUP("electricity|PM25|Asthma symptoms cough", US_national_yearly!$D:$AM, 10, FALSE), 1)</f>
        <v>1.5299460574490456E-2</v>
      </c>
      <c r="Z6" s="7">
        <f>$B6 * IFERROR(VLOOKUP("electricity|PM25|Asthma symptoms cough", US_national_yearly!$D:$AM, 34, FALSE) / VLOOKUP("electricity|PM25|Asthma symptoms cough", US_national_yearly!$D:$AM, 10, FALSE), 1)</f>
        <v>1.5299460574490456E-2</v>
      </c>
      <c r="AA6" s="7">
        <f>$B6 * IFERROR(VLOOKUP("electricity|PM25|Asthma symptoms cough", US_national_yearly!$D:$AM, 35, FALSE) / VLOOKUP("electricity|PM25|Asthma symptoms cough", US_national_yearly!$D:$AM, 10, FALSE), 1)</f>
        <v>1.5299460574490456E-2</v>
      </c>
      <c r="AB6" s="7">
        <f>$B6 * IFERROR(VLOOKUP("electricity|PM25|Asthma symptoms cough", US_national_yearly!$D:$AM, 36, FALSE) / VLOOKUP("electricity|PM25|Asthma symptoms cough", US_national_yearly!$D:$AM, 10, FALSE), 1)</f>
        <v>1.5299460574490456E-2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2.0602950521398107E-2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2.0602950521398107E-2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2.0602950521398107E-2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2.0602950521398107E-2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2.0602950521398107E-2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2.0602950521398107E-2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2.0602950521398107E-2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2.0602950521398107E-2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2.0602950521398107E-2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2.0602950521398107E-2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2.0602950521398107E-2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2.0602950521398107E-2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2.0602950521398107E-2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2.0602950521398107E-2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2.0602950521398107E-2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2.0602950521398107E-2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2.0602950521398107E-2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2.0602950521398107E-2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2.0602950521398107E-2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2.0602950521398107E-2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2.0602950521398107E-2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2.0602950521398107E-2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2.0602950521398107E-2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2.0602950521398107E-2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2.0602950521398107E-2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2.0602950521398107E-2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2.0602950521398107E-2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3.147779249467008E-2</v>
      </c>
      <c r="C8" s="7">
        <f>$B8 * IFERROR(VLOOKUP("electricity|PM25|Asthma symptoms wheeze", US_national_yearly!$D:$AM, 11, FALSE) / VLOOKUP("electricity|PM25|Asthma symptoms wheeze", US_national_yearly!$D:$AM, 10, FALSE), 1)</f>
        <v>3.147779249467008E-2</v>
      </c>
      <c r="D8" s="7">
        <f>$B8 * IFERROR(VLOOKUP("electricity|PM25|Asthma symptoms wheeze", US_national_yearly!$D:$AM, 12, FALSE) / VLOOKUP("electricity|PM25|Asthma symptoms wheeze", US_national_yearly!$D:$AM, 10, FALSE), 1)</f>
        <v>3.147779249467008E-2</v>
      </c>
      <c r="E8" s="7">
        <f>$B8 * IFERROR(VLOOKUP("electricity|PM25|Asthma symptoms wheeze", US_national_yearly!$D:$AM, 13, FALSE) / VLOOKUP("electricity|PM25|Asthma symptoms wheeze", US_national_yearly!$D:$AM, 10, FALSE), 1)</f>
        <v>3.147779249467008E-2</v>
      </c>
      <c r="F8" s="7">
        <f>$B8 * IFERROR(VLOOKUP("electricity|PM25|Asthma symptoms wheeze", US_national_yearly!$D:$AM, 14, FALSE) / VLOOKUP("electricity|PM25|Asthma symptoms wheeze", US_national_yearly!$D:$AM, 10, FALSE), 1)</f>
        <v>3.147779249467008E-2</v>
      </c>
      <c r="G8" s="7">
        <f>$B8 * IFERROR(VLOOKUP("electricity|PM25|Asthma symptoms wheeze", US_national_yearly!$D:$AM, 15, FALSE) / VLOOKUP("electricity|PM25|Asthma symptoms wheeze", US_national_yearly!$D:$AM, 10, FALSE), 1)</f>
        <v>3.147779249467008E-2</v>
      </c>
      <c r="H8" s="7">
        <f>$B8 * IFERROR(VLOOKUP("electricity|PM25|Asthma symptoms wheeze", US_national_yearly!$D:$AM, 16, FALSE) / VLOOKUP("electricity|PM25|Asthma symptoms wheeze", US_national_yearly!$D:$AM, 10, FALSE), 1)</f>
        <v>3.147779249467008E-2</v>
      </c>
      <c r="I8" s="7">
        <f>$B8 * IFERROR(VLOOKUP("electricity|PM25|Asthma symptoms wheeze", US_national_yearly!$D:$AM, 17, FALSE) / VLOOKUP("electricity|PM25|Asthma symptoms wheeze", US_national_yearly!$D:$AM, 10, FALSE), 1)</f>
        <v>3.147779249467008E-2</v>
      </c>
      <c r="J8" s="7">
        <f>$B8 * IFERROR(VLOOKUP("electricity|PM25|Asthma symptoms wheeze", US_national_yearly!$D:$AM, 18, FALSE) / VLOOKUP("electricity|PM25|Asthma symptoms wheeze", US_national_yearly!$D:$AM, 10, FALSE), 1)</f>
        <v>3.147779249467008E-2</v>
      </c>
      <c r="K8" s="7">
        <f>$B8 * IFERROR(VLOOKUP("electricity|PM25|Asthma symptoms wheeze", US_national_yearly!$D:$AM, 19, FALSE) / VLOOKUP("electricity|PM25|Asthma symptoms wheeze", US_national_yearly!$D:$AM, 10, FALSE), 1)</f>
        <v>3.147779249467008E-2</v>
      </c>
      <c r="L8" s="7">
        <f>$B8 * IFERROR(VLOOKUP("electricity|PM25|Asthma symptoms wheeze", US_national_yearly!$D:$AM, 20, FALSE) / VLOOKUP("electricity|PM25|Asthma symptoms wheeze", US_national_yearly!$D:$AM, 10, FALSE), 1)</f>
        <v>3.147779249467008E-2</v>
      </c>
      <c r="M8" s="7">
        <f>$B8 * IFERROR(VLOOKUP("electricity|PM25|Asthma symptoms wheeze", US_national_yearly!$D:$AM, 21, FALSE) / VLOOKUP("electricity|PM25|Asthma symptoms wheeze", US_national_yearly!$D:$AM, 10, FALSE), 1)</f>
        <v>3.147779249467008E-2</v>
      </c>
      <c r="N8" s="7">
        <f>$B8 * IFERROR(VLOOKUP("electricity|PM25|Asthma symptoms wheeze", US_national_yearly!$D:$AM, 22, FALSE) / VLOOKUP("electricity|PM25|Asthma symptoms wheeze", US_national_yearly!$D:$AM, 10, FALSE), 1)</f>
        <v>3.147779249467008E-2</v>
      </c>
      <c r="O8" s="7">
        <f>$B8 * IFERROR(VLOOKUP("electricity|PM25|Asthma symptoms wheeze", US_national_yearly!$D:$AM, 23, FALSE) / VLOOKUP("electricity|PM25|Asthma symptoms wheeze", US_national_yearly!$D:$AM, 10, FALSE), 1)</f>
        <v>3.147779249467008E-2</v>
      </c>
      <c r="P8" s="7">
        <f>$B8 * IFERROR(VLOOKUP("electricity|PM25|Asthma symptoms wheeze", US_national_yearly!$D:$AM, 24, FALSE) / VLOOKUP("electricity|PM25|Asthma symptoms wheeze", US_national_yearly!$D:$AM, 10, FALSE), 1)</f>
        <v>3.147779249467008E-2</v>
      </c>
      <c r="Q8" s="7">
        <f>$B8 * IFERROR(VLOOKUP("electricity|PM25|Asthma symptoms wheeze", US_national_yearly!$D:$AM, 25, FALSE) / VLOOKUP("electricity|PM25|Asthma symptoms wheeze", US_national_yearly!$D:$AM, 10, FALSE), 1)</f>
        <v>3.147779249467008E-2</v>
      </c>
      <c r="R8" s="7">
        <f>$B8 * IFERROR(VLOOKUP("electricity|PM25|Asthma symptoms wheeze", US_national_yearly!$D:$AM, 26, FALSE) / VLOOKUP("electricity|PM25|Asthma symptoms wheeze", US_national_yearly!$D:$AM, 10, FALSE), 1)</f>
        <v>3.147779249467008E-2</v>
      </c>
      <c r="S8" s="7">
        <f>$B8 * IFERROR(VLOOKUP("electricity|PM25|Asthma symptoms wheeze", US_national_yearly!$D:$AM, 27, FALSE) / VLOOKUP("electricity|PM25|Asthma symptoms wheeze", US_national_yearly!$D:$AM, 10, FALSE), 1)</f>
        <v>3.147779249467008E-2</v>
      </c>
      <c r="T8" s="7">
        <f>$B8 * IFERROR(VLOOKUP("electricity|PM25|Asthma symptoms wheeze", US_national_yearly!$D:$AM, 28, FALSE) / VLOOKUP("electricity|PM25|Asthma symptoms wheeze", US_national_yearly!$D:$AM, 10, FALSE), 1)</f>
        <v>3.147779249467008E-2</v>
      </c>
      <c r="U8" s="7">
        <f>$B8 * IFERROR(VLOOKUP("electricity|PM25|Asthma symptoms wheeze", US_national_yearly!$D:$AM, 29, FALSE) / VLOOKUP("electricity|PM25|Asthma symptoms wheeze", US_national_yearly!$D:$AM, 10, FALSE), 1)</f>
        <v>3.147779249467008E-2</v>
      </c>
      <c r="V8" s="7">
        <f>$B8 * IFERROR(VLOOKUP("electricity|PM25|Asthma symptoms wheeze", US_national_yearly!$D:$AM, 30, FALSE) / VLOOKUP("electricity|PM25|Asthma symptoms wheeze", US_national_yearly!$D:$AM, 10, FALSE), 1)</f>
        <v>3.147779249467008E-2</v>
      </c>
      <c r="W8" s="7">
        <f>$B8 * IFERROR(VLOOKUP("electricity|PM25|Asthma symptoms wheeze", US_national_yearly!$D:$AM, 31, FALSE) / VLOOKUP("electricity|PM25|Asthma symptoms wheeze", US_national_yearly!$D:$AM, 10, FALSE), 1)</f>
        <v>3.147779249467008E-2</v>
      </c>
      <c r="X8" s="7">
        <f>$B8 * IFERROR(VLOOKUP("electricity|PM25|Asthma symptoms wheeze", US_national_yearly!$D:$AM, 32, FALSE) / VLOOKUP("electricity|PM25|Asthma symptoms wheeze", US_national_yearly!$D:$AM, 10, FALSE), 1)</f>
        <v>3.147779249467008E-2</v>
      </c>
      <c r="Y8" s="7">
        <f>$B8 * IFERROR(VLOOKUP("electricity|PM25|Asthma symptoms wheeze", US_national_yearly!$D:$AM, 33, FALSE) / VLOOKUP("electricity|PM25|Asthma symptoms wheeze", US_national_yearly!$D:$AM, 10, FALSE), 1)</f>
        <v>3.147779249467008E-2</v>
      </c>
      <c r="Z8" s="7">
        <f>$B8 * IFERROR(VLOOKUP("electricity|PM25|Asthma symptoms wheeze", US_national_yearly!$D:$AM, 34, FALSE) / VLOOKUP("electricity|PM25|Asthma symptoms wheeze", US_national_yearly!$D:$AM, 10, FALSE), 1)</f>
        <v>3.147779249467008E-2</v>
      </c>
      <c r="AA8" s="7">
        <f>$B8 * IFERROR(VLOOKUP("electricity|PM25|Asthma symptoms wheeze", US_national_yearly!$D:$AM, 35, FALSE) / VLOOKUP("electricity|PM25|Asthma symptoms wheeze", US_national_yearly!$D:$AM, 10, FALSE), 1)</f>
        <v>3.147779249467008E-2</v>
      </c>
      <c r="AB8" s="7">
        <f>$B8 * IFERROR(VLOOKUP("electricity|PM25|Asthma symptoms wheeze", US_national_yearly!$D:$AM, 36, FALSE) / VLOOKUP("electricity|PM25|Asthma symptoms wheeze", US_national_yearly!$D:$AM, 10, FALSE), 1)</f>
        <v>3.147779249467008E-2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9.8137892252022642E-4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9.8677246160380956E-4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9.9216600068739226E-4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9.975595397709756E-4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1.0029530788545583E-3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1.0087348201750844E-3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1.0145165614956102E-3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1.0196819567090468E-3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1.0248473519224829E-3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1.0300127471359192E-3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1.0351781423493553E-3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1.0403435375627916E-3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1.0438277800539767E-3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1.047312022545162E-3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1.0507962650363474E-3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1.0542805075275325E-3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1.0577647500187176E-3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1.0610115767427624E-3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1.0642584034668068E-3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1.0675052301908515E-3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1.0707520569148959E-3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1.0739988836389403E-3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1.0772093769579473E-3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1.080419870276954E-3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1.083630363595961E-3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1.0868408569149677E-3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1.0900513502339747E-3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8.1032674285403308E-3</v>
      </c>
      <c r="C13" s="7">
        <f>$B13 * IFERROR(VLOOKUP("electricity|PM25|Non-fatal heart attacks", US_national_yearly!$D:$AM, 11, FALSE) / VLOOKUP("electricity|PM25|Non-fatal heart attacks", US_national_yearly!$D:$AM, 10, FALSE), 1)</f>
        <v>8.3379771257875383E-3</v>
      </c>
      <c r="D13" s="7">
        <f>$B13 * IFERROR(VLOOKUP("electricity|PM25|Non-fatal heart attacks", US_national_yearly!$D:$AM, 12, FALSE) / VLOOKUP("electricity|PM25|Non-fatal heart attacks", US_national_yearly!$D:$AM, 10, FALSE), 1)</f>
        <v>8.5726868230347475E-3</v>
      </c>
      <c r="E13" s="7">
        <f>$B13 * IFERROR(VLOOKUP("electricity|PM25|Non-fatal heart attacks", US_national_yearly!$D:$AM, 13, FALSE) / VLOOKUP("electricity|PM25|Non-fatal heart attacks", US_national_yearly!$D:$AM, 10, FALSE), 1)</f>
        <v>8.8073965202819533E-3</v>
      </c>
      <c r="F13" s="7">
        <f>$B13 * IFERROR(VLOOKUP("electricity|PM25|Non-fatal heart attacks", US_national_yearly!$D:$AM, 14, FALSE) / VLOOKUP("electricity|PM25|Non-fatal heart attacks", US_national_yearly!$D:$AM, 10, FALSE), 1)</f>
        <v>9.0421062175291608E-3</v>
      </c>
      <c r="G13" s="7">
        <f>$B13 * IFERROR(VLOOKUP("electricity|PM25|Non-fatal heart attacks", US_national_yearly!$D:$AM, 15, FALSE) / VLOOKUP("electricity|PM25|Non-fatal heart attacks", US_national_yearly!$D:$AM, 10, FALSE), 1)</f>
        <v>9.2648849157564821E-3</v>
      </c>
      <c r="H13" s="7">
        <f>$B13 * IFERROR(VLOOKUP("electricity|PM25|Non-fatal heart attacks", US_national_yearly!$D:$AM, 16, FALSE) / VLOOKUP("electricity|PM25|Non-fatal heart attacks", US_national_yearly!$D:$AM, 10, FALSE), 1)</f>
        <v>9.4876636139838016E-3</v>
      </c>
      <c r="I13" s="7">
        <f>$B13 * IFERROR(VLOOKUP("electricity|PM25|Non-fatal heart attacks", US_national_yearly!$D:$AM, 17, FALSE) / VLOOKUP("electricity|PM25|Non-fatal heart attacks", US_national_yearly!$D:$AM, 10, FALSE), 1)</f>
        <v>9.6694247314664111E-3</v>
      </c>
      <c r="J13" s="7">
        <f>$B13 * IFERROR(VLOOKUP("electricity|PM25|Non-fatal heart attacks", US_national_yearly!$D:$AM, 18, FALSE) / VLOOKUP("electricity|PM25|Non-fatal heart attacks", US_national_yearly!$D:$AM, 10, FALSE), 1)</f>
        <v>9.8511858489490206E-3</v>
      </c>
      <c r="K13" s="7">
        <f>$B13 * IFERROR(VLOOKUP("electricity|PM25|Non-fatal heart attacks", US_national_yearly!$D:$AM, 19, FALSE) / VLOOKUP("electricity|PM25|Non-fatal heart attacks", US_national_yearly!$D:$AM, 10, FALSE), 1)</f>
        <v>1.0032946966431628E-2</v>
      </c>
      <c r="L13" s="7">
        <f>$B13 * IFERROR(VLOOKUP("electricity|PM25|Non-fatal heart attacks", US_national_yearly!$D:$AM, 20, FALSE) / VLOOKUP("electricity|PM25|Non-fatal heart attacks", US_national_yearly!$D:$AM, 10, FALSE), 1)</f>
        <v>1.0214708083914236E-2</v>
      </c>
      <c r="M13" s="7">
        <f>$B13 * IFERROR(VLOOKUP("electricity|PM25|Non-fatal heart attacks", US_national_yearly!$D:$AM, 21, FALSE) / VLOOKUP("electricity|PM25|Non-fatal heart attacks", US_national_yearly!$D:$AM, 10, FALSE), 1)</f>
        <v>1.0396469201396847E-2</v>
      </c>
      <c r="N13" s="7">
        <f>$B13 * IFERROR(VLOOKUP("electricity|PM25|Non-fatal heart attacks", US_national_yearly!$D:$AM, 22, FALSE) / VLOOKUP("electricity|PM25|Non-fatal heart attacks", US_national_yearly!$D:$AM, 10, FALSE), 1)</f>
        <v>1.0514408702585326E-2</v>
      </c>
      <c r="O13" s="7">
        <f>$B13 * IFERROR(VLOOKUP("electricity|PM25|Non-fatal heart attacks", US_national_yearly!$D:$AM, 23, FALSE) / VLOOKUP("electricity|PM25|Non-fatal heart attacks", US_national_yearly!$D:$AM, 10, FALSE), 1)</f>
        <v>1.0632348203773807E-2</v>
      </c>
      <c r="P13" s="7">
        <f>$B13 * IFERROR(VLOOKUP("electricity|PM25|Non-fatal heart attacks", US_national_yearly!$D:$AM, 24, FALSE) / VLOOKUP("electricity|PM25|Non-fatal heart attacks", US_national_yearly!$D:$AM, 10, FALSE), 1)</f>
        <v>1.0750287704962284E-2</v>
      </c>
      <c r="Q13" s="7">
        <f>$B13 * IFERROR(VLOOKUP("electricity|PM25|Non-fatal heart attacks", US_national_yearly!$D:$AM, 25, FALSE) / VLOOKUP("electricity|PM25|Non-fatal heart attacks", US_national_yearly!$D:$AM, 10, FALSE), 1)</f>
        <v>1.0868227206150763E-2</v>
      </c>
      <c r="R13" s="7">
        <f>$B13 * IFERROR(VLOOKUP("electricity|PM25|Non-fatal heart attacks", US_national_yearly!$D:$AM, 26, FALSE) / VLOOKUP("electricity|PM25|Non-fatal heart attacks", US_national_yearly!$D:$AM, 10, FALSE), 1)</f>
        <v>1.0986166707339241E-2</v>
      </c>
      <c r="S13" s="7">
        <f>$B13 * IFERROR(VLOOKUP("electricity|PM25|Non-fatal heart attacks", US_national_yearly!$D:$AM, 27, FALSE) / VLOOKUP("electricity|PM25|Non-fatal heart attacks", US_national_yearly!$D:$AM, 10, FALSE), 1)</f>
        <v>1.1051095432632971E-2</v>
      </c>
      <c r="T13" s="7">
        <f>$B13 * IFERROR(VLOOKUP("electricity|PM25|Non-fatal heart attacks", US_national_yearly!$D:$AM, 28, FALSE) / VLOOKUP("electricity|PM25|Non-fatal heart attacks", US_national_yearly!$D:$AM, 10, FALSE), 1)</f>
        <v>1.1116024157926702E-2</v>
      </c>
      <c r="U13" s="7">
        <f>$B13 * IFERROR(VLOOKUP("electricity|PM25|Non-fatal heart attacks", US_national_yearly!$D:$AM, 29, FALSE) / VLOOKUP("electricity|PM25|Non-fatal heart attacks", US_national_yearly!$D:$AM, 10, FALSE), 1)</f>
        <v>1.118095288322043E-2</v>
      </c>
      <c r="V13" s="7">
        <f>$B13 * IFERROR(VLOOKUP("electricity|PM25|Non-fatal heart attacks", US_national_yearly!$D:$AM, 30, FALSE) / VLOOKUP("electricity|PM25|Non-fatal heart attacks", US_national_yearly!$D:$AM, 10, FALSE), 1)</f>
        <v>1.124588160851416E-2</v>
      </c>
      <c r="W13" s="7">
        <f>$B13 * IFERROR(VLOOKUP("electricity|PM25|Non-fatal heart attacks", US_national_yearly!$D:$AM, 31, FALSE) / VLOOKUP("electricity|PM25|Non-fatal heart attacks", US_national_yearly!$D:$AM, 10, FALSE), 1)</f>
        <v>1.131081033380789E-2</v>
      </c>
      <c r="X13" s="7">
        <f>$B13 * IFERROR(VLOOKUP("electricity|PM25|Non-fatal heart attacks", US_national_yearly!$D:$AM, 32, FALSE) / VLOOKUP("electricity|PM25|Non-fatal heart attacks", US_national_yearly!$D:$AM, 10, FALSE), 1)</f>
        <v>1.1361605100542524E-2</v>
      </c>
      <c r="Y13" s="7">
        <f>$B13 * IFERROR(VLOOKUP("electricity|PM25|Non-fatal heart attacks", US_national_yearly!$D:$AM, 33, FALSE) / VLOOKUP("electricity|PM25|Non-fatal heart attacks", US_national_yearly!$D:$AM, 10, FALSE), 1)</f>
        <v>1.141239986727716E-2</v>
      </c>
      <c r="Z13" s="7">
        <f>$B13 * IFERROR(VLOOKUP("electricity|PM25|Non-fatal heart attacks", US_national_yearly!$D:$AM, 34, FALSE) / VLOOKUP("electricity|PM25|Non-fatal heart attacks", US_national_yearly!$D:$AM, 10, FALSE), 1)</f>
        <v>1.1463194634011794E-2</v>
      </c>
      <c r="AA13" s="7">
        <f>$B13 * IFERROR(VLOOKUP("electricity|PM25|Non-fatal heart attacks", US_national_yearly!$D:$AM, 35, FALSE) / VLOOKUP("electricity|PM25|Non-fatal heart attacks", US_national_yearly!$D:$AM, 10, FALSE), 1)</f>
        <v>1.1513989400746431E-2</v>
      </c>
      <c r="AB13" s="7">
        <f>$B13 * IFERROR(VLOOKUP("electricity|PM25|Non-fatal heart attacks", US_national_yearly!$D:$AM, 36, FALSE) / VLOOKUP("electricity|PM25|Non-fatal heart attacks", US_national_yearly!$D:$AM, 10, FALSE), 1)</f>
        <v>1.1564784167481065E-2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2.1646209921807062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2.1694263052827125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2.1742316183847192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2.1790369314867259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2.1838422445887327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2.1909727724220001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2.198103300255267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2.210693870745065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2.2232844412348638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2.2358750117246617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2.2484655822144601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2.2610561527042581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2.2785229051435256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2.2959896575827941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2.313456410022062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2.3309231624613305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2.348389914900598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2.3660073269363484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2.3836247389720979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2.4012421510078479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2.4188595630435983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2.4364769750793482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2.4515787744766975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2.4666805738740472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2.4817823732713968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2.4968841726687456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2.5119859720660958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0.36208378994281626</v>
      </c>
      <c r="C15" s="7">
        <f>$B15 * IFERROR(VLOOKUP("electricity|PM25|Work loss days", US_national_yearly!$D:$AM, 11, FALSE) / VLOOKUP("electricity|PM25|Work loss days", US_national_yearly!$D:$AM, 10, FALSE), 1)</f>
        <v>0.3631199136379471</v>
      </c>
      <c r="D15" s="7">
        <f>$B15 * IFERROR(VLOOKUP("electricity|PM25|Work loss days", US_national_yearly!$D:$AM, 12, FALSE) / VLOOKUP("electricity|PM25|Work loss days", US_national_yearly!$D:$AM, 10, FALSE), 1)</f>
        <v>0.36415603733307805</v>
      </c>
      <c r="E15" s="7">
        <f>$B15 * IFERROR(VLOOKUP("electricity|PM25|Work loss days", US_national_yearly!$D:$AM, 13, FALSE) / VLOOKUP("electricity|PM25|Work loss days", US_national_yearly!$D:$AM, 10, FALSE), 1)</f>
        <v>0.36519216102820889</v>
      </c>
      <c r="F15" s="7">
        <f>$B15 * IFERROR(VLOOKUP("electricity|PM25|Work loss days", US_national_yearly!$D:$AM, 14, FALSE) / VLOOKUP("electricity|PM25|Work loss days", US_national_yearly!$D:$AM, 10, FALSE), 1)</f>
        <v>0.36622828472333979</v>
      </c>
      <c r="G15" s="7">
        <f>$B15 * IFERROR(VLOOKUP("electricity|PM25|Work loss days", US_national_yearly!$D:$AM, 15, FALSE) / VLOOKUP("electricity|PM25|Work loss days", US_national_yearly!$D:$AM, 10, FALSE), 1)</f>
        <v>0.36757052978113147</v>
      </c>
      <c r="H15" s="7">
        <f>$B15 * IFERROR(VLOOKUP("electricity|PM25|Work loss days", US_national_yearly!$D:$AM, 16, FALSE) / VLOOKUP("electricity|PM25|Work loss days", US_national_yearly!$D:$AM, 10, FALSE), 1)</f>
        <v>0.36891277483892326</v>
      </c>
      <c r="I15" s="7">
        <f>$B15 * IFERROR(VLOOKUP("electricity|PM25|Work loss days", US_national_yearly!$D:$AM, 17, FALSE) / VLOOKUP("electricity|PM25|Work loss days", US_national_yearly!$D:$AM, 10, FALSE), 1)</f>
        <v>0.37093061108272435</v>
      </c>
      <c r="J15" s="7">
        <f>$B15 * IFERROR(VLOOKUP("electricity|PM25|Work loss days", US_national_yearly!$D:$AM, 18, FALSE) / VLOOKUP("electricity|PM25|Work loss days", US_national_yearly!$D:$AM, 10, FALSE), 1)</f>
        <v>0.37294844732652532</v>
      </c>
      <c r="K15" s="7">
        <f>$B15 * IFERROR(VLOOKUP("electricity|PM25|Work loss days", US_national_yearly!$D:$AM, 19, FALSE) / VLOOKUP("electricity|PM25|Work loss days", US_national_yearly!$D:$AM, 10, FALSE), 1)</f>
        <v>0.37496628357032641</v>
      </c>
      <c r="L15" s="7">
        <f>$B15 * IFERROR(VLOOKUP("electricity|PM25|Work loss days", US_national_yearly!$D:$AM, 20, FALSE) / VLOOKUP("electricity|PM25|Work loss days", US_national_yearly!$D:$AM, 10, FALSE), 1)</f>
        <v>0.37698411981412749</v>
      </c>
      <c r="M15" s="7">
        <f>$B15 * IFERROR(VLOOKUP("electricity|PM25|Work loss days", US_national_yearly!$D:$AM, 21, FALSE) / VLOOKUP("electricity|PM25|Work loss days", US_national_yearly!$D:$AM, 10, FALSE), 1)</f>
        <v>0.37900195605792852</v>
      </c>
      <c r="N15" s="7">
        <f>$B15 * IFERROR(VLOOKUP("electricity|PM25|Work loss days", US_national_yearly!$D:$AM, 22, FALSE) / VLOOKUP("electricity|PM25|Work loss days", US_national_yearly!$D:$AM, 10, FALSE), 1)</f>
        <v>0.38160712273186348</v>
      </c>
      <c r="O15" s="7">
        <f>$B15 * IFERROR(VLOOKUP("electricity|PM25|Work loss days", US_national_yearly!$D:$AM, 23, FALSE) / VLOOKUP("electricity|PM25|Work loss days", US_national_yearly!$D:$AM, 10, FALSE), 1)</f>
        <v>0.38421228940579838</v>
      </c>
      <c r="P15" s="7">
        <f>$B15 * IFERROR(VLOOKUP("electricity|PM25|Work loss days", US_national_yearly!$D:$AM, 24, FALSE) / VLOOKUP("electricity|PM25|Work loss days", US_national_yearly!$D:$AM, 10, FALSE), 1)</f>
        <v>0.38681745607973322</v>
      </c>
      <c r="Q15" s="7">
        <f>$B15 * IFERROR(VLOOKUP("electricity|PM25|Work loss days", US_national_yearly!$D:$AM, 25, FALSE) / VLOOKUP("electricity|PM25|Work loss days", US_national_yearly!$D:$AM, 10, FALSE), 1)</f>
        <v>0.38942262275366807</v>
      </c>
      <c r="R15" s="7">
        <f>$B15 * IFERROR(VLOOKUP("electricity|PM25|Work loss days", US_national_yearly!$D:$AM, 26, FALSE) / VLOOKUP("electricity|PM25|Work loss days", US_national_yearly!$D:$AM, 10, FALSE), 1)</f>
        <v>0.39202778942760297</v>
      </c>
      <c r="S15" s="7">
        <f>$B15 * IFERROR(VLOOKUP("electricity|PM25|Work loss days", US_national_yearly!$D:$AM, 27, FALSE) / VLOOKUP("electricity|PM25|Work loss days", US_national_yearly!$D:$AM, 10, FALSE), 1)</f>
        <v>0.39491860451212574</v>
      </c>
      <c r="T15" s="7">
        <f>$B15 * IFERROR(VLOOKUP("electricity|PM25|Work loss days", US_national_yearly!$D:$AM, 28, FALSE) / VLOOKUP("electricity|PM25|Work loss days", US_national_yearly!$D:$AM, 10, FALSE), 1)</f>
        <v>0.39780941959664862</v>
      </c>
      <c r="U15" s="7">
        <f>$B15 * IFERROR(VLOOKUP("electricity|PM25|Work loss days", US_national_yearly!$D:$AM, 29, FALSE) / VLOOKUP("electricity|PM25|Work loss days", US_national_yearly!$D:$AM, 10, FALSE), 1)</f>
        <v>0.4007002346811715</v>
      </c>
      <c r="V15" s="7">
        <f>$B15 * IFERROR(VLOOKUP("electricity|PM25|Work loss days", US_national_yearly!$D:$AM, 30, FALSE) / VLOOKUP("electricity|PM25|Work loss days", US_national_yearly!$D:$AM, 10, FALSE), 1)</f>
        <v>0.40359104976569438</v>
      </c>
      <c r="W15" s="7">
        <f>$B15 * IFERROR(VLOOKUP("electricity|PM25|Work loss days", US_national_yearly!$D:$AM, 31, FALSE) / VLOOKUP("electricity|PM25|Work loss days", US_national_yearly!$D:$AM, 10, FALSE), 1)</f>
        <v>0.4064818648502172</v>
      </c>
      <c r="X15" s="7">
        <f>$B15 * IFERROR(VLOOKUP("electricity|PM25|Work loss days", US_national_yearly!$D:$AM, 32, FALSE) / VLOOKUP("electricity|PM25|Work loss days", US_national_yearly!$D:$AM, 10, FALSE), 1)</f>
        <v>0.40903203809554367</v>
      </c>
      <c r="Y15" s="7">
        <f>$B15 * IFERROR(VLOOKUP("electricity|PM25|Work loss days", US_national_yearly!$D:$AM, 33, FALSE) / VLOOKUP("electricity|PM25|Work loss days", US_national_yearly!$D:$AM, 10, FALSE), 1)</f>
        <v>0.41158221134086997</v>
      </c>
      <c r="Z15" s="7">
        <f>$B15 * IFERROR(VLOOKUP("electricity|PM25|Work loss days", US_national_yearly!$D:$AM, 34, FALSE) / VLOOKUP("electricity|PM25|Work loss days", US_national_yearly!$D:$AM, 10, FALSE), 1)</f>
        <v>0.41413238458619639</v>
      </c>
      <c r="AA15" s="7">
        <f>$B15 * IFERROR(VLOOKUP("electricity|PM25|Work loss days", US_national_yearly!$D:$AM, 35, FALSE) / VLOOKUP("electricity|PM25|Work loss days", US_national_yearly!$D:$AM, 10, FALSE), 1)</f>
        <v>0.41668255783152286</v>
      </c>
      <c r="AB15" s="7">
        <f>$B15 * IFERROR(VLOOKUP("electricity|PM25|Work loss days", US_national_yearly!$D:$AM, 36, FALSE) / VLOOKUP("electricity|PM25|Work loss days", US_national_yearly!$D:$AM, 10, FALSE), 1)</f>
        <v>0.41923273107684922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9.8241948181192651E-4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1.0115726906975554E-3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1.0407258995831841E-3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1.0698791084688131E-3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1.099032317354442E-3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1.1271505420965709E-3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1.1552687668386998E-3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1.1796270078324245E-3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1.2039852488261492E-3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1.2283434898198737E-3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1.2527017308135984E-3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1.2770599718073229E-3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1.2934341397110765E-3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1.3098083076148296E-3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1.326182475518583E-3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1.3425566434223366E-3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1.35893081132609E-3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1.367967736448694E-3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1.3770046615712976E-3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1.3860415866939015E-3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1.3950785118165055E-3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1.4041154369391093E-3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1.4104200853030547E-3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1.416724733667E-3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1.4230293820309454E-3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1.4293340303948912E-3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1.4356386787588366E-3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1.7666278045524845E-4</v>
      </c>
      <c r="C2" s="7">
        <f>$B2 * IFERROR(VLOOKUP("electricity|NOx|Premature mortality", US_national_yearly!$D:$AM, 11, FALSE) / VLOOKUP("electricity|NOx|Premature mortality", US_national_yearly!$D:$AM, 10, FALSE), 1)</f>
        <v>1.7933580027606561E-4</v>
      </c>
      <c r="D2" s="7">
        <f>$B2 * IFERROR(VLOOKUP("electricity|NOx|Premature mortality", US_national_yearly!$D:$AM, 12, FALSE) / VLOOKUP("electricity|NOx|Premature mortality", US_national_yearly!$D:$AM, 10, FALSE), 1)</f>
        <v>1.8200882009688279E-4</v>
      </c>
      <c r="E2" s="7">
        <f>$B2 * IFERROR(VLOOKUP("electricity|NOx|Premature mortality", US_national_yearly!$D:$AM, 13, FALSE) / VLOOKUP("electricity|NOx|Premature mortality", US_national_yearly!$D:$AM, 10, FALSE), 1)</f>
        <v>1.8468183991769994E-4</v>
      </c>
      <c r="F2" s="7">
        <f>$B2 * IFERROR(VLOOKUP("electricity|NOx|Premature mortality", US_national_yearly!$D:$AM, 14, FALSE) / VLOOKUP("electricity|NOx|Premature mortality", US_national_yearly!$D:$AM, 10, FALSE), 1)</f>
        <v>1.873548597385171E-4</v>
      </c>
      <c r="G2" s="7">
        <f>$B2 * IFERROR(VLOOKUP("electricity|NOx|Premature mortality", US_national_yearly!$D:$AM, 15, FALSE) / VLOOKUP("electricity|NOx|Premature mortality", US_national_yearly!$D:$AM, 10, FALSE), 1)</f>
        <v>1.9212985758880566E-4</v>
      </c>
      <c r="H2" s="7">
        <f>$B2 * IFERROR(VLOOKUP("electricity|NOx|Premature mortality", US_national_yearly!$D:$AM, 16, FALSE) / VLOOKUP("electricity|NOx|Premature mortality", US_national_yearly!$D:$AM, 10, FALSE), 1)</f>
        <v>1.9690485543909418E-4</v>
      </c>
      <c r="I2" s="7">
        <f>$B2 * IFERROR(VLOOKUP("electricity|NOx|Premature mortality", US_national_yearly!$D:$AM, 17, FALSE) / VLOOKUP("electricity|NOx|Premature mortality", US_national_yearly!$D:$AM, 10, FALSE), 1)</f>
        <v>2.0007803764270418E-4</v>
      </c>
      <c r="J2" s="7">
        <f>$B2 * IFERROR(VLOOKUP("electricity|NOx|Premature mortality", US_national_yearly!$D:$AM, 18, FALSE) / VLOOKUP("electricity|NOx|Premature mortality", US_national_yearly!$D:$AM, 10, FALSE), 1)</f>
        <v>2.0325121984631422E-4</v>
      </c>
      <c r="K2" s="7">
        <f>$B2 * IFERROR(VLOOKUP("electricity|NOx|Premature mortality", US_national_yearly!$D:$AM, 19, FALSE) / VLOOKUP("electricity|NOx|Premature mortality", US_national_yearly!$D:$AM, 10, FALSE), 1)</f>
        <v>2.0642440204992422E-4</v>
      </c>
      <c r="L2" s="7">
        <f>$B2 * IFERROR(VLOOKUP("electricity|NOx|Premature mortality", US_national_yearly!$D:$AM, 20, FALSE) / VLOOKUP("electricity|NOx|Premature mortality", US_national_yearly!$D:$AM, 10, FALSE), 1)</f>
        <v>2.0959758425353423E-4</v>
      </c>
      <c r="M2" s="7">
        <f>$B2 * IFERROR(VLOOKUP("electricity|NOx|Premature mortality", US_national_yearly!$D:$AM, 21, FALSE) / VLOOKUP("electricity|NOx|Premature mortality", US_national_yearly!$D:$AM, 10, FALSE), 1)</f>
        <v>2.1277076645714424E-4</v>
      </c>
      <c r="N2" s="7">
        <f>$B2 * IFERROR(VLOOKUP("electricity|NOx|Premature mortality", US_national_yearly!$D:$AM, 22, FALSE) / VLOOKUP("electricity|NOx|Premature mortality", US_national_yearly!$D:$AM, 10, FALSE), 1)</f>
        <v>2.1521924336259608E-4</v>
      </c>
      <c r="O2" s="7">
        <f>$B2 * IFERROR(VLOOKUP("electricity|NOx|Premature mortality", US_national_yearly!$D:$AM, 23, FALSE) / VLOOKUP("electricity|NOx|Premature mortality", US_national_yearly!$D:$AM, 10, FALSE), 1)</f>
        <v>2.1766772026804803E-4</v>
      </c>
      <c r="P2" s="7">
        <f>$B2 * IFERROR(VLOOKUP("electricity|NOx|Premature mortality", US_national_yearly!$D:$AM, 24, FALSE) / VLOOKUP("electricity|NOx|Premature mortality", US_national_yearly!$D:$AM, 10, FALSE), 1)</f>
        <v>2.2011619717349988E-4</v>
      </c>
      <c r="Q2" s="7">
        <f>$B2 * IFERROR(VLOOKUP("electricity|NOx|Premature mortality", US_national_yearly!$D:$AM, 25, FALSE) / VLOOKUP("electricity|NOx|Premature mortality", US_national_yearly!$D:$AM, 10, FALSE), 1)</f>
        <v>2.2256467407895177E-4</v>
      </c>
      <c r="R2" s="7">
        <f>$B2 * IFERROR(VLOOKUP("electricity|NOx|Premature mortality", US_national_yearly!$D:$AM, 26, FALSE) / VLOOKUP("electricity|NOx|Premature mortality", US_national_yearly!$D:$AM, 10, FALSE), 1)</f>
        <v>2.2501315098440362E-4</v>
      </c>
      <c r="S2" s="7">
        <f>$B2 * IFERROR(VLOOKUP("electricity|NOx|Premature mortality", US_national_yearly!$D:$AM, 27, FALSE) / VLOOKUP("electricity|NOx|Premature mortality", US_national_yearly!$D:$AM, 10, FALSE), 1)</f>
        <v>2.2627838152090567E-4</v>
      </c>
      <c r="T2" s="7">
        <f>$B2 * IFERROR(VLOOKUP("electricity|NOx|Premature mortality", US_national_yearly!$D:$AM, 28, FALSE) / VLOOKUP("electricity|NOx|Premature mortality", US_national_yearly!$D:$AM, 10, FALSE), 1)</f>
        <v>2.2754361205740771E-4</v>
      </c>
      <c r="U2" s="7">
        <f>$B2 * IFERROR(VLOOKUP("electricity|NOx|Premature mortality", US_national_yearly!$D:$AM, 29, FALSE) / VLOOKUP("electricity|NOx|Premature mortality", US_national_yearly!$D:$AM, 10, FALSE), 1)</f>
        <v>2.2880884259390984E-4</v>
      </c>
      <c r="V2" s="7">
        <f>$B2 * IFERROR(VLOOKUP("electricity|NOx|Premature mortality", US_national_yearly!$D:$AM, 30, FALSE) / VLOOKUP("electricity|NOx|Premature mortality", US_national_yearly!$D:$AM, 10, FALSE), 1)</f>
        <v>2.3007407313041189E-4</v>
      </c>
      <c r="W2" s="7">
        <f>$B2 * IFERROR(VLOOKUP("electricity|NOx|Premature mortality", US_national_yearly!$D:$AM, 31, FALSE) / VLOOKUP("electricity|NOx|Premature mortality", US_national_yearly!$D:$AM, 10, FALSE), 1)</f>
        <v>2.3133930366691394E-4</v>
      </c>
      <c r="X2" s="7">
        <f>$B2 * IFERROR(VLOOKUP("electricity|NOx|Premature mortality", US_national_yearly!$D:$AM, 32, FALSE) / VLOOKUP("electricity|NOx|Premature mortality", US_national_yearly!$D:$AM, 10, FALSE), 1)</f>
        <v>2.3162553812024872E-4</v>
      </c>
      <c r="Y2" s="7">
        <f>$B2 * IFERROR(VLOOKUP("electricity|NOx|Premature mortality", US_national_yearly!$D:$AM, 33, FALSE) / VLOOKUP("electricity|NOx|Premature mortality", US_national_yearly!$D:$AM, 10, FALSE), 1)</f>
        <v>2.3191177257358349E-4</v>
      </c>
      <c r="Z2" s="7">
        <f>$B2 * IFERROR(VLOOKUP("electricity|NOx|Premature mortality", US_national_yearly!$D:$AM, 34, FALSE) / VLOOKUP("electricity|NOx|Premature mortality", US_national_yearly!$D:$AM, 10, FALSE), 1)</f>
        <v>2.3219800702691827E-4</v>
      </c>
      <c r="AA2" s="7">
        <f>$B2 * IFERROR(VLOOKUP("electricity|NOx|Premature mortality", US_national_yearly!$D:$AM, 35, FALSE) / VLOOKUP("electricity|NOx|Premature mortality", US_national_yearly!$D:$AM, 10, FALSE), 1)</f>
        <v>2.3248424148025301E-4</v>
      </c>
      <c r="AB2" s="7">
        <f>$B2 * IFERROR(VLOOKUP("electricity|NOx|Premature mortality", US_national_yearly!$D:$AM, 36, FALSE) / VLOOKUP("electricity|NOx|Premature mortality", US_national_yearly!$D:$AM, 10, FALSE), 1)</f>
        <v>2.3277047593358777E-4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2.8920787462479358E-7</v>
      </c>
      <c r="C3" s="7">
        <f>$B3 * IFERROR(VLOOKUP("electricity|NOx|Infant mortality", US_national_yearly!$D:$AM, 11, FALSE) / VLOOKUP("electricity|NOx|Infant mortality", US_national_yearly!$D:$AM, 10, FALSE), 1)</f>
        <v>2.865021697183244E-7</v>
      </c>
      <c r="D3" s="7">
        <f>$B3 * IFERROR(VLOOKUP("electricity|NOx|Infant mortality", US_national_yearly!$D:$AM, 12, FALSE) / VLOOKUP("electricity|NOx|Infant mortality", US_national_yearly!$D:$AM, 10, FALSE), 1)</f>
        <v>2.8379646481185516E-7</v>
      </c>
      <c r="E3" s="7">
        <f>$B3 * IFERROR(VLOOKUP("electricity|NOx|Infant mortality", US_national_yearly!$D:$AM, 13, FALSE) / VLOOKUP("electricity|NOx|Infant mortality", US_national_yearly!$D:$AM, 10, FALSE), 1)</f>
        <v>2.8109075990538598E-7</v>
      </c>
      <c r="F3" s="7">
        <f>$B3 * IFERROR(VLOOKUP("electricity|NOx|Infant mortality", US_national_yearly!$D:$AM, 14, FALSE) / VLOOKUP("electricity|NOx|Infant mortality", US_national_yearly!$D:$AM, 10, FALSE), 1)</f>
        <v>2.7838505499891675E-7</v>
      </c>
      <c r="G3" s="7">
        <f>$B3 * IFERROR(VLOOKUP("electricity|NOx|Infant mortality", US_national_yearly!$D:$AM, 15, FALSE) / VLOOKUP("electricity|NOx|Infant mortality", US_national_yearly!$D:$AM, 10, FALSE), 1)</f>
        <v>1.8444389113866618E-7</v>
      </c>
      <c r="H3" s="7">
        <f>$B3 * IFERROR(VLOOKUP("electricity|NOx|Infant mortality", US_national_yearly!$D:$AM, 16, FALSE) / VLOOKUP("electricity|NOx|Infant mortality", US_national_yearly!$D:$AM, 10, FALSE), 1)</f>
        <v>9.0502727278415629E-8</v>
      </c>
      <c r="I3" s="7">
        <f>$B3 * IFERROR(VLOOKUP("electricity|NOx|Infant mortality", US_national_yearly!$D:$AM, 17, FALSE) / VLOOKUP("electricity|NOx|Infant mortality", US_national_yearly!$D:$AM, 10, FALSE), 1)</f>
        <v>8.9844541989690525E-8</v>
      </c>
      <c r="J3" s="7">
        <f>$B3 * IFERROR(VLOOKUP("electricity|NOx|Infant mortality", US_national_yearly!$D:$AM, 18, FALSE) / VLOOKUP("electricity|NOx|Infant mortality", US_national_yearly!$D:$AM, 10, FALSE), 1)</f>
        <v>8.9186356700965434E-8</v>
      </c>
      <c r="K3" s="7">
        <f>$B3 * IFERROR(VLOOKUP("electricity|NOx|Infant mortality", US_national_yearly!$D:$AM, 19, FALSE) / VLOOKUP("electricity|NOx|Infant mortality", US_national_yearly!$D:$AM, 10, FALSE), 1)</f>
        <v>8.852817141224033E-8</v>
      </c>
      <c r="L3" s="7">
        <f>$B3 * IFERROR(VLOOKUP("electricity|NOx|Infant mortality", US_national_yearly!$D:$AM, 20, FALSE) / VLOOKUP("electricity|NOx|Infant mortality", US_national_yearly!$D:$AM, 10, FALSE), 1)</f>
        <v>8.7869986123515239E-8</v>
      </c>
      <c r="M3" s="7">
        <f>$B3 * IFERROR(VLOOKUP("electricity|NOx|Infant mortality", US_national_yearly!$D:$AM, 21, FALSE) / VLOOKUP("electricity|NOx|Infant mortality", US_national_yearly!$D:$AM, 10, FALSE), 1)</f>
        <v>8.7211800834790121E-8</v>
      </c>
      <c r="N3" s="7">
        <f>$B3 * IFERROR(VLOOKUP("electricity|NOx|Infant mortality", US_national_yearly!$D:$AM, 22, FALSE) / VLOOKUP("electricity|NOx|Infant mortality", US_national_yearly!$D:$AM, 10, FALSE), 1)</f>
        <v>8.6769824685396733E-8</v>
      </c>
      <c r="O3" s="7">
        <f>$B3 * IFERROR(VLOOKUP("electricity|NOx|Infant mortality", US_national_yearly!$D:$AM, 23, FALSE) / VLOOKUP("electricity|NOx|Infant mortality", US_national_yearly!$D:$AM, 10, FALSE), 1)</f>
        <v>8.6327848536003318E-8</v>
      </c>
      <c r="P3" s="7">
        <f>$B3 * IFERROR(VLOOKUP("electricity|NOx|Infant mortality", US_national_yearly!$D:$AM, 24, FALSE) / VLOOKUP("electricity|NOx|Infant mortality", US_national_yearly!$D:$AM, 10, FALSE), 1)</f>
        <v>8.5885872386609889E-8</v>
      </c>
      <c r="Q3" s="7">
        <f>$B3 * IFERROR(VLOOKUP("electricity|NOx|Infant mortality", US_national_yearly!$D:$AM, 25, FALSE) / VLOOKUP("electricity|NOx|Infant mortality", US_national_yearly!$D:$AM, 10, FALSE), 1)</f>
        <v>8.5443896237216474E-8</v>
      </c>
      <c r="R3" s="7">
        <f>$B3 * IFERROR(VLOOKUP("electricity|NOx|Infant mortality", US_national_yearly!$D:$AM, 26, FALSE) / VLOOKUP("electricity|NOx|Infant mortality", US_national_yearly!$D:$AM, 10, FALSE), 1)</f>
        <v>8.5001920087823086E-8</v>
      </c>
      <c r="S3" s="7">
        <f>$B3 * IFERROR(VLOOKUP("electricity|NOx|Infant mortality", US_national_yearly!$D:$AM, 27, FALSE) / VLOOKUP("electricity|NOx|Infant mortality", US_national_yearly!$D:$AM, 10, FALSE), 1)</f>
        <v>8.4477217430789908E-8</v>
      </c>
      <c r="T3" s="7">
        <f>$B3 * IFERROR(VLOOKUP("electricity|NOx|Infant mortality", US_national_yearly!$D:$AM, 28, FALSE) / VLOOKUP("electricity|NOx|Infant mortality", US_national_yearly!$D:$AM, 10, FALSE), 1)</f>
        <v>8.3952514773756731E-8</v>
      </c>
      <c r="U3" s="7">
        <f>$B3 * IFERROR(VLOOKUP("electricity|NOx|Infant mortality", US_national_yearly!$D:$AM, 29, FALSE) / VLOOKUP("electricity|NOx|Infant mortality", US_national_yearly!$D:$AM, 10, FALSE), 1)</f>
        <v>8.3427812116723566E-8</v>
      </c>
      <c r="V3" s="7">
        <f>$B3 * IFERROR(VLOOKUP("electricity|NOx|Infant mortality", US_national_yearly!$D:$AM, 30, FALSE) / VLOOKUP("electricity|NOx|Infant mortality", US_national_yearly!$D:$AM, 10, FALSE), 1)</f>
        <v>8.2903109459690415E-8</v>
      </c>
      <c r="W3" s="7">
        <f>$B3 * IFERROR(VLOOKUP("electricity|NOx|Infant mortality", US_national_yearly!$D:$AM, 31, FALSE) / VLOOKUP("electricity|NOx|Infant mortality", US_national_yearly!$D:$AM, 10, FALSE), 1)</f>
        <v>8.2378406802657237E-8</v>
      </c>
      <c r="X3" s="7">
        <f>$B3 * IFERROR(VLOOKUP("electricity|NOx|Infant mortality", US_national_yearly!$D:$AM, 32, FALSE) / VLOOKUP("electricity|NOx|Infant mortality", US_national_yearly!$D:$AM, 10, FALSE), 1)</f>
        <v>8.1838133923726977E-8</v>
      </c>
      <c r="Y3" s="7">
        <f>$B3 * IFERROR(VLOOKUP("electricity|NOx|Infant mortality", US_national_yearly!$D:$AM, 33, FALSE) / VLOOKUP("electricity|NOx|Infant mortality", US_national_yearly!$D:$AM, 10, FALSE), 1)</f>
        <v>8.1297861044796717E-8</v>
      </c>
      <c r="Z3" s="7">
        <f>$B3 * IFERROR(VLOOKUP("electricity|NOx|Infant mortality", US_national_yearly!$D:$AM, 34, FALSE) / VLOOKUP("electricity|NOx|Infant mortality", US_national_yearly!$D:$AM, 10, FALSE), 1)</f>
        <v>8.0757588165866457E-8</v>
      </c>
      <c r="AA3" s="7">
        <f>$B3 * IFERROR(VLOOKUP("electricity|NOx|Infant mortality", US_national_yearly!$D:$AM, 35, FALSE) / VLOOKUP("electricity|NOx|Infant mortality", US_national_yearly!$D:$AM, 10, FALSE), 1)</f>
        <v>8.0217315286936197E-8</v>
      </c>
      <c r="AB3" s="7">
        <f>$B3 * IFERROR(VLOOKUP("electricity|NOx|Infant mortality", US_national_yearly!$D:$AM, 36, FALSE) / VLOOKUP("electricity|NOx|Infant mortality", US_national_yearly!$D:$AM, 10, FALSE), 1)</f>
        <v>7.967704240800591E-8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3.1754355858631717E-4</v>
      </c>
      <c r="C6" s="7">
        <f>$B6 * IFERROR(VLOOKUP("electricity|NOx|Asthma symptoms cough", US_national_yearly!$D:$AM, 11, FALSE) / VLOOKUP("electricity|NOx|Asthma symptoms cough", US_national_yearly!$D:$AM, 10, FALSE), 1)</f>
        <v>3.2190302866580162E-4</v>
      </c>
      <c r="D6" s="7">
        <f>$B6 * IFERROR(VLOOKUP("electricity|NOx|Asthma symptoms cough", US_national_yearly!$D:$AM, 12, FALSE) / VLOOKUP("electricity|NOx|Asthma symptoms cough", US_national_yearly!$D:$AM, 10, FALSE), 1)</f>
        <v>3.2626249874528619E-4</v>
      </c>
      <c r="E6" s="7">
        <f>$B6 * IFERROR(VLOOKUP("electricity|NOx|Asthma symptoms cough", US_national_yearly!$D:$AM, 13, FALSE) / VLOOKUP("electricity|NOx|Asthma symptoms cough", US_national_yearly!$D:$AM, 10, FALSE), 1)</f>
        <v>3.3062196882477064E-4</v>
      </c>
      <c r="F6" s="7">
        <f>$B6 * IFERROR(VLOOKUP("electricity|NOx|Asthma symptoms cough", US_national_yearly!$D:$AM, 14, FALSE) / VLOOKUP("electricity|NOx|Asthma symptoms cough", US_national_yearly!$D:$AM, 10, FALSE), 1)</f>
        <v>3.349814389042551E-4</v>
      </c>
      <c r="G6" s="7">
        <f>$B6 * IFERROR(VLOOKUP("electricity|NOx|Asthma symptoms cough", US_national_yearly!$D:$AM, 15, FALSE) / VLOOKUP("electricity|NOx|Asthma symptoms cough", US_national_yearly!$D:$AM, 10, FALSE), 1)</f>
        <v>3.3852591922774725E-4</v>
      </c>
      <c r="H6" s="7">
        <f>$B6 * IFERROR(VLOOKUP("electricity|NOx|Asthma symptoms cough", US_national_yearly!$D:$AM, 16, FALSE) / VLOOKUP("electricity|NOx|Asthma symptoms cough", US_national_yearly!$D:$AM, 10, FALSE), 1)</f>
        <v>3.4207039955123941E-4</v>
      </c>
      <c r="I6" s="7">
        <f>$B6 * IFERROR(VLOOKUP("electricity|NOx|Asthma symptoms cough", US_national_yearly!$D:$AM, 17, FALSE) / VLOOKUP("electricity|NOx|Asthma symptoms cough", US_national_yearly!$D:$AM, 10, FALSE), 1)</f>
        <v>3.4338801772834524E-4</v>
      </c>
      <c r="J6" s="7">
        <f>$B6 * IFERROR(VLOOKUP("electricity|NOx|Asthma symptoms cough", US_national_yearly!$D:$AM, 18, FALSE) / VLOOKUP("electricity|NOx|Asthma symptoms cough", US_national_yearly!$D:$AM, 10, FALSE), 1)</f>
        <v>3.4470563590545107E-4</v>
      </c>
      <c r="K6" s="7">
        <f>$B6 * IFERROR(VLOOKUP("electricity|NOx|Asthma symptoms cough", US_national_yearly!$D:$AM, 19, FALSE) / VLOOKUP("electricity|NOx|Asthma symptoms cough", US_national_yearly!$D:$AM, 10, FALSE), 1)</f>
        <v>3.4602325408255691E-4</v>
      </c>
      <c r="L6" s="7">
        <f>$B6 * IFERROR(VLOOKUP("electricity|NOx|Asthma symptoms cough", US_national_yearly!$D:$AM, 20, FALSE) / VLOOKUP("electricity|NOx|Asthma symptoms cough", US_national_yearly!$D:$AM, 10, FALSE), 1)</f>
        <v>3.4734087225966274E-4</v>
      </c>
      <c r="M6" s="7">
        <f>$B6 * IFERROR(VLOOKUP("electricity|NOx|Asthma symptoms cough", US_national_yearly!$D:$AM, 21, FALSE) / VLOOKUP("electricity|NOx|Asthma symptoms cough", US_national_yearly!$D:$AM, 10, FALSE), 1)</f>
        <v>3.4865849043676862E-4</v>
      </c>
      <c r="N6" s="7">
        <f>$B6 * IFERROR(VLOOKUP("electricity|NOx|Asthma symptoms cough", US_national_yearly!$D:$AM, 22, FALSE) / VLOOKUP("electricity|NOx|Asthma symptoms cough", US_national_yearly!$D:$AM, 10, FALSE), 1)</f>
        <v>3.501184004018663E-4</v>
      </c>
      <c r="O6" s="7">
        <f>$B6 * IFERROR(VLOOKUP("electricity|NOx|Asthma symptoms cough", US_national_yearly!$D:$AM, 23, FALSE) / VLOOKUP("electricity|NOx|Asthma symptoms cough", US_national_yearly!$D:$AM, 10, FALSE), 1)</f>
        <v>3.5157831036696402E-4</v>
      </c>
      <c r="P6" s="7">
        <f>$B6 * IFERROR(VLOOKUP("electricity|NOx|Asthma symptoms cough", US_national_yearly!$D:$AM, 24, FALSE) / VLOOKUP("electricity|NOx|Asthma symptoms cough", US_national_yearly!$D:$AM, 10, FALSE), 1)</f>
        <v>3.5303822033206164E-4</v>
      </c>
      <c r="Q6" s="7">
        <f>$B6 * IFERROR(VLOOKUP("electricity|NOx|Asthma symptoms cough", US_national_yearly!$D:$AM, 25, FALSE) / VLOOKUP("electricity|NOx|Asthma symptoms cough", US_national_yearly!$D:$AM, 10, FALSE), 1)</f>
        <v>3.5449813029715937E-4</v>
      </c>
      <c r="R6" s="7">
        <f>$B6 * IFERROR(VLOOKUP("electricity|NOx|Asthma symptoms cough", US_national_yearly!$D:$AM, 26, FALSE) / VLOOKUP("electricity|NOx|Asthma symptoms cough", US_national_yearly!$D:$AM, 10, FALSE), 1)</f>
        <v>3.5595804026225704E-4</v>
      </c>
      <c r="S6" s="7">
        <f>$B6 * IFERROR(VLOOKUP("electricity|NOx|Asthma symptoms cough", US_national_yearly!$D:$AM, 27, FALSE) / VLOOKUP("electricity|NOx|Asthma symptoms cough", US_national_yearly!$D:$AM, 10, FALSE), 1)</f>
        <v>3.5777941238375867E-4</v>
      </c>
      <c r="T6" s="7">
        <f>$B6 * IFERROR(VLOOKUP("electricity|NOx|Asthma symptoms cough", US_national_yearly!$D:$AM, 28, FALSE) / VLOOKUP("electricity|NOx|Asthma symptoms cough", US_national_yearly!$D:$AM, 10, FALSE), 1)</f>
        <v>3.5960078450526025E-4</v>
      </c>
      <c r="U6" s="7">
        <f>$B6 * IFERROR(VLOOKUP("electricity|NOx|Asthma symptoms cough", US_national_yearly!$D:$AM, 29, FALSE) / VLOOKUP("electricity|NOx|Asthma symptoms cough", US_national_yearly!$D:$AM, 10, FALSE), 1)</f>
        <v>3.6142215662676193E-4</v>
      </c>
      <c r="V6" s="7">
        <f>$B6 * IFERROR(VLOOKUP("electricity|NOx|Asthma symptoms cough", US_national_yearly!$D:$AM, 30, FALSE) / VLOOKUP("electricity|NOx|Asthma symptoms cough", US_national_yearly!$D:$AM, 10, FALSE), 1)</f>
        <v>3.6324352874826351E-4</v>
      </c>
      <c r="W6" s="7">
        <f>$B6 * IFERROR(VLOOKUP("electricity|NOx|Asthma symptoms cough", US_national_yearly!$D:$AM, 31, FALSE) / VLOOKUP("electricity|NOx|Asthma symptoms cough", US_national_yearly!$D:$AM, 10, FALSE), 1)</f>
        <v>3.6506490086976514E-4</v>
      </c>
      <c r="X6" s="7">
        <f>$B6 * IFERROR(VLOOKUP("electricity|NOx|Asthma symptoms cough", US_national_yearly!$D:$AM, 32, FALSE) / VLOOKUP("electricity|NOx|Asthma symptoms cough", US_national_yearly!$D:$AM, 10, FALSE), 1)</f>
        <v>3.6674294316328167E-4</v>
      </c>
      <c r="Y6" s="7">
        <f>$B6 * IFERROR(VLOOKUP("electricity|NOx|Asthma symptoms cough", US_national_yearly!$D:$AM, 33, FALSE) / VLOOKUP("electricity|NOx|Asthma symptoms cough", US_national_yearly!$D:$AM, 10, FALSE), 1)</f>
        <v>3.684209854567983E-4</v>
      </c>
      <c r="Z6" s="7">
        <f>$B6 * IFERROR(VLOOKUP("electricity|NOx|Asthma symptoms cough", US_national_yearly!$D:$AM, 34, FALSE) / VLOOKUP("electricity|NOx|Asthma symptoms cough", US_national_yearly!$D:$AM, 10, FALSE), 1)</f>
        <v>3.7009902775031494E-4</v>
      </c>
      <c r="AA6" s="7">
        <f>$B6 * IFERROR(VLOOKUP("electricity|NOx|Asthma symptoms cough", US_national_yearly!$D:$AM, 35, FALSE) / VLOOKUP("electricity|NOx|Asthma symptoms cough", US_national_yearly!$D:$AM, 10, FALSE), 1)</f>
        <v>3.7177707004383147E-4</v>
      </c>
      <c r="AB6" s="7">
        <f>$B6 * IFERROR(VLOOKUP("electricity|NOx|Asthma symptoms cough", US_national_yearly!$D:$AM, 36, FALSE) / VLOOKUP("electricity|NOx|Asthma symptoms cough", US_national_yearly!$D:$AM, 10, FALSE), 1)</f>
        <v>3.734551123373481E-4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4.27618828994925E-4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4.3348949283471239E-4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4.3936015667449989E-4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4.4523082051428728E-4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4.5110148435407473E-4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4.5587464532549328E-4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4.6064780629691179E-4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4.6242217180158846E-4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4.6419653730626491E-4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4.6597090281094152E-4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4.6774526831561798E-4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4.6951963382029454E-4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4.7148561602352408E-4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4.7345159822675373E-4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4.7541758042998327E-4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4.7738356263321292E-4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4.7934954483644241E-4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4.8180228868444325E-4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4.8425503253244392E-4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4.8670777638044476E-4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4.8916052022844549E-4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4.9161326407644627E-4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4.938729933547418E-4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4.9613272263303754E-4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4.9839245191133307E-4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5.0065218118962871E-4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5.0291191046792434E-4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6.5332784757767015E-4</v>
      </c>
      <c r="C8" s="7">
        <f>$B8 * IFERROR(VLOOKUP("electricity|NOx|Asthma symptoms wheeze", US_national_yearly!$D:$AM, 11, FALSE) / VLOOKUP("electricity|NOx|Asthma symptoms wheeze", US_national_yearly!$D:$AM, 10, FALSE), 1)</f>
        <v>6.6229720981430141E-4</v>
      </c>
      <c r="D8" s="7">
        <f>$B8 * IFERROR(VLOOKUP("electricity|NOx|Asthma symptoms wheeze", US_national_yearly!$D:$AM, 12, FALSE) / VLOOKUP("electricity|NOx|Asthma symptoms wheeze", US_national_yearly!$D:$AM, 10, FALSE), 1)</f>
        <v>6.7126657205093278E-4</v>
      </c>
      <c r="E8" s="7">
        <f>$B8 * IFERROR(VLOOKUP("electricity|NOx|Asthma symptoms wheeze", US_national_yearly!$D:$AM, 13, FALSE) / VLOOKUP("electricity|NOx|Asthma symptoms wheeze", US_national_yearly!$D:$AM, 10, FALSE), 1)</f>
        <v>6.8023593428756404E-4</v>
      </c>
      <c r="F8" s="7">
        <f>$B8 * IFERROR(VLOOKUP("electricity|NOx|Asthma symptoms wheeze", US_national_yearly!$D:$AM, 14, FALSE) / VLOOKUP("electricity|NOx|Asthma symptoms wheeze", US_national_yearly!$D:$AM, 10, FALSE), 1)</f>
        <v>6.8920529652419541E-4</v>
      </c>
      <c r="G8" s="7">
        <f>$B8 * IFERROR(VLOOKUP("electricity|NOx|Asthma symptoms wheeze", US_national_yearly!$D:$AM, 15, FALSE) / VLOOKUP("electricity|NOx|Asthma symptoms wheeze", US_national_yearly!$D:$AM, 10, FALSE), 1)</f>
        <v>6.9649786359663986E-4</v>
      </c>
      <c r="H8" s="7">
        <f>$B8 * IFERROR(VLOOKUP("electricity|NOx|Asthma symptoms wheeze", US_national_yearly!$D:$AM, 16, FALSE) / VLOOKUP("electricity|NOx|Asthma symptoms wheeze", US_national_yearly!$D:$AM, 10, FALSE), 1)</f>
        <v>7.0379043066908431E-4</v>
      </c>
      <c r="I8" s="7">
        <f>$B8 * IFERROR(VLOOKUP("electricity|NOx|Asthma symptoms wheeze", US_national_yearly!$D:$AM, 17, FALSE) / VLOOKUP("electricity|NOx|Asthma symptoms wheeze", US_national_yearly!$D:$AM, 10, FALSE), 1)</f>
        <v>7.0650135527361619E-4</v>
      </c>
      <c r="J8" s="7">
        <f>$B8 * IFERROR(VLOOKUP("electricity|NOx|Asthma symptoms wheeze", US_national_yearly!$D:$AM, 18, FALSE) / VLOOKUP("electricity|NOx|Asthma symptoms wheeze", US_national_yearly!$D:$AM, 10, FALSE), 1)</f>
        <v>7.0921227987814797E-4</v>
      </c>
      <c r="K8" s="7">
        <f>$B8 * IFERROR(VLOOKUP("electricity|NOx|Asthma symptoms wheeze", US_national_yearly!$D:$AM, 19, FALSE) / VLOOKUP("electricity|NOx|Asthma symptoms wheeze", US_national_yearly!$D:$AM, 10, FALSE), 1)</f>
        <v>7.1192320448268008E-4</v>
      </c>
      <c r="L8" s="7">
        <f>$B8 * IFERROR(VLOOKUP("electricity|NOx|Asthma symptoms wheeze", US_national_yearly!$D:$AM, 20, FALSE) / VLOOKUP("electricity|NOx|Asthma symptoms wheeze", US_national_yearly!$D:$AM, 10, FALSE), 1)</f>
        <v>7.1463412908721186E-4</v>
      </c>
      <c r="M8" s="7">
        <f>$B8 * IFERROR(VLOOKUP("electricity|NOx|Asthma symptoms wheeze", US_national_yearly!$D:$AM, 21, FALSE) / VLOOKUP("electricity|NOx|Asthma symptoms wheeze", US_national_yearly!$D:$AM, 10, FALSE), 1)</f>
        <v>7.1734505369174363E-4</v>
      </c>
      <c r="N8" s="7">
        <f>$B8 * IFERROR(VLOOKUP("electricity|NOx|Asthma symptoms wheeze", US_national_yearly!$D:$AM, 22, FALSE) / VLOOKUP("electricity|NOx|Asthma symptoms wheeze", US_national_yearly!$D:$AM, 10, FALSE), 1)</f>
        <v>7.2034873557318547E-4</v>
      </c>
      <c r="O8" s="7">
        <f>$B8 * IFERROR(VLOOKUP("electricity|NOx|Asthma symptoms wheeze", US_national_yearly!$D:$AM, 23, FALSE) / VLOOKUP("electricity|NOx|Asthma symptoms wheeze", US_national_yearly!$D:$AM, 10, FALSE), 1)</f>
        <v>7.2335241745462753E-4</v>
      </c>
      <c r="P8" s="7">
        <f>$B8 * IFERROR(VLOOKUP("electricity|NOx|Asthma symptoms wheeze", US_national_yearly!$D:$AM, 24, FALSE) / VLOOKUP("electricity|NOx|Asthma symptoms wheeze", US_national_yearly!$D:$AM, 10, FALSE), 1)</f>
        <v>7.2635609933606948E-4</v>
      </c>
      <c r="Q8" s="7">
        <f>$B8 * IFERROR(VLOOKUP("electricity|NOx|Asthma symptoms wheeze", US_national_yearly!$D:$AM, 25, FALSE) / VLOOKUP("electricity|NOx|Asthma symptoms wheeze", US_national_yearly!$D:$AM, 10, FALSE), 1)</f>
        <v>7.2935978121751132E-4</v>
      </c>
      <c r="R8" s="7">
        <f>$B8 * IFERROR(VLOOKUP("electricity|NOx|Asthma symptoms wheeze", US_national_yearly!$D:$AM, 26, FALSE) / VLOOKUP("electricity|NOx|Asthma symptoms wheeze", US_national_yearly!$D:$AM, 10, FALSE), 1)</f>
        <v>7.3236346309895326E-4</v>
      </c>
      <c r="S8" s="7">
        <f>$B8 * IFERROR(VLOOKUP("electricity|NOx|Asthma symptoms wheeze", US_national_yearly!$D:$AM, 27, FALSE) / VLOOKUP("electricity|NOx|Asthma symptoms wheeze", US_national_yearly!$D:$AM, 10, FALSE), 1)</f>
        <v>7.3611083284991436E-4</v>
      </c>
      <c r="T8" s="7">
        <f>$B8 * IFERROR(VLOOKUP("electricity|NOx|Asthma symptoms wheeze", US_national_yearly!$D:$AM, 28, FALSE) / VLOOKUP("electricity|NOx|Asthma symptoms wheeze", US_national_yearly!$D:$AM, 10, FALSE), 1)</f>
        <v>7.3985820260087556E-4</v>
      </c>
      <c r="U8" s="7">
        <f>$B8 * IFERROR(VLOOKUP("electricity|NOx|Asthma symptoms wheeze", US_national_yearly!$D:$AM, 29, FALSE) / VLOOKUP("electricity|NOx|Asthma symptoms wheeze", US_national_yearly!$D:$AM, 10, FALSE), 1)</f>
        <v>7.4360557235183655E-4</v>
      </c>
      <c r="V8" s="7">
        <f>$B8 * IFERROR(VLOOKUP("electricity|NOx|Asthma symptoms wheeze", US_national_yearly!$D:$AM, 30, FALSE) / VLOOKUP("electricity|NOx|Asthma symptoms wheeze", US_national_yearly!$D:$AM, 10, FALSE), 1)</f>
        <v>7.4735294210279764E-4</v>
      </c>
      <c r="W8" s="7">
        <f>$B8 * IFERROR(VLOOKUP("electricity|NOx|Asthma symptoms wheeze", US_national_yearly!$D:$AM, 31, FALSE) / VLOOKUP("electricity|NOx|Asthma symptoms wheeze", US_national_yearly!$D:$AM, 10, FALSE), 1)</f>
        <v>7.5110031185375884E-4</v>
      </c>
      <c r="X8" s="7">
        <f>$B8 * IFERROR(VLOOKUP("electricity|NOx|Asthma symptoms wheeze", US_national_yearly!$D:$AM, 32, FALSE) / VLOOKUP("electricity|NOx|Asthma symptoms wheeze", US_national_yearly!$D:$AM, 10, FALSE), 1)</f>
        <v>7.5455278861909464E-4</v>
      </c>
      <c r="Y8" s="7">
        <f>$B8 * IFERROR(VLOOKUP("electricity|NOx|Asthma symptoms wheeze", US_national_yearly!$D:$AM, 33, FALSE) / VLOOKUP("electricity|NOx|Asthma symptoms wheeze", US_national_yearly!$D:$AM, 10, FALSE), 1)</f>
        <v>7.5800526538443065E-4</v>
      </c>
      <c r="Z8" s="7">
        <f>$B8 * IFERROR(VLOOKUP("electricity|NOx|Asthma symptoms wheeze", US_national_yearly!$D:$AM, 34, FALSE) / VLOOKUP("electricity|NOx|Asthma symptoms wheeze", US_national_yearly!$D:$AM, 10, FALSE), 1)</f>
        <v>7.6145774214976634E-4</v>
      </c>
      <c r="AA8" s="7">
        <f>$B8 * IFERROR(VLOOKUP("electricity|NOx|Asthma symptoms wheeze", US_national_yearly!$D:$AM, 35, FALSE) / VLOOKUP("electricity|NOx|Asthma symptoms wheeze", US_national_yearly!$D:$AM, 10, FALSE), 1)</f>
        <v>7.6491021891510235E-4</v>
      </c>
      <c r="AB8" s="7">
        <f>$B8 * IFERROR(VLOOKUP("electricity|NOx|Asthma symptoms wheeze", US_national_yearly!$D:$AM, 36, FALSE) / VLOOKUP("electricity|NOx|Asthma symptoms wheeze", US_national_yearly!$D:$AM, 10, FALSE), 1)</f>
        <v>7.6836269568043814E-4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2.0289561720832756E-5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2.0809211284883439E-5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2.1328860848934122E-5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2.1848510412984805E-5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2.2368159977035481E-5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2.2868402856509659E-5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2.3368645735983843E-5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2.3798813458160564E-5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2.4228981180337281E-5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2.4659148902514012E-5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2.508931662469073E-5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2.5519484346867454E-5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2.5814283688530678E-5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2.6109083030193899E-5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2.6403882371857124E-5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2.6698681713520348E-5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2.6993481055183569E-5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2.7161378685300389E-5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2.7329276315417215E-5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2.749717394553403E-5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2.7665071575650849E-5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2.7832969205767669E-5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2.7955088807044617E-5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2.8077208408321561E-5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2.8199328009598516E-5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2.8321447610875464E-5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2.8443567212152408E-5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1.7110023379938015E-4</v>
      </c>
      <c r="C13" s="7">
        <f>$B13 * IFERROR(VLOOKUP("electricity|NOx|Non-fatal heart attacks", US_national_yearly!$D:$AM, 11, FALSE) / VLOOKUP("electricity|NOx|Non-fatal heart attacks", US_national_yearly!$D:$AM, 10, FALSE), 1)</f>
        <v>1.7601033913692513E-4</v>
      </c>
      <c r="D13" s="7">
        <f>$B13 * IFERROR(VLOOKUP("electricity|NOx|Non-fatal heart attacks", US_national_yearly!$D:$AM, 12, FALSE) / VLOOKUP("electricity|NOx|Non-fatal heart attacks", US_national_yearly!$D:$AM, 10, FALSE), 1)</f>
        <v>1.8092044447447011E-4</v>
      </c>
      <c r="E13" s="7">
        <f>$B13 * IFERROR(VLOOKUP("electricity|NOx|Non-fatal heart attacks", US_national_yearly!$D:$AM, 13, FALSE) / VLOOKUP("electricity|NOx|Non-fatal heart attacks", US_national_yearly!$D:$AM, 10, FALSE), 1)</f>
        <v>1.8583054981201509E-4</v>
      </c>
      <c r="F13" s="7">
        <f>$B13 * IFERROR(VLOOKUP("electricity|NOx|Non-fatal heart attacks", US_national_yearly!$D:$AM, 14, FALSE) / VLOOKUP("electricity|NOx|Non-fatal heart attacks", US_national_yearly!$D:$AM, 10, FALSE), 1)</f>
        <v>1.907406551495601E-4</v>
      </c>
      <c r="G13" s="7">
        <f>$B13 * IFERROR(VLOOKUP("electricity|NOx|Non-fatal heart attacks", US_national_yearly!$D:$AM, 15, FALSE) / VLOOKUP("electricity|NOx|Non-fatal heart attacks", US_national_yearly!$D:$AM, 10, FALSE), 1)</f>
        <v>1.9536616277014663E-4</v>
      </c>
      <c r="H13" s="7">
        <f>$B13 * IFERROR(VLOOKUP("electricity|NOx|Non-fatal heart attacks", US_national_yearly!$D:$AM, 16, FALSE) / VLOOKUP("electricity|NOx|Non-fatal heart attacks", US_national_yearly!$D:$AM, 10, FALSE), 1)</f>
        <v>1.9999167039073316E-4</v>
      </c>
      <c r="I13" s="7">
        <f>$B13 * IFERROR(VLOOKUP("electricity|NOx|Non-fatal heart attacks", US_national_yearly!$D:$AM, 17, FALSE) / VLOOKUP("electricity|NOx|Non-fatal heart attacks", US_national_yearly!$D:$AM, 10, FALSE), 1)</f>
        <v>2.0370085954300585E-4</v>
      </c>
      <c r="J13" s="7">
        <f>$B13 * IFERROR(VLOOKUP("electricity|NOx|Non-fatal heart attacks", US_national_yearly!$D:$AM, 18, FALSE) / VLOOKUP("electricity|NOx|Non-fatal heart attacks", US_national_yearly!$D:$AM, 10, FALSE), 1)</f>
        <v>2.0741004869527854E-4</v>
      </c>
      <c r="K13" s="7">
        <f>$B13 * IFERROR(VLOOKUP("electricity|NOx|Non-fatal heart attacks", US_national_yearly!$D:$AM, 19, FALSE) / VLOOKUP("electricity|NOx|Non-fatal heart attacks", US_national_yearly!$D:$AM, 10, FALSE), 1)</f>
        <v>2.1111923784755104E-4</v>
      </c>
      <c r="L13" s="7">
        <f>$B13 * IFERROR(VLOOKUP("electricity|NOx|Non-fatal heart attacks", US_national_yearly!$D:$AM, 20, FALSE) / VLOOKUP("electricity|NOx|Non-fatal heart attacks", US_national_yearly!$D:$AM, 10, FALSE), 1)</f>
        <v>2.1482842699982373E-4</v>
      </c>
      <c r="M13" s="7">
        <f>$B13 * IFERROR(VLOOKUP("electricity|NOx|Non-fatal heart attacks", US_national_yearly!$D:$AM, 21, FALSE) / VLOOKUP("electricity|NOx|Non-fatal heart attacks", US_national_yearly!$D:$AM, 10, FALSE), 1)</f>
        <v>2.1853761615209648E-4</v>
      </c>
      <c r="N13" s="7">
        <f>$B13 * IFERROR(VLOOKUP("electricity|NOx|Non-fatal heart attacks", US_national_yearly!$D:$AM, 22, FALSE) / VLOOKUP("electricity|NOx|Non-fatal heart attacks", US_national_yearly!$D:$AM, 10, FALSE), 1)</f>
        <v>2.2082515016979008E-4</v>
      </c>
      <c r="O13" s="7">
        <f>$B13 * IFERROR(VLOOKUP("electricity|NOx|Non-fatal heart attacks", US_national_yearly!$D:$AM, 23, FALSE) / VLOOKUP("electricity|NOx|Non-fatal heart attacks", US_national_yearly!$D:$AM, 10, FALSE), 1)</f>
        <v>2.2311268418748377E-4</v>
      </c>
      <c r="P13" s="7">
        <f>$B13 * IFERROR(VLOOKUP("electricity|NOx|Non-fatal heart attacks", US_national_yearly!$D:$AM, 24, FALSE) / VLOOKUP("electricity|NOx|Non-fatal heart attacks", US_national_yearly!$D:$AM, 10, FALSE), 1)</f>
        <v>2.254002182051774E-4</v>
      </c>
      <c r="Q13" s="7">
        <f>$B13 * IFERROR(VLOOKUP("electricity|NOx|Non-fatal heart attacks", US_national_yearly!$D:$AM, 25, FALSE) / VLOOKUP("electricity|NOx|Non-fatal heart attacks", US_national_yearly!$D:$AM, 10, FALSE), 1)</f>
        <v>2.2768775222287106E-4</v>
      </c>
      <c r="R13" s="7">
        <f>$B13 * IFERROR(VLOOKUP("electricity|NOx|Non-fatal heart attacks", US_national_yearly!$D:$AM, 26, FALSE) / VLOOKUP("electricity|NOx|Non-fatal heart attacks", US_national_yearly!$D:$AM, 10, FALSE), 1)</f>
        <v>2.2997528624056472E-4</v>
      </c>
      <c r="S13" s="7">
        <f>$B13 * IFERROR(VLOOKUP("electricity|NOx|Non-fatal heart attacks", US_national_yearly!$D:$AM, 27, FALSE) / VLOOKUP("electricity|NOx|Non-fatal heart attacks", US_national_yearly!$D:$AM, 10, FALSE), 1)</f>
        <v>2.3109296774065114E-4</v>
      </c>
      <c r="T13" s="7">
        <f>$B13 * IFERROR(VLOOKUP("electricity|NOx|Non-fatal heart attacks", US_national_yearly!$D:$AM, 28, FALSE) / VLOOKUP("electricity|NOx|Non-fatal heart attacks", US_national_yearly!$D:$AM, 10, FALSE), 1)</f>
        <v>2.3221064924073753E-4</v>
      </c>
      <c r="U13" s="7">
        <f>$B13 * IFERROR(VLOOKUP("electricity|NOx|Non-fatal heart attacks", US_national_yearly!$D:$AM, 29, FALSE) / VLOOKUP("electricity|NOx|Non-fatal heart attacks", US_national_yearly!$D:$AM, 10, FALSE), 1)</f>
        <v>2.3332833074082401E-4</v>
      </c>
      <c r="V13" s="7">
        <f>$B13 * IFERROR(VLOOKUP("electricity|NOx|Non-fatal heart attacks", US_national_yearly!$D:$AM, 30, FALSE) / VLOOKUP("electricity|NOx|Non-fatal heart attacks", US_national_yearly!$D:$AM, 10, FALSE), 1)</f>
        <v>2.3444601224091043E-4</v>
      </c>
      <c r="W13" s="7">
        <f>$B13 * IFERROR(VLOOKUP("electricity|NOx|Non-fatal heart attacks", US_national_yearly!$D:$AM, 31, FALSE) / VLOOKUP("electricity|NOx|Non-fatal heart attacks", US_national_yearly!$D:$AM, 10, FALSE), 1)</f>
        <v>2.3556369374099691E-4</v>
      </c>
      <c r="X13" s="7">
        <f>$B13 * IFERROR(VLOOKUP("electricity|NOx|Non-fatal heart attacks", US_national_yearly!$D:$AM, 32, FALSE) / VLOOKUP("electricity|NOx|Non-fatal heart attacks", US_national_yearly!$D:$AM, 10, FALSE), 1)</f>
        <v>2.3634380572552956E-4</v>
      </c>
      <c r="Y13" s="7">
        <f>$B13 * IFERROR(VLOOKUP("electricity|NOx|Non-fatal heart attacks", US_national_yearly!$D:$AM, 33, FALSE) / VLOOKUP("electricity|NOx|Non-fatal heart attacks", US_national_yearly!$D:$AM, 10, FALSE), 1)</f>
        <v>2.3712391771006229E-4</v>
      </c>
      <c r="Z13" s="7">
        <f>$B13 * IFERROR(VLOOKUP("electricity|NOx|Non-fatal heart attacks", US_national_yearly!$D:$AM, 34, FALSE) / VLOOKUP("electricity|NOx|Non-fatal heart attacks", US_national_yearly!$D:$AM, 10, FALSE), 1)</f>
        <v>2.3790402969459497E-4</v>
      </c>
      <c r="AA13" s="7">
        <f>$B13 * IFERROR(VLOOKUP("electricity|NOx|Non-fatal heart attacks", US_national_yearly!$D:$AM, 35, FALSE) / VLOOKUP("electricity|NOx|Non-fatal heart attacks", US_national_yearly!$D:$AM, 10, FALSE), 1)</f>
        <v>2.3868414167912762E-4</v>
      </c>
      <c r="AB13" s="7">
        <f>$B13 * IFERROR(VLOOKUP("electricity|NOx|Non-fatal heart attacks", US_national_yearly!$D:$AM, 36, FALSE) / VLOOKUP("electricity|NOx|Non-fatal heart attacks", US_national_yearly!$D:$AM, 10, FALSE), 1)</f>
        <v>2.3946425366366039E-4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4.5165554715754778E-2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4.5234803372597339E-2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4.5304052029439899E-2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4.5373300686282453E-2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4.544254934312502E-2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4.5563343200131778E-2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4.568413705713853E-2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4.5923126885192386E-2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4.6162116713246222E-2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4.6401106541300079E-2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4.6640096369353921E-2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4.6879086197407778E-2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4.7224685568783432E-2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4.757028494015908E-2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4.791588431153472E-2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4.8261483682910375E-2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4.8607083054286029E-2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4.8955295959533088E-2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4.9303508864780146E-2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4.9651721770027211E-2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4.999993467527427E-2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5.0348147580521328E-2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5.0642632504728641E-2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5.0937117428935925E-2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5.123160235314328E-2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5.1526087277350585E-2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5.1820572201557884E-2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7.5583742377694279E-3</v>
      </c>
      <c r="C15" s="7">
        <f>$B15 * IFERROR(VLOOKUP("electricity|NOx|Work loss days", US_national_yearly!$D:$AM, 11, FALSE) / VLOOKUP("electricity|NOx|Work loss days", US_national_yearly!$D:$AM, 10, FALSE), 1)</f>
        <v>7.5752321136853436E-3</v>
      </c>
      <c r="D15" s="7">
        <f>$B15 * IFERROR(VLOOKUP("electricity|NOx|Work loss days", US_national_yearly!$D:$AM, 12, FALSE) / VLOOKUP("electricity|NOx|Work loss days", US_national_yearly!$D:$AM, 10, FALSE), 1)</f>
        <v>7.5920899896012592E-3</v>
      </c>
      <c r="E15" s="7">
        <f>$B15 * IFERROR(VLOOKUP("electricity|NOx|Work loss days", US_national_yearly!$D:$AM, 13, FALSE) / VLOOKUP("electricity|NOx|Work loss days", US_national_yearly!$D:$AM, 10, FALSE), 1)</f>
        <v>7.6089478655171749E-3</v>
      </c>
      <c r="F15" s="7">
        <f>$B15 * IFERROR(VLOOKUP("electricity|NOx|Work loss days", US_national_yearly!$D:$AM, 14, FALSE) / VLOOKUP("electricity|NOx|Work loss days", US_national_yearly!$D:$AM, 10, FALSE), 1)</f>
        <v>7.6258057414330905E-3</v>
      </c>
      <c r="G15" s="7">
        <f>$B15 * IFERROR(VLOOKUP("electricity|NOx|Work loss days", US_national_yearly!$D:$AM, 15, FALSE) / VLOOKUP("electricity|NOx|Work loss days", US_national_yearly!$D:$AM, 10, FALSE), 1)</f>
        <v>7.6495714819441989E-3</v>
      </c>
      <c r="H15" s="7">
        <f>$B15 * IFERROR(VLOOKUP("electricity|NOx|Work loss days", US_national_yearly!$D:$AM, 16, FALSE) / VLOOKUP("electricity|NOx|Work loss days", US_national_yearly!$D:$AM, 10, FALSE), 1)</f>
        <v>7.6733372224553065E-3</v>
      </c>
      <c r="I15" s="7">
        <f>$B15 * IFERROR(VLOOKUP("electricity|NOx|Work loss days", US_national_yearly!$D:$AM, 17, FALSE) / VLOOKUP("electricity|NOx|Work loss days", US_national_yearly!$D:$AM, 10, FALSE), 1)</f>
        <v>7.7119264051908358E-3</v>
      </c>
      <c r="J15" s="7">
        <f>$B15 * IFERROR(VLOOKUP("electricity|NOx|Work loss days", US_national_yearly!$D:$AM, 18, FALSE) / VLOOKUP("electricity|NOx|Work loss days", US_national_yearly!$D:$AM, 10, FALSE), 1)</f>
        <v>7.7505155879263651E-3</v>
      </c>
      <c r="K15" s="7">
        <f>$B15 * IFERROR(VLOOKUP("electricity|NOx|Work loss days", US_national_yearly!$D:$AM, 19, FALSE) / VLOOKUP("electricity|NOx|Work loss days", US_national_yearly!$D:$AM, 10, FALSE), 1)</f>
        <v>7.7891047706618926E-3</v>
      </c>
      <c r="L15" s="7">
        <f>$B15 * IFERROR(VLOOKUP("electricity|NOx|Work loss days", US_national_yearly!$D:$AM, 20, FALSE) / VLOOKUP("electricity|NOx|Work loss days", US_national_yearly!$D:$AM, 10, FALSE), 1)</f>
        <v>7.8276939533974202E-3</v>
      </c>
      <c r="M15" s="7">
        <f>$B15 * IFERROR(VLOOKUP("electricity|NOx|Work loss days", US_national_yearly!$D:$AM, 21, FALSE) / VLOOKUP("electricity|NOx|Work loss days", US_national_yearly!$D:$AM, 10, FALSE), 1)</f>
        <v>7.8662831361329486E-3</v>
      </c>
      <c r="N15" s="7">
        <f>$B15 * IFERROR(VLOOKUP("electricity|NOx|Work loss days", US_national_yearly!$D:$AM, 22, FALSE) / VLOOKUP("electricity|NOx|Work loss days", US_national_yearly!$D:$AM, 10, FALSE), 1)</f>
        <v>7.9171965099842541E-3</v>
      </c>
      <c r="O15" s="7">
        <f>$B15 * IFERROR(VLOOKUP("electricity|NOx|Work loss days", US_national_yearly!$D:$AM, 23, FALSE) / VLOOKUP("electricity|NOx|Work loss days", US_national_yearly!$D:$AM, 10, FALSE), 1)</f>
        <v>7.9681098838355578E-3</v>
      </c>
      <c r="P15" s="7">
        <f>$B15 * IFERROR(VLOOKUP("electricity|NOx|Work loss days", US_national_yearly!$D:$AM, 24, FALSE) / VLOOKUP("electricity|NOx|Work loss days", US_national_yearly!$D:$AM, 10, FALSE), 1)</f>
        <v>8.0190232576868633E-3</v>
      </c>
      <c r="Q15" s="7">
        <f>$B15 * IFERROR(VLOOKUP("electricity|NOx|Work loss days", US_national_yearly!$D:$AM, 25, FALSE) / VLOOKUP("electricity|NOx|Work loss days", US_national_yearly!$D:$AM, 10, FALSE), 1)</f>
        <v>8.0699366315381705E-3</v>
      </c>
      <c r="R15" s="7">
        <f>$B15 * IFERROR(VLOOKUP("electricity|NOx|Work loss days", US_national_yearly!$D:$AM, 26, FALSE) / VLOOKUP("electricity|NOx|Work loss days", US_national_yearly!$D:$AM, 10, FALSE), 1)</f>
        <v>8.1208500053894725E-3</v>
      </c>
      <c r="S15" s="7">
        <f>$B15 * IFERROR(VLOOKUP("electricity|NOx|Work loss days", US_national_yearly!$D:$AM, 27, FALSE) / VLOOKUP("electricity|NOx|Work loss days", US_national_yearly!$D:$AM, 10, FALSE), 1)</f>
        <v>8.1779049241060293E-3</v>
      </c>
      <c r="T15" s="7">
        <f>$B15 * IFERROR(VLOOKUP("electricity|NOx|Work loss days", US_national_yearly!$D:$AM, 28, FALSE) / VLOOKUP("electricity|NOx|Work loss days", US_national_yearly!$D:$AM, 10, FALSE), 1)</f>
        <v>8.2349598428225843E-3</v>
      </c>
      <c r="U15" s="7">
        <f>$B15 * IFERROR(VLOOKUP("electricity|NOx|Work loss days", US_national_yearly!$D:$AM, 29, FALSE) / VLOOKUP("electricity|NOx|Work loss days", US_national_yearly!$D:$AM, 10, FALSE), 1)</f>
        <v>8.2920147615391394E-3</v>
      </c>
      <c r="V15" s="7">
        <f>$B15 * IFERROR(VLOOKUP("electricity|NOx|Work loss days", US_national_yearly!$D:$AM, 30, FALSE) / VLOOKUP("electricity|NOx|Work loss days", US_national_yearly!$D:$AM, 10, FALSE), 1)</f>
        <v>8.3490696802556944E-3</v>
      </c>
      <c r="W15" s="7">
        <f>$B15 * IFERROR(VLOOKUP("electricity|NOx|Work loss days", US_national_yearly!$D:$AM, 31, FALSE) / VLOOKUP("electricity|NOx|Work loss days", US_national_yearly!$D:$AM, 10, FALSE), 1)</f>
        <v>8.4061245989722512E-3</v>
      </c>
      <c r="X15" s="7">
        <f>$B15 * IFERROR(VLOOKUP("electricity|NOx|Work loss days", US_national_yearly!$D:$AM, 32, FALSE) / VLOOKUP("electricity|NOx|Work loss days", US_national_yearly!$D:$AM, 10, FALSE), 1)</f>
        <v>8.4558596186452527E-3</v>
      </c>
      <c r="Y15" s="7">
        <f>$B15 * IFERROR(VLOOKUP("electricity|NOx|Work loss days", US_national_yearly!$D:$AM, 33, FALSE) / VLOOKUP("electricity|NOx|Work loss days", US_national_yearly!$D:$AM, 10, FALSE), 1)</f>
        <v>8.5055946383182559E-3</v>
      </c>
      <c r="Z15" s="7">
        <f>$B15 * IFERROR(VLOOKUP("electricity|NOx|Work loss days", US_national_yearly!$D:$AM, 34, FALSE) / VLOOKUP("electricity|NOx|Work loss days", US_national_yearly!$D:$AM, 10, FALSE), 1)</f>
        <v>8.5553296579912574E-3</v>
      </c>
      <c r="AA15" s="7">
        <f>$B15 * IFERROR(VLOOKUP("electricity|NOx|Work loss days", US_national_yearly!$D:$AM, 35, FALSE) / VLOOKUP("electricity|NOx|Work loss days", US_national_yearly!$D:$AM, 10, FALSE), 1)</f>
        <v>8.6050646776642606E-3</v>
      </c>
      <c r="AB15" s="7">
        <f>$B15 * IFERROR(VLOOKUP("electricity|NOx|Work loss days", US_national_yearly!$D:$AM, 36, FALSE) / VLOOKUP("electricity|NOx|Work loss days", US_national_yearly!$D:$AM, 10, FALSE), 1)</f>
        <v>8.6547996973372621E-3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2.0626042593351476E-5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2.1233616368666706E-5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2.1841190143981943E-5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2.2448763919297173E-5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2.3056337694612407E-5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2.3638136758562187E-5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2.4219935822511968E-5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2.4716531190100185E-5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2.5213126557688409E-5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2.5709721925276633E-5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2.6206317292864857E-5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2.6702912660453074E-5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2.7021613724175227E-5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2.7340314787897381E-5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2.7659015851619534E-5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2.7977716915341687E-5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2.8296417979063841E-5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2.8453256389052448E-5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2.8610094799041056E-5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2.8766933209029663E-5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2.8923771619018274E-5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2.9080610029006882E-5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2.9174609245405284E-5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2.9268608461803682E-5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2.9362607678202084E-5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2.9456606894600486E-5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2.9550606110998888E-5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3.6257873663988883E-3</v>
      </c>
      <c r="C2" s="7">
        <f>$B2 * IFERROR(VLOOKUP("electricity|SO2|Premature mortality", US_national_yearly!$D:$AM, 11, FALSE) / VLOOKUP("electricity|SO2|Premature mortality", US_national_yearly!$D:$AM, 10, FALSE), 1)</f>
        <v>3.6722707969288784E-3</v>
      </c>
      <c r="D2" s="7">
        <f>$B2 * IFERROR(VLOOKUP("electricity|SO2|Premature mortality", US_national_yearly!$D:$AM, 12, FALSE) / VLOOKUP("electricity|SO2|Premature mortality", US_national_yearly!$D:$AM, 10, FALSE), 1)</f>
        <v>3.7187542274588676E-3</v>
      </c>
      <c r="E2" s="7">
        <f>$B2 * IFERROR(VLOOKUP("electricity|SO2|Premature mortality", US_national_yearly!$D:$AM, 13, FALSE) / VLOOKUP("electricity|SO2|Premature mortality", US_national_yearly!$D:$AM, 10, FALSE), 1)</f>
        <v>3.7652376579888577E-3</v>
      </c>
      <c r="F2" s="7">
        <f>$B2 * IFERROR(VLOOKUP("electricity|SO2|Premature mortality", US_national_yearly!$D:$AM, 14, FALSE) / VLOOKUP("electricity|SO2|Premature mortality", US_national_yearly!$D:$AM, 10, FALSE), 1)</f>
        <v>3.8117210885188473E-3</v>
      </c>
      <c r="G2" s="7">
        <f>$B2 * IFERROR(VLOOKUP("electricity|SO2|Premature mortality", US_national_yearly!$D:$AM, 15, FALSE) / VLOOKUP("electricity|SO2|Premature mortality", US_national_yearly!$D:$AM, 10, FALSE), 1)</f>
        <v>3.9012668200197405E-3</v>
      </c>
      <c r="H2" s="7">
        <f>$B2 * IFERROR(VLOOKUP("electricity|SO2|Premature mortality", US_national_yearly!$D:$AM, 16, FALSE) / VLOOKUP("electricity|SO2|Premature mortality", US_national_yearly!$D:$AM, 10, FALSE), 1)</f>
        <v>3.9908125515206328E-3</v>
      </c>
      <c r="I2" s="7">
        <f>$B2 * IFERROR(VLOOKUP("electricity|SO2|Premature mortality", US_national_yearly!$D:$AM, 17, FALSE) / VLOOKUP("electricity|SO2|Premature mortality", US_national_yearly!$D:$AM, 10, FALSE), 1)</f>
        <v>4.0510891965580362E-3</v>
      </c>
      <c r="J2" s="7">
        <f>$B2 * IFERROR(VLOOKUP("electricity|SO2|Premature mortality", US_national_yearly!$D:$AM, 18, FALSE) / VLOOKUP("electricity|SO2|Premature mortality", US_national_yearly!$D:$AM, 10, FALSE), 1)</f>
        <v>4.1113658415954397E-3</v>
      </c>
      <c r="K2" s="7">
        <f>$B2 * IFERROR(VLOOKUP("electricity|SO2|Premature mortality", US_national_yearly!$D:$AM, 19, FALSE) / VLOOKUP("electricity|SO2|Premature mortality", US_national_yearly!$D:$AM, 10, FALSE), 1)</f>
        <v>4.1716424866328422E-3</v>
      </c>
      <c r="L2" s="7">
        <f>$B2 * IFERROR(VLOOKUP("electricity|SO2|Premature mortality", US_national_yearly!$D:$AM, 20, FALSE) / VLOOKUP("electricity|SO2|Premature mortality", US_national_yearly!$D:$AM, 10, FALSE), 1)</f>
        <v>4.2319191316702465E-3</v>
      </c>
      <c r="M2" s="7">
        <f>$B2 * IFERROR(VLOOKUP("electricity|SO2|Premature mortality", US_national_yearly!$D:$AM, 21, FALSE) / VLOOKUP("electricity|SO2|Premature mortality", US_national_yearly!$D:$AM, 10, FALSE), 1)</f>
        <v>4.2921957767076482E-3</v>
      </c>
      <c r="N2" s="7">
        <f>$B2 * IFERROR(VLOOKUP("electricity|SO2|Premature mortality", US_national_yearly!$D:$AM, 22, FALSE) / VLOOKUP("electricity|SO2|Premature mortality", US_national_yearly!$D:$AM, 10, FALSE), 1)</f>
        <v>4.3405027033937248E-3</v>
      </c>
      <c r="O2" s="7">
        <f>$B2 * IFERROR(VLOOKUP("electricity|SO2|Premature mortality", US_national_yearly!$D:$AM, 23, FALSE) / VLOOKUP("electricity|SO2|Premature mortality", US_national_yearly!$D:$AM, 10, FALSE), 1)</f>
        <v>4.3888096300798013E-3</v>
      </c>
      <c r="P2" s="7">
        <f>$B2 * IFERROR(VLOOKUP("electricity|SO2|Premature mortality", US_national_yearly!$D:$AM, 24, FALSE) / VLOOKUP("electricity|SO2|Premature mortality", US_national_yearly!$D:$AM, 10, FALSE), 1)</f>
        <v>4.4371165567658761E-3</v>
      </c>
      <c r="Q2" s="7">
        <f>$B2 * IFERROR(VLOOKUP("electricity|SO2|Premature mortality", US_national_yearly!$D:$AM, 25, FALSE) / VLOOKUP("electricity|SO2|Premature mortality", US_national_yearly!$D:$AM, 10, FALSE), 1)</f>
        <v>4.4854234834519517E-3</v>
      </c>
      <c r="R2" s="7">
        <f>$B2 * IFERROR(VLOOKUP("electricity|SO2|Premature mortality", US_national_yearly!$D:$AM, 26, FALSE) / VLOOKUP("electricity|SO2|Premature mortality", US_national_yearly!$D:$AM, 10, FALSE), 1)</f>
        <v>4.5337304101380274E-3</v>
      </c>
      <c r="S2" s="7">
        <f>$B2 * IFERROR(VLOOKUP("electricity|SO2|Premature mortality", US_national_yearly!$D:$AM, 27, FALSE) / VLOOKUP("electricity|SO2|Premature mortality", US_national_yearly!$D:$AM, 10, FALSE), 1)</f>
        <v>4.5614261822305305E-3</v>
      </c>
      <c r="T2" s="7">
        <f>$B2 * IFERROR(VLOOKUP("electricity|SO2|Premature mortality", US_national_yearly!$D:$AM, 28, FALSE) / VLOOKUP("electricity|SO2|Premature mortality", US_national_yearly!$D:$AM, 10, FALSE), 1)</f>
        <v>4.5891219543230336E-3</v>
      </c>
      <c r="U2" s="7">
        <f>$B2 * IFERROR(VLOOKUP("electricity|SO2|Premature mortality", US_national_yearly!$D:$AM, 29, FALSE) / VLOOKUP("electricity|SO2|Premature mortality", US_national_yearly!$D:$AM, 10, FALSE), 1)</f>
        <v>4.6168177264155359E-3</v>
      </c>
      <c r="V2" s="7">
        <f>$B2 * IFERROR(VLOOKUP("electricity|SO2|Premature mortality", US_national_yearly!$D:$AM, 30, FALSE) / VLOOKUP("electricity|SO2|Premature mortality", US_national_yearly!$D:$AM, 10, FALSE), 1)</f>
        <v>4.6445134985080398E-3</v>
      </c>
      <c r="W2" s="7">
        <f>$B2 * IFERROR(VLOOKUP("electricity|SO2|Premature mortality", US_national_yearly!$D:$AM, 31, FALSE) / VLOOKUP("electricity|SO2|Premature mortality", US_national_yearly!$D:$AM, 10, FALSE), 1)</f>
        <v>4.6722092706005421E-3</v>
      </c>
      <c r="X2" s="7">
        <f>$B2 * IFERROR(VLOOKUP("electricity|SO2|Premature mortality", US_national_yearly!$D:$AM, 32, FALSE) / VLOOKUP("electricity|SO2|Premature mortality", US_national_yearly!$D:$AM, 10, FALSE), 1)</f>
        <v>4.6803697098794237E-3</v>
      </c>
      <c r="Y2" s="7">
        <f>$B2 * IFERROR(VLOOKUP("electricity|SO2|Premature mortality", US_national_yearly!$D:$AM, 33, FALSE) / VLOOKUP("electricity|SO2|Premature mortality", US_national_yearly!$D:$AM, 10, FALSE), 1)</f>
        <v>4.6885301491583035E-3</v>
      </c>
      <c r="Z2" s="7">
        <f>$B2 * IFERROR(VLOOKUP("electricity|SO2|Premature mortality", US_national_yearly!$D:$AM, 34, FALSE) / VLOOKUP("electricity|SO2|Premature mortality", US_national_yearly!$D:$AM, 10, FALSE), 1)</f>
        <v>4.6966905884371834E-3</v>
      </c>
      <c r="AA2" s="7">
        <f>$B2 * IFERROR(VLOOKUP("electricity|SO2|Premature mortality", US_national_yearly!$D:$AM, 35, FALSE) / VLOOKUP("electricity|SO2|Premature mortality", US_national_yearly!$D:$AM, 10, FALSE), 1)</f>
        <v>4.704851027716065E-3</v>
      </c>
      <c r="AB2" s="7">
        <f>$B2 * IFERROR(VLOOKUP("electricity|SO2|Premature mortality", US_national_yearly!$D:$AM, 36, FALSE) / VLOOKUP("electricity|SO2|Premature mortality", US_national_yearly!$D:$AM, 10, FALSE), 1)</f>
        <v>4.7130114669949449E-3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5.9591574094470644E-6</v>
      </c>
      <c r="C3" s="7">
        <f>$B3 * IFERROR(VLOOKUP("electricity|SO2|Infant mortality", US_national_yearly!$D:$AM, 11, FALSE) / VLOOKUP("electricity|SO2|Infant mortality", US_national_yearly!$D:$AM, 10, FALSE), 1)</f>
        <v>5.9088138598725291E-6</v>
      </c>
      <c r="D3" s="7">
        <f>$B3 * IFERROR(VLOOKUP("electricity|SO2|Infant mortality", US_national_yearly!$D:$AM, 12, FALSE) / VLOOKUP("electricity|SO2|Infant mortality", US_national_yearly!$D:$AM, 10, FALSE), 1)</f>
        <v>5.8584703102979929E-6</v>
      </c>
      <c r="E3" s="7">
        <f>$B3 * IFERROR(VLOOKUP("electricity|SO2|Infant mortality", US_national_yearly!$D:$AM, 13, FALSE) / VLOOKUP("electricity|SO2|Infant mortality", US_national_yearly!$D:$AM, 10, FALSE), 1)</f>
        <v>5.8081267607234568E-6</v>
      </c>
      <c r="F3" s="7">
        <f>$B3 * IFERROR(VLOOKUP("electricity|SO2|Infant mortality", US_national_yearly!$D:$AM, 14, FALSE) / VLOOKUP("electricity|SO2|Infant mortality", US_national_yearly!$D:$AM, 10, FALSE), 1)</f>
        <v>5.7577832111489223E-6</v>
      </c>
      <c r="G3" s="7">
        <f>$B3 * IFERROR(VLOOKUP("electricity|SO2|Infant mortality", US_national_yearly!$D:$AM, 15, FALSE) / VLOOKUP("electricity|SO2|Infant mortality", US_national_yearly!$D:$AM, 10, FALSE), 1)</f>
        <v>3.8292240958781457E-6</v>
      </c>
      <c r="H3" s="7">
        <f>$B3 * IFERROR(VLOOKUP("electricity|SO2|Infant mortality", US_national_yearly!$D:$AM, 16, FALSE) / VLOOKUP("electricity|SO2|Infant mortality", US_national_yearly!$D:$AM, 10, FALSE), 1)</f>
        <v>1.9006649806073682E-6</v>
      </c>
      <c r="I3" s="7">
        <f>$B3 * IFERROR(VLOOKUP("electricity|SO2|Infant mortality", US_national_yearly!$D:$AM, 17, FALSE) / VLOOKUP("electricity|SO2|Infant mortality", US_national_yearly!$D:$AM, 10, FALSE), 1)</f>
        <v>1.8885055131916448E-6</v>
      </c>
      <c r="J3" s="7">
        <f>$B3 * IFERROR(VLOOKUP("electricity|SO2|Infant mortality", US_national_yearly!$D:$AM, 18, FALSE) / VLOOKUP("electricity|SO2|Infant mortality", US_national_yearly!$D:$AM, 10, FALSE), 1)</f>
        <v>1.8763460457759211E-6</v>
      </c>
      <c r="K3" s="7">
        <f>$B3 * IFERROR(VLOOKUP("electricity|SO2|Infant mortality", US_national_yearly!$D:$AM, 19, FALSE) / VLOOKUP("electricity|SO2|Infant mortality", US_national_yearly!$D:$AM, 10, FALSE), 1)</f>
        <v>1.8641865783601983E-6</v>
      </c>
      <c r="L3" s="7">
        <f>$B3 * IFERROR(VLOOKUP("electricity|SO2|Infant mortality", US_national_yearly!$D:$AM, 20, FALSE) / VLOOKUP("electricity|SO2|Infant mortality", US_national_yearly!$D:$AM, 10, FALSE), 1)</f>
        <v>1.8520271109444747E-6</v>
      </c>
      <c r="M3" s="7">
        <f>$B3 * IFERROR(VLOOKUP("electricity|SO2|Infant mortality", US_national_yearly!$D:$AM, 21, FALSE) / VLOOKUP("electricity|SO2|Infant mortality", US_national_yearly!$D:$AM, 10, FALSE), 1)</f>
        <v>1.8398676435287512E-6</v>
      </c>
      <c r="N3" s="7">
        <f>$B3 * IFERROR(VLOOKUP("electricity|SO2|Infant mortality", US_national_yearly!$D:$AM, 22, FALSE) / VLOOKUP("electricity|SO2|Infant mortality", US_national_yearly!$D:$AM, 10, FALSE), 1)</f>
        <v>1.8321628661513095E-6</v>
      </c>
      <c r="O3" s="7">
        <f>$B3 * IFERROR(VLOOKUP("electricity|SO2|Infant mortality", US_national_yearly!$D:$AM, 23, FALSE) / VLOOKUP("electricity|SO2|Infant mortality", US_national_yearly!$D:$AM, 10, FALSE), 1)</f>
        <v>1.8244580887738674E-6</v>
      </c>
      <c r="P3" s="7">
        <f>$B3 * IFERROR(VLOOKUP("electricity|SO2|Infant mortality", US_national_yearly!$D:$AM, 24, FALSE) / VLOOKUP("electricity|SO2|Infant mortality", US_national_yearly!$D:$AM, 10, FALSE), 1)</f>
        <v>1.8167533113964252E-6</v>
      </c>
      <c r="Q3" s="7">
        <f>$B3 * IFERROR(VLOOKUP("electricity|SO2|Infant mortality", US_national_yearly!$D:$AM, 25, FALSE) / VLOOKUP("electricity|SO2|Infant mortality", US_national_yearly!$D:$AM, 10, FALSE), 1)</f>
        <v>1.8090485340189833E-6</v>
      </c>
      <c r="R3" s="7">
        <f>$B3 * IFERROR(VLOOKUP("electricity|SO2|Infant mortality", US_national_yearly!$D:$AM, 26, FALSE) / VLOOKUP("electricity|SO2|Infant mortality", US_national_yearly!$D:$AM, 10, FALSE), 1)</f>
        <v>1.8013437566415414E-6</v>
      </c>
      <c r="S3" s="7">
        <f>$B3 * IFERROR(VLOOKUP("electricity|SO2|Infant mortality", US_national_yearly!$D:$AM, 27, FALSE) / VLOOKUP("electricity|SO2|Infant mortality", US_national_yearly!$D:$AM, 10, FALSE), 1)</f>
        <v>1.7917407279191991E-6</v>
      </c>
      <c r="T3" s="7">
        <f>$B3 * IFERROR(VLOOKUP("electricity|SO2|Infant mortality", US_national_yearly!$D:$AM, 28, FALSE) / VLOOKUP("electricity|SO2|Infant mortality", US_national_yearly!$D:$AM, 10, FALSE), 1)</f>
        <v>1.7821376991968571E-6</v>
      </c>
      <c r="U3" s="7">
        <f>$B3 * IFERROR(VLOOKUP("electricity|SO2|Infant mortality", US_national_yearly!$D:$AM, 29, FALSE) / VLOOKUP("electricity|SO2|Infant mortality", US_national_yearly!$D:$AM, 10, FALSE), 1)</f>
        <v>1.772534670474515E-6</v>
      </c>
      <c r="V3" s="7">
        <f>$B3 * IFERROR(VLOOKUP("electricity|SO2|Infant mortality", US_national_yearly!$D:$AM, 30, FALSE) / VLOOKUP("electricity|SO2|Infant mortality", US_national_yearly!$D:$AM, 10, FALSE), 1)</f>
        <v>1.7629316417521731E-6</v>
      </c>
      <c r="W3" s="7">
        <f>$B3 * IFERROR(VLOOKUP("electricity|SO2|Infant mortality", US_national_yearly!$D:$AM, 31, FALSE) / VLOOKUP("electricity|SO2|Infant mortality", US_national_yearly!$D:$AM, 10, FALSE), 1)</f>
        <v>1.7533286130298307E-6</v>
      </c>
      <c r="X3" s="7">
        <f>$B3 * IFERROR(VLOOKUP("electricity|SO2|Infant mortality", US_national_yearly!$D:$AM, 32, FALSE) / VLOOKUP("electricity|SO2|Infant mortality", US_national_yearly!$D:$AM, 10, FALSE), 1)</f>
        <v>1.7430824625973869E-6</v>
      </c>
      <c r="Y3" s="7">
        <f>$B3 * IFERROR(VLOOKUP("electricity|SO2|Infant mortality", US_national_yearly!$D:$AM, 33, FALSE) / VLOOKUP("electricity|SO2|Infant mortality", US_national_yearly!$D:$AM, 10, FALSE), 1)</f>
        <v>1.7328363121649425E-6</v>
      </c>
      <c r="Z3" s="7">
        <f>$B3 * IFERROR(VLOOKUP("electricity|SO2|Infant mortality", US_national_yearly!$D:$AM, 34, FALSE) / VLOOKUP("electricity|SO2|Infant mortality", US_national_yearly!$D:$AM, 10, FALSE), 1)</f>
        <v>1.7225901617324987E-6</v>
      </c>
      <c r="AA3" s="7">
        <f>$B3 * IFERROR(VLOOKUP("electricity|SO2|Infant mortality", US_national_yearly!$D:$AM, 35, FALSE) / VLOOKUP("electricity|SO2|Infant mortality", US_national_yearly!$D:$AM, 10, FALSE), 1)</f>
        <v>1.7123440113000548E-6</v>
      </c>
      <c r="AB3" s="7">
        <f>$B3 * IFERROR(VLOOKUP("electricity|SO2|Infant mortality", US_national_yearly!$D:$AM, 36, FALSE) / VLOOKUP("electricity|SO2|Infant mortality", US_national_yearly!$D:$AM, 10, FALSE), 1)</f>
        <v>1.7020978608676108E-6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6.5674246118834862E-3</v>
      </c>
      <c r="C6" s="7">
        <f>$B6 * IFERROR(VLOOKUP("electricity|SO2|Asthma symptoms cough", US_national_yearly!$D:$AM, 11, FALSE) / VLOOKUP("electricity|SO2|Asthma symptoms cough", US_national_yearly!$D:$AM, 10, FALSE), 1)</f>
        <v>6.5674246118834862E-3</v>
      </c>
      <c r="D6" s="7">
        <f>$B6 * IFERROR(VLOOKUP("electricity|SO2|Asthma symptoms cough", US_national_yearly!$D:$AM, 12, FALSE) / VLOOKUP("electricity|SO2|Asthma symptoms cough", US_national_yearly!$D:$AM, 10, FALSE), 1)</f>
        <v>6.5674246118834862E-3</v>
      </c>
      <c r="E6" s="7">
        <f>$B6 * IFERROR(VLOOKUP("electricity|SO2|Asthma symptoms cough", US_national_yearly!$D:$AM, 13, FALSE) / VLOOKUP("electricity|SO2|Asthma symptoms cough", US_national_yearly!$D:$AM, 10, FALSE), 1)</f>
        <v>6.5674246118834862E-3</v>
      </c>
      <c r="F6" s="7">
        <f>$B6 * IFERROR(VLOOKUP("electricity|SO2|Asthma symptoms cough", US_national_yearly!$D:$AM, 14, FALSE) / VLOOKUP("electricity|SO2|Asthma symptoms cough", US_national_yearly!$D:$AM, 10, FALSE), 1)</f>
        <v>6.5674246118834862E-3</v>
      </c>
      <c r="G6" s="7">
        <f>$B6 * IFERROR(VLOOKUP("electricity|SO2|Asthma symptoms cough", US_national_yearly!$D:$AM, 15, FALSE) / VLOOKUP("electricity|SO2|Asthma symptoms cough", US_national_yearly!$D:$AM, 10, FALSE), 1)</f>
        <v>6.5674246118834862E-3</v>
      </c>
      <c r="H6" s="7">
        <f>$B6 * IFERROR(VLOOKUP("electricity|SO2|Asthma symptoms cough", US_national_yearly!$D:$AM, 16, FALSE) / VLOOKUP("electricity|SO2|Asthma symptoms cough", US_national_yearly!$D:$AM, 10, FALSE), 1)</f>
        <v>6.5674246118834862E-3</v>
      </c>
      <c r="I6" s="7">
        <f>$B6 * IFERROR(VLOOKUP("electricity|SO2|Asthma symptoms cough", US_national_yearly!$D:$AM, 17, FALSE) / VLOOKUP("electricity|SO2|Asthma symptoms cough", US_national_yearly!$D:$AM, 10, FALSE), 1)</f>
        <v>6.5674246118834862E-3</v>
      </c>
      <c r="J6" s="7">
        <f>$B6 * IFERROR(VLOOKUP("electricity|SO2|Asthma symptoms cough", US_national_yearly!$D:$AM, 18, FALSE) / VLOOKUP("electricity|SO2|Asthma symptoms cough", US_national_yearly!$D:$AM, 10, FALSE), 1)</f>
        <v>6.5674246118834862E-3</v>
      </c>
      <c r="K6" s="7">
        <f>$B6 * IFERROR(VLOOKUP("electricity|SO2|Asthma symptoms cough", US_national_yearly!$D:$AM, 19, FALSE) / VLOOKUP("electricity|SO2|Asthma symptoms cough", US_national_yearly!$D:$AM, 10, FALSE), 1)</f>
        <v>6.5674246118834862E-3</v>
      </c>
      <c r="L6" s="7">
        <f>$B6 * IFERROR(VLOOKUP("electricity|SO2|Asthma symptoms cough", US_national_yearly!$D:$AM, 20, FALSE) / VLOOKUP("electricity|SO2|Asthma symptoms cough", US_national_yearly!$D:$AM, 10, FALSE), 1)</f>
        <v>6.5674246118834862E-3</v>
      </c>
      <c r="M6" s="7">
        <f>$B6 * IFERROR(VLOOKUP("electricity|SO2|Asthma symptoms cough", US_national_yearly!$D:$AM, 21, FALSE) / VLOOKUP("electricity|SO2|Asthma symptoms cough", US_national_yearly!$D:$AM, 10, FALSE), 1)</f>
        <v>6.5674246118834862E-3</v>
      </c>
      <c r="N6" s="7">
        <f>$B6 * IFERROR(VLOOKUP("electricity|SO2|Asthma symptoms cough", US_national_yearly!$D:$AM, 22, FALSE) / VLOOKUP("electricity|SO2|Asthma symptoms cough", US_national_yearly!$D:$AM, 10, FALSE), 1)</f>
        <v>6.5674246118834862E-3</v>
      </c>
      <c r="O6" s="7">
        <f>$B6 * IFERROR(VLOOKUP("electricity|SO2|Asthma symptoms cough", US_national_yearly!$D:$AM, 23, FALSE) / VLOOKUP("electricity|SO2|Asthma symptoms cough", US_national_yearly!$D:$AM, 10, FALSE), 1)</f>
        <v>6.5674246118834862E-3</v>
      </c>
      <c r="P6" s="7">
        <f>$B6 * IFERROR(VLOOKUP("electricity|SO2|Asthma symptoms cough", US_national_yearly!$D:$AM, 24, FALSE) / VLOOKUP("electricity|SO2|Asthma symptoms cough", US_national_yearly!$D:$AM, 10, FALSE), 1)</f>
        <v>6.5674246118834862E-3</v>
      </c>
      <c r="Q6" s="7">
        <f>$B6 * IFERROR(VLOOKUP("electricity|SO2|Asthma symptoms cough", US_national_yearly!$D:$AM, 25, FALSE) / VLOOKUP("electricity|SO2|Asthma symptoms cough", US_national_yearly!$D:$AM, 10, FALSE), 1)</f>
        <v>6.5674246118834862E-3</v>
      </c>
      <c r="R6" s="7">
        <f>$B6 * IFERROR(VLOOKUP("electricity|SO2|Asthma symptoms cough", US_national_yearly!$D:$AM, 26, FALSE) / VLOOKUP("electricity|SO2|Asthma symptoms cough", US_national_yearly!$D:$AM, 10, FALSE), 1)</f>
        <v>6.5674246118834862E-3</v>
      </c>
      <c r="S6" s="7">
        <f>$B6 * IFERROR(VLOOKUP("electricity|SO2|Asthma symptoms cough", US_national_yearly!$D:$AM, 27, FALSE) / VLOOKUP("electricity|SO2|Asthma symptoms cough", US_national_yearly!$D:$AM, 10, FALSE), 1)</f>
        <v>6.5674246118834862E-3</v>
      </c>
      <c r="T6" s="7">
        <f>$B6 * IFERROR(VLOOKUP("electricity|SO2|Asthma symptoms cough", US_national_yearly!$D:$AM, 28, FALSE) / VLOOKUP("electricity|SO2|Asthma symptoms cough", US_national_yearly!$D:$AM, 10, FALSE), 1)</f>
        <v>6.5674246118834862E-3</v>
      </c>
      <c r="U6" s="7">
        <f>$B6 * IFERROR(VLOOKUP("electricity|SO2|Asthma symptoms cough", US_national_yearly!$D:$AM, 29, FALSE) / VLOOKUP("electricity|SO2|Asthma symptoms cough", US_national_yearly!$D:$AM, 10, FALSE), 1)</f>
        <v>6.5674246118834862E-3</v>
      </c>
      <c r="V6" s="7">
        <f>$B6 * IFERROR(VLOOKUP("electricity|SO2|Asthma symptoms cough", US_national_yearly!$D:$AM, 30, FALSE) / VLOOKUP("electricity|SO2|Asthma symptoms cough", US_national_yearly!$D:$AM, 10, FALSE), 1)</f>
        <v>6.5674246118834862E-3</v>
      </c>
      <c r="W6" s="7">
        <f>$B6 * IFERROR(VLOOKUP("electricity|SO2|Asthma symptoms cough", US_national_yearly!$D:$AM, 31, FALSE) / VLOOKUP("electricity|SO2|Asthma symptoms cough", US_national_yearly!$D:$AM, 10, FALSE), 1)</f>
        <v>6.5674246118834862E-3</v>
      </c>
      <c r="X6" s="7">
        <f>$B6 * IFERROR(VLOOKUP("electricity|SO2|Asthma symptoms cough", US_national_yearly!$D:$AM, 32, FALSE) / VLOOKUP("electricity|SO2|Asthma symptoms cough", US_national_yearly!$D:$AM, 10, FALSE), 1)</f>
        <v>6.5674246118834862E-3</v>
      </c>
      <c r="Y6" s="7">
        <f>$B6 * IFERROR(VLOOKUP("electricity|SO2|Asthma symptoms cough", US_national_yearly!$D:$AM, 33, FALSE) / VLOOKUP("electricity|SO2|Asthma symptoms cough", US_national_yearly!$D:$AM, 10, FALSE), 1)</f>
        <v>6.5674246118834862E-3</v>
      </c>
      <c r="Z6" s="7">
        <f>$B6 * IFERROR(VLOOKUP("electricity|SO2|Asthma symptoms cough", US_national_yearly!$D:$AM, 34, FALSE) / VLOOKUP("electricity|SO2|Asthma symptoms cough", US_national_yearly!$D:$AM, 10, FALSE), 1)</f>
        <v>6.5674246118834862E-3</v>
      </c>
      <c r="AA6" s="7">
        <f>$B6 * IFERROR(VLOOKUP("electricity|SO2|Asthma symptoms cough", US_national_yearly!$D:$AM, 35, FALSE) / VLOOKUP("electricity|SO2|Asthma symptoms cough", US_national_yearly!$D:$AM, 10, FALSE), 1)</f>
        <v>6.5674246118834862E-3</v>
      </c>
      <c r="AB6" s="7">
        <f>$B6 * IFERROR(VLOOKUP("electricity|SO2|Asthma symptoms cough", US_national_yearly!$D:$AM, 36, FALSE) / VLOOKUP("electricity|SO2|Asthma symptoms cough", US_national_yearly!$D:$AM, 10, FALSE), 1)</f>
        <v>6.5674246118834862E-3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8.8439915511500031E-3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8.8439915511500031E-3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8.8439915511500031E-3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8.8439915511500031E-3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8.8439915511500031E-3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8.8439915511500031E-3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8.8439915511500031E-3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8.8439915511500031E-3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8.8439915511500031E-3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8.8439915511500031E-3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8.8439915511500031E-3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8.8439915511500031E-3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8.8439915511500031E-3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8.8439915511500031E-3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8.8439915511500031E-3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8.8439915511500031E-3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8.8439915511500031E-3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8.8439915511500031E-3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8.8439915511500031E-3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8.8439915511500031E-3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8.8439915511500031E-3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8.8439915511500031E-3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8.8439915511500031E-3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8.8439915511500031E-3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8.8439915511500031E-3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8.8439915511500031E-3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8.8439915511500031E-3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1.3512115473009435E-2</v>
      </c>
      <c r="C8" s="7">
        <f>$B8 * IFERROR(VLOOKUP("electricity|SO2|Asthma symptoms wheeze", US_national_yearly!$D:$AM, 11, FALSE) / VLOOKUP("electricity|SO2|Asthma symptoms wheeze", US_national_yearly!$D:$AM, 10, FALSE), 1)</f>
        <v>1.3512115473009435E-2</v>
      </c>
      <c r="D8" s="7">
        <f>$B8 * IFERROR(VLOOKUP("electricity|SO2|Asthma symptoms wheeze", US_national_yearly!$D:$AM, 12, FALSE) / VLOOKUP("electricity|SO2|Asthma symptoms wheeze", US_national_yearly!$D:$AM, 10, FALSE), 1)</f>
        <v>1.3512115473009435E-2</v>
      </c>
      <c r="E8" s="7">
        <f>$B8 * IFERROR(VLOOKUP("electricity|SO2|Asthma symptoms wheeze", US_national_yearly!$D:$AM, 13, FALSE) / VLOOKUP("electricity|SO2|Asthma symptoms wheeze", US_national_yearly!$D:$AM, 10, FALSE), 1)</f>
        <v>1.3512115473009435E-2</v>
      </c>
      <c r="F8" s="7">
        <f>$B8 * IFERROR(VLOOKUP("electricity|SO2|Asthma symptoms wheeze", US_national_yearly!$D:$AM, 14, FALSE) / VLOOKUP("electricity|SO2|Asthma symptoms wheeze", US_national_yearly!$D:$AM, 10, FALSE), 1)</f>
        <v>1.3512115473009435E-2</v>
      </c>
      <c r="G8" s="7">
        <f>$B8 * IFERROR(VLOOKUP("electricity|SO2|Asthma symptoms wheeze", US_national_yearly!$D:$AM, 15, FALSE) / VLOOKUP("electricity|SO2|Asthma symptoms wheeze", US_national_yearly!$D:$AM, 10, FALSE), 1)</f>
        <v>1.3512115473009435E-2</v>
      </c>
      <c r="H8" s="7">
        <f>$B8 * IFERROR(VLOOKUP("electricity|SO2|Asthma symptoms wheeze", US_national_yearly!$D:$AM, 16, FALSE) / VLOOKUP("electricity|SO2|Asthma symptoms wheeze", US_national_yearly!$D:$AM, 10, FALSE), 1)</f>
        <v>1.3512115473009435E-2</v>
      </c>
      <c r="I8" s="7">
        <f>$B8 * IFERROR(VLOOKUP("electricity|SO2|Asthma symptoms wheeze", US_national_yearly!$D:$AM, 17, FALSE) / VLOOKUP("electricity|SO2|Asthma symptoms wheeze", US_national_yearly!$D:$AM, 10, FALSE), 1)</f>
        <v>1.3512115473009435E-2</v>
      </c>
      <c r="J8" s="7">
        <f>$B8 * IFERROR(VLOOKUP("electricity|SO2|Asthma symptoms wheeze", US_national_yearly!$D:$AM, 18, FALSE) / VLOOKUP("electricity|SO2|Asthma symptoms wheeze", US_national_yearly!$D:$AM, 10, FALSE), 1)</f>
        <v>1.3512115473009435E-2</v>
      </c>
      <c r="K8" s="7">
        <f>$B8 * IFERROR(VLOOKUP("electricity|SO2|Asthma symptoms wheeze", US_national_yearly!$D:$AM, 19, FALSE) / VLOOKUP("electricity|SO2|Asthma symptoms wheeze", US_national_yearly!$D:$AM, 10, FALSE), 1)</f>
        <v>1.3512115473009435E-2</v>
      </c>
      <c r="L8" s="7">
        <f>$B8 * IFERROR(VLOOKUP("electricity|SO2|Asthma symptoms wheeze", US_national_yearly!$D:$AM, 20, FALSE) / VLOOKUP("electricity|SO2|Asthma symptoms wheeze", US_national_yearly!$D:$AM, 10, FALSE), 1)</f>
        <v>1.3512115473009435E-2</v>
      </c>
      <c r="M8" s="7">
        <f>$B8 * IFERROR(VLOOKUP("electricity|SO2|Asthma symptoms wheeze", US_national_yearly!$D:$AM, 21, FALSE) / VLOOKUP("electricity|SO2|Asthma symptoms wheeze", US_national_yearly!$D:$AM, 10, FALSE), 1)</f>
        <v>1.3512115473009435E-2</v>
      </c>
      <c r="N8" s="7">
        <f>$B8 * IFERROR(VLOOKUP("electricity|SO2|Asthma symptoms wheeze", US_national_yearly!$D:$AM, 22, FALSE) / VLOOKUP("electricity|SO2|Asthma symptoms wheeze", US_national_yearly!$D:$AM, 10, FALSE), 1)</f>
        <v>1.3512115473009435E-2</v>
      </c>
      <c r="O8" s="7">
        <f>$B8 * IFERROR(VLOOKUP("electricity|SO2|Asthma symptoms wheeze", US_national_yearly!$D:$AM, 23, FALSE) / VLOOKUP("electricity|SO2|Asthma symptoms wheeze", US_national_yearly!$D:$AM, 10, FALSE), 1)</f>
        <v>1.3512115473009435E-2</v>
      </c>
      <c r="P8" s="7">
        <f>$B8 * IFERROR(VLOOKUP("electricity|SO2|Asthma symptoms wheeze", US_national_yearly!$D:$AM, 24, FALSE) / VLOOKUP("electricity|SO2|Asthma symptoms wheeze", US_national_yearly!$D:$AM, 10, FALSE), 1)</f>
        <v>1.3512115473009435E-2</v>
      </c>
      <c r="Q8" s="7">
        <f>$B8 * IFERROR(VLOOKUP("electricity|SO2|Asthma symptoms wheeze", US_national_yearly!$D:$AM, 25, FALSE) / VLOOKUP("electricity|SO2|Asthma symptoms wheeze", US_national_yearly!$D:$AM, 10, FALSE), 1)</f>
        <v>1.3512115473009435E-2</v>
      </c>
      <c r="R8" s="7">
        <f>$B8 * IFERROR(VLOOKUP("electricity|SO2|Asthma symptoms wheeze", US_national_yearly!$D:$AM, 26, FALSE) / VLOOKUP("electricity|SO2|Asthma symptoms wheeze", US_national_yearly!$D:$AM, 10, FALSE), 1)</f>
        <v>1.3512115473009435E-2</v>
      </c>
      <c r="S8" s="7">
        <f>$B8 * IFERROR(VLOOKUP("electricity|SO2|Asthma symptoms wheeze", US_national_yearly!$D:$AM, 27, FALSE) / VLOOKUP("electricity|SO2|Asthma symptoms wheeze", US_national_yearly!$D:$AM, 10, FALSE), 1)</f>
        <v>1.3512115473009435E-2</v>
      </c>
      <c r="T8" s="7">
        <f>$B8 * IFERROR(VLOOKUP("electricity|SO2|Asthma symptoms wheeze", US_national_yearly!$D:$AM, 28, FALSE) / VLOOKUP("electricity|SO2|Asthma symptoms wheeze", US_national_yearly!$D:$AM, 10, FALSE), 1)</f>
        <v>1.3512115473009435E-2</v>
      </c>
      <c r="U8" s="7">
        <f>$B8 * IFERROR(VLOOKUP("electricity|SO2|Asthma symptoms wheeze", US_national_yearly!$D:$AM, 29, FALSE) / VLOOKUP("electricity|SO2|Asthma symptoms wheeze", US_national_yearly!$D:$AM, 10, FALSE), 1)</f>
        <v>1.3512115473009435E-2</v>
      </c>
      <c r="V8" s="7">
        <f>$B8 * IFERROR(VLOOKUP("electricity|SO2|Asthma symptoms wheeze", US_national_yearly!$D:$AM, 30, FALSE) / VLOOKUP("electricity|SO2|Asthma symptoms wheeze", US_national_yearly!$D:$AM, 10, FALSE), 1)</f>
        <v>1.3512115473009435E-2</v>
      </c>
      <c r="W8" s="7">
        <f>$B8 * IFERROR(VLOOKUP("electricity|SO2|Asthma symptoms wheeze", US_national_yearly!$D:$AM, 31, FALSE) / VLOOKUP("electricity|SO2|Asthma symptoms wheeze", US_national_yearly!$D:$AM, 10, FALSE), 1)</f>
        <v>1.3512115473009435E-2</v>
      </c>
      <c r="X8" s="7">
        <f>$B8 * IFERROR(VLOOKUP("electricity|SO2|Asthma symptoms wheeze", US_national_yearly!$D:$AM, 32, FALSE) / VLOOKUP("electricity|SO2|Asthma symptoms wheeze", US_national_yearly!$D:$AM, 10, FALSE), 1)</f>
        <v>1.3512115473009435E-2</v>
      </c>
      <c r="Y8" s="7">
        <f>$B8 * IFERROR(VLOOKUP("electricity|SO2|Asthma symptoms wheeze", US_national_yearly!$D:$AM, 33, FALSE) / VLOOKUP("electricity|SO2|Asthma symptoms wheeze", US_national_yearly!$D:$AM, 10, FALSE), 1)</f>
        <v>1.3512115473009435E-2</v>
      </c>
      <c r="Z8" s="7">
        <f>$B8 * IFERROR(VLOOKUP("electricity|SO2|Asthma symptoms wheeze", US_national_yearly!$D:$AM, 34, FALSE) / VLOOKUP("electricity|SO2|Asthma symptoms wheeze", US_national_yearly!$D:$AM, 10, FALSE), 1)</f>
        <v>1.3512115473009435E-2</v>
      </c>
      <c r="AA8" s="7">
        <f>$B8 * IFERROR(VLOOKUP("electricity|SO2|Asthma symptoms wheeze", US_national_yearly!$D:$AM, 35, FALSE) / VLOOKUP("electricity|SO2|Asthma symptoms wheeze", US_national_yearly!$D:$AM, 10, FALSE), 1)</f>
        <v>1.3512115473009435E-2</v>
      </c>
      <c r="AB8" s="7">
        <f>$B8 * IFERROR(VLOOKUP("electricity|SO2|Asthma symptoms wheeze", US_national_yearly!$D:$AM, 36, FALSE) / VLOOKUP("electricity|SO2|Asthma symptoms wheeze", US_national_yearly!$D:$AM, 10, FALSE), 1)</f>
        <v>1.3512115473009435E-2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4.2056535000060713E-4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4.2304232468871775E-4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4.2551929937682847E-4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4.2799627406493913E-4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4.3047324875304985E-4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4.3317239708120294E-4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4.3587154540935613E-4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4.3846816554697225E-4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4.4106478568458853E-4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4.4366140582220476E-4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4.4625802595982093E-4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4.4885464609743716E-4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4.5071709890150249E-4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4.5257955170556789E-4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4.5444200450963322E-4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4.5630445731369851E-4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4.581669101177639E-4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4.5992479141330025E-4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4.6168267270883665E-4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4.63440554004373E-4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4.651984352999094E-4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4.6695631659544586E-4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4.686426994810973E-4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4.7032908236674891E-4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4.7201546525240052E-4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4.7370184813805196E-4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4.7538823102370357E-4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3.5499210348448212E-3</v>
      </c>
      <c r="C13" s="7">
        <f>$B13 * IFERROR(VLOOKUP("electricity|SO2|Non-fatal heart attacks", US_national_yearly!$D:$AM, 11, FALSE) / VLOOKUP("electricity|SO2|Non-fatal heart attacks", US_national_yearly!$D:$AM, 10, FALSE), 1)</f>
        <v>3.6544859806677136E-3</v>
      </c>
      <c r="D13" s="7">
        <f>$B13 * IFERROR(VLOOKUP("electricity|SO2|Non-fatal heart attacks", US_national_yearly!$D:$AM, 12, FALSE) / VLOOKUP("electricity|SO2|Non-fatal heart attacks", US_national_yearly!$D:$AM, 10, FALSE), 1)</f>
        <v>3.7590509264906046E-3</v>
      </c>
      <c r="E13" s="7">
        <f>$B13 * IFERROR(VLOOKUP("electricity|SO2|Non-fatal heart attacks", US_national_yearly!$D:$AM, 13, FALSE) / VLOOKUP("electricity|SO2|Non-fatal heart attacks", US_national_yearly!$D:$AM, 10, FALSE), 1)</f>
        <v>3.8636158723134974E-3</v>
      </c>
      <c r="F13" s="7">
        <f>$B13 * IFERROR(VLOOKUP("electricity|SO2|Non-fatal heart attacks", US_national_yearly!$D:$AM, 14, FALSE) / VLOOKUP("electricity|SO2|Non-fatal heart attacks", US_national_yearly!$D:$AM, 10, FALSE), 1)</f>
        <v>3.9681808181363893E-3</v>
      </c>
      <c r="G13" s="7">
        <f>$B13 * IFERROR(VLOOKUP("electricity|SO2|Non-fatal heart attacks", US_national_yearly!$D:$AM, 15, FALSE) / VLOOKUP("electricity|SO2|Non-fatal heart attacks", US_national_yearly!$D:$AM, 10, FALSE), 1)</f>
        <v>4.0674160889910419E-3</v>
      </c>
      <c r="H13" s="7">
        <f>$B13 * IFERROR(VLOOKUP("electricity|SO2|Non-fatal heart attacks", US_national_yearly!$D:$AM, 16, FALSE) / VLOOKUP("electricity|SO2|Non-fatal heart attacks", US_national_yearly!$D:$AM, 10, FALSE), 1)</f>
        <v>4.1666513598456953E-3</v>
      </c>
      <c r="I13" s="7">
        <f>$B13 * IFERROR(VLOOKUP("electricity|SO2|Non-fatal heart attacks", US_national_yearly!$D:$AM, 17, FALSE) / VLOOKUP("electricity|SO2|Non-fatal heart attacks", US_national_yearly!$D:$AM, 10, FALSE), 1)</f>
        <v>4.2474671293118368E-3</v>
      </c>
      <c r="J13" s="7">
        <f>$B13 * IFERROR(VLOOKUP("electricity|SO2|Non-fatal heart attacks", US_national_yearly!$D:$AM, 18, FALSE) / VLOOKUP("electricity|SO2|Non-fatal heart attacks", US_national_yearly!$D:$AM, 10, FALSE), 1)</f>
        <v>4.3282828987779784E-3</v>
      </c>
      <c r="K13" s="7">
        <f>$B13 * IFERROR(VLOOKUP("electricity|SO2|Non-fatal heart attacks", US_national_yearly!$D:$AM, 19, FALSE) / VLOOKUP("electricity|SO2|Non-fatal heart attacks", US_national_yearly!$D:$AM, 10, FALSE), 1)</f>
        <v>4.4090986682441199E-3</v>
      </c>
      <c r="L13" s="7">
        <f>$B13 * IFERROR(VLOOKUP("electricity|SO2|Non-fatal heart attacks", US_national_yearly!$D:$AM, 20, FALSE) / VLOOKUP("electricity|SO2|Non-fatal heart attacks", US_national_yearly!$D:$AM, 10, FALSE), 1)</f>
        <v>4.4899144377102615E-3</v>
      </c>
      <c r="M13" s="7">
        <f>$B13 * IFERROR(VLOOKUP("electricity|SO2|Non-fatal heart attacks", US_national_yearly!$D:$AM, 21, FALSE) / VLOOKUP("electricity|SO2|Non-fatal heart attacks", US_national_yearly!$D:$AM, 10, FALSE), 1)</f>
        <v>4.570730207176403E-3</v>
      </c>
      <c r="N13" s="7">
        <f>$B13 * IFERROR(VLOOKUP("electricity|SO2|Non-fatal heart attacks", US_national_yearly!$D:$AM, 22, FALSE) / VLOOKUP("electricity|SO2|Non-fatal heart attacks", US_national_yearly!$D:$AM, 10, FALSE), 1)</f>
        <v>4.6240244024584442E-3</v>
      </c>
      <c r="O13" s="7">
        <f>$B13 * IFERROR(VLOOKUP("electricity|SO2|Non-fatal heart attacks", US_national_yearly!$D:$AM, 23, FALSE) / VLOOKUP("electricity|SO2|Non-fatal heart attacks", US_national_yearly!$D:$AM, 10, FALSE), 1)</f>
        <v>4.6773185977404853E-3</v>
      </c>
      <c r="P13" s="7">
        <f>$B13 * IFERROR(VLOOKUP("electricity|SO2|Non-fatal heart attacks", US_national_yearly!$D:$AM, 24, FALSE) / VLOOKUP("electricity|SO2|Non-fatal heart attacks", US_national_yearly!$D:$AM, 10, FALSE), 1)</f>
        <v>4.7306127930225273E-3</v>
      </c>
      <c r="Q13" s="7">
        <f>$B13 * IFERROR(VLOOKUP("electricity|SO2|Non-fatal heart attacks", US_national_yearly!$D:$AM, 25, FALSE) / VLOOKUP("electricity|SO2|Non-fatal heart attacks", US_national_yearly!$D:$AM, 10, FALSE), 1)</f>
        <v>4.7839069883045685E-3</v>
      </c>
      <c r="R13" s="7">
        <f>$B13 * IFERROR(VLOOKUP("electricity|SO2|Non-fatal heart attacks", US_national_yearly!$D:$AM, 26, FALSE) / VLOOKUP("electricity|SO2|Non-fatal heart attacks", US_national_yearly!$D:$AM, 10, FALSE), 1)</f>
        <v>4.8372011835866105E-3</v>
      </c>
      <c r="S13" s="7">
        <f>$B13 * IFERROR(VLOOKUP("electricity|SO2|Non-fatal heart attacks", US_national_yearly!$D:$AM, 27, FALSE) / VLOOKUP("electricity|SO2|Non-fatal heart attacks", US_national_yearly!$D:$AM, 10, FALSE), 1)</f>
        <v>4.8662026164157952E-3</v>
      </c>
      <c r="T13" s="7">
        <f>$B13 * IFERROR(VLOOKUP("electricity|SO2|Non-fatal heart attacks", US_national_yearly!$D:$AM, 28, FALSE) / VLOOKUP("electricity|SO2|Non-fatal heart attacks", US_national_yearly!$D:$AM, 10, FALSE), 1)</f>
        <v>4.8952040492449816E-3</v>
      </c>
      <c r="U13" s="7">
        <f>$B13 * IFERROR(VLOOKUP("electricity|SO2|Non-fatal heart attacks", US_national_yearly!$D:$AM, 29, FALSE) / VLOOKUP("electricity|SO2|Non-fatal heart attacks", US_national_yearly!$D:$AM, 10, FALSE), 1)</f>
        <v>4.9242054820741671E-3</v>
      </c>
      <c r="V13" s="7">
        <f>$B13 * IFERROR(VLOOKUP("electricity|SO2|Non-fatal heart attacks", US_national_yearly!$D:$AM, 30, FALSE) / VLOOKUP("electricity|SO2|Non-fatal heart attacks", US_national_yearly!$D:$AM, 10, FALSE), 1)</f>
        <v>4.9532069149033518E-3</v>
      </c>
      <c r="W13" s="7">
        <f>$B13 * IFERROR(VLOOKUP("electricity|SO2|Non-fatal heart attacks", US_national_yearly!$D:$AM, 31, FALSE) / VLOOKUP("electricity|SO2|Non-fatal heart attacks", US_national_yearly!$D:$AM, 10, FALSE), 1)</f>
        <v>4.9822083477325373E-3</v>
      </c>
      <c r="X13" s="7">
        <f>$B13 * IFERROR(VLOOKUP("electricity|SO2|Non-fatal heart attacks", US_national_yearly!$D:$AM, 32, FALSE) / VLOOKUP("electricity|SO2|Non-fatal heart attacks", US_national_yearly!$D:$AM, 10, FALSE), 1)</f>
        <v>5.0044862898162125E-3</v>
      </c>
      <c r="Y13" s="7">
        <f>$B13 * IFERROR(VLOOKUP("electricity|SO2|Non-fatal heart attacks", US_national_yearly!$D:$AM, 33, FALSE) / VLOOKUP("electricity|SO2|Non-fatal heart attacks", US_national_yearly!$D:$AM, 10, FALSE), 1)</f>
        <v>5.0267642318998895E-3</v>
      </c>
      <c r="Z13" s="7">
        <f>$B13 * IFERROR(VLOOKUP("electricity|SO2|Non-fatal heart attacks", US_national_yearly!$D:$AM, 34, FALSE) / VLOOKUP("electricity|SO2|Non-fatal heart attacks", US_national_yearly!$D:$AM, 10, FALSE), 1)</f>
        <v>5.0490421739835638E-3</v>
      </c>
      <c r="AA13" s="7">
        <f>$B13 * IFERROR(VLOOKUP("electricity|SO2|Non-fatal heart attacks", US_national_yearly!$D:$AM, 35, FALSE) / VLOOKUP("electricity|SO2|Non-fatal heart attacks", US_national_yearly!$D:$AM, 10, FALSE), 1)</f>
        <v>5.071320116067239E-3</v>
      </c>
      <c r="AB13" s="7">
        <f>$B13 * IFERROR(VLOOKUP("electricity|SO2|Non-fatal heart attacks", US_national_yearly!$D:$AM, 36, FALSE) / VLOOKUP("electricity|SO2|Non-fatal heart attacks", US_national_yearly!$D:$AM, 10, FALSE), 1)</f>
        <v>5.0935980581509142E-3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0.93340956120890206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0.93575517478427517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0.93810078835964839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0.94044640193502171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0.9427920155103946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0.94618092002047927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0.94956982453056393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0.95538205668113552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0.96119428883170732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0.96700652098227891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0.97281875313285093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0.97863098528342252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0.98663526851683647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0.99463955175025021</v>
      </c>
      <c r="P14" s="7">
        <f>$B14 * IFERROR(VLOOKUP("electricity|SO2|Minor restricted activity days", US_national_yearly!$D:$AM, 24, FALSE) / VLOOKUP("electricity|SO2|Minor restricted activity days", US_national_yearly!$D:$AM, 10, FALSE), 1)</f>
        <v>1.0026438349836639</v>
      </c>
      <c r="Q14" s="7">
        <f>$B14 * IFERROR(VLOOKUP("electricity|SO2|Minor restricted activity days", US_national_yearly!$D:$AM, 25, FALSE) / VLOOKUP("electricity|SO2|Minor restricted activity days", US_national_yearly!$D:$AM, 10, FALSE), 1)</f>
        <v>1.0106481182170779</v>
      </c>
      <c r="R14" s="7">
        <f>$B14 * IFERROR(VLOOKUP("electricity|SO2|Minor restricted activity days", US_national_yearly!$D:$AM, 26, FALSE) / VLOOKUP("electricity|SO2|Minor restricted activity days", US_national_yearly!$D:$AM, 10, FALSE), 1)</f>
        <v>1.0186524014504919</v>
      </c>
      <c r="S14" s="7">
        <f>$B14 * IFERROR(VLOOKUP("electricity|SO2|Minor restricted activity days", US_national_yearly!$D:$AM, 27, FALSE) / VLOOKUP("electricity|SO2|Minor restricted activity days", US_national_yearly!$D:$AM, 10, FALSE), 1)</f>
        <v>1.0268580537088465</v>
      </c>
      <c r="T14" s="7">
        <f>$B14 * IFERROR(VLOOKUP("electricity|SO2|Minor restricted activity days", US_national_yearly!$D:$AM, 28, FALSE) / VLOOKUP("electricity|SO2|Minor restricted activity days", US_national_yearly!$D:$AM, 10, FALSE), 1)</f>
        <v>1.0350637059672014</v>
      </c>
      <c r="U14" s="7">
        <f>$B14 * IFERROR(VLOOKUP("electricity|SO2|Minor restricted activity days", US_national_yearly!$D:$AM, 29, FALSE) / VLOOKUP("electricity|SO2|Minor restricted activity days", US_national_yearly!$D:$AM, 10, FALSE), 1)</f>
        <v>1.0432693582255559</v>
      </c>
      <c r="V14" s="7">
        <f>$B14 * IFERROR(VLOOKUP("electricity|SO2|Minor restricted activity days", US_national_yearly!$D:$AM, 30, FALSE) / VLOOKUP("electricity|SO2|Minor restricted activity days", US_national_yearly!$D:$AM, 10, FALSE), 1)</f>
        <v>1.0514750104839108</v>
      </c>
      <c r="W14" s="7">
        <f>$B14 * IFERROR(VLOOKUP("electricity|SO2|Minor restricted activity days", US_national_yearly!$D:$AM, 31, FALSE) / VLOOKUP("electricity|SO2|Minor restricted activity days", US_national_yearly!$D:$AM, 10, FALSE), 1)</f>
        <v>1.0596806627422655</v>
      </c>
      <c r="X14" s="7">
        <f>$B14 * IFERROR(VLOOKUP("electricity|SO2|Minor restricted activity days", US_national_yearly!$D:$AM, 32, FALSE) / VLOOKUP("electricity|SO2|Minor restricted activity days", US_national_yearly!$D:$AM, 10, FALSE), 1)</f>
        <v>1.0669007374111299</v>
      </c>
      <c r="Y14" s="7">
        <f>$B14 * IFERROR(VLOOKUP("electricity|SO2|Minor restricted activity days", US_national_yearly!$D:$AM, 33, FALSE) / VLOOKUP("electricity|SO2|Minor restricted activity days", US_national_yearly!$D:$AM, 10, FALSE), 1)</f>
        <v>1.0741208120799941</v>
      </c>
      <c r="Z14" s="7">
        <f>$B14 * IFERROR(VLOOKUP("electricity|SO2|Minor restricted activity days", US_national_yearly!$D:$AM, 34, FALSE) / VLOOKUP("electricity|SO2|Minor restricted activity days", US_national_yearly!$D:$AM, 10, FALSE), 1)</f>
        <v>1.0813408867488581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1.0885609614177225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1.0957810360865867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0.1562480787235967</v>
      </c>
      <c r="C15" s="7">
        <f>$B15 * IFERROR(VLOOKUP("electricity|SO2|Work loss days", US_national_yearly!$D:$AM, 11, FALSE) / VLOOKUP("electricity|SO2|Work loss days", US_national_yearly!$D:$AM, 10, FALSE), 1)</f>
        <v>0.15675401472794123</v>
      </c>
      <c r="D15" s="7">
        <f>$B15 * IFERROR(VLOOKUP("electricity|SO2|Work loss days", US_national_yearly!$D:$AM, 12, FALSE) / VLOOKUP("electricity|SO2|Work loss days", US_national_yearly!$D:$AM, 10, FALSE), 1)</f>
        <v>0.15725995073228577</v>
      </c>
      <c r="E15" s="7">
        <f>$B15 * IFERROR(VLOOKUP("electricity|SO2|Work loss days", US_national_yearly!$D:$AM, 13, FALSE) / VLOOKUP("electricity|SO2|Work loss days", US_national_yearly!$D:$AM, 10, FALSE), 1)</f>
        <v>0.15776588673663033</v>
      </c>
      <c r="F15" s="7">
        <f>$B15 * IFERROR(VLOOKUP("electricity|SO2|Work loss days", US_national_yearly!$D:$AM, 14, FALSE) / VLOOKUP("electricity|SO2|Work loss days", US_national_yearly!$D:$AM, 10, FALSE), 1)</f>
        <v>0.15827182274097487</v>
      </c>
      <c r="G15" s="7">
        <f>$B15 * IFERROR(VLOOKUP("electricity|SO2|Work loss days", US_national_yearly!$D:$AM, 15, FALSE) / VLOOKUP("electricity|SO2|Work loss days", US_national_yearly!$D:$AM, 10, FALSE), 1)</f>
        <v>0.1589199581123327</v>
      </c>
      <c r="H15" s="7">
        <f>$B15 * IFERROR(VLOOKUP("electricity|SO2|Work loss days", US_national_yearly!$D:$AM, 16, FALSE) / VLOOKUP("electricity|SO2|Work loss days", US_national_yearly!$D:$AM, 10, FALSE), 1)</f>
        <v>0.15956809348369055</v>
      </c>
      <c r="I15" s="7">
        <f>$B15 * IFERROR(VLOOKUP("electricity|SO2|Work loss days", US_national_yearly!$D:$AM, 17, FALSE) / VLOOKUP("electricity|SO2|Work loss days", US_national_yearly!$D:$AM, 10, FALSE), 1)</f>
        <v>0.16051639177154084</v>
      </c>
      <c r="J15" s="7">
        <f>$B15 * IFERROR(VLOOKUP("electricity|SO2|Work loss days", US_national_yearly!$D:$AM, 18, FALSE) / VLOOKUP("electricity|SO2|Work loss days", US_national_yearly!$D:$AM, 10, FALSE), 1)</f>
        <v>0.1614646900593911</v>
      </c>
      <c r="K15" s="7">
        <f>$B15 * IFERROR(VLOOKUP("electricity|SO2|Work loss days", US_national_yearly!$D:$AM, 19, FALSE) / VLOOKUP("electricity|SO2|Work loss days", US_national_yearly!$D:$AM, 10, FALSE), 1)</f>
        <v>0.16241298834724141</v>
      </c>
      <c r="L15" s="7">
        <f>$B15 * IFERROR(VLOOKUP("electricity|SO2|Work loss days", US_national_yearly!$D:$AM, 20, FALSE) / VLOOKUP("electricity|SO2|Work loss days", US_national_yearly!$D:$AM, 10, FALSE), 1)</f>
        <v>0.16336128663509167</v>
      </c>
      <c r="M15" s="7">
        <f>$B15 * IFERROR(VLOOKUP("electricity|SO2|Work loss days", US_national_yearly!$D:$AM, 21, FALSE) / VLOOKUP("electricity|SO2|Work loss days", US_national_yearly!$D:$AM, 10, FALSE), 1)</f>
        <v>0.16430958492294198</v>
      </c>
      <c r="N15" s="7">
        <f>$B15 * IFERROR(VLOOKUP("electricity|SO2|Work loss days", US_national_yearly!$D:$AM, 22, FALSE) / VLOOKUP("electricity|SO2|Work loss days", US_national_yearly!$D:$AM, 10, FALSE), 1)</f>
        <v>0.16550941809339548</v>
      </c>
      <c r="O15" s="7">
        <f>$B15 * IFERROR(VLOOKUP("electricity|SO2|Work loss days", US_national_yearly!$D:$AM, 23, FALSE) / VLOOKUP("electricity|SO2|Work loss days", US_national_yearly!$D:$AM, 10, FALSE), 1)</f>
        <v>0.16670925126384903</v>
      </c>
      <c r="P15" s="7">
        <f>$B15 * IFERROR(VLOOKUP("electricity|SO2|Work loss days", US_national_yearly!$D:$AM, 24, FALSE) / VLOOKUP("electricity|SO2|Work loss days", US_national_yearly!$D:$AM, 10, FALSE), 1)</f>
        <v>0.16790908443430255</v>
      </c>
      <c r="Q15" s="7">
        <f>$B15 * IFERROR(VLOOKUP("electricity|SO2|Work loss days", US_national_yearly!$D:$AM, 25, FALSE) / VLOOKUP("electricity|SO2|Work loss days", US_national_yearly!$D:$AM, 10, FALSE), 1)</f>
        <v>0.16910891760475605</v>
      </c>
      <c r="R15" s="7">
        <f>$B15 * IFERROR(VLOOKUP("electricity|SO2|Work loss days", US_national_yearly!$D:$AM, 26, FALSE) / VLOOKUP("electricity|SO2|Work loss days", US_national_yearly!$D:$AM, 10, FALSE), 1)</f>
        <v>0.1703087507752096</v>
      </c>
      <c r="S15" s="7">
        <f>$B15 * IFERROR(VLOOKUP("electricity|SO2|Work loss days", US_national_yearly!$D:$AM, 27, FALSE) / VLOOKUP("electricity|SO2|Work loss days", US_national_yearly!$D:$AM, 10, FALSE), 1)</f>
        <v>0.17165387572419591</v>
      </c>
      <c r="T15" s="7">
        <f>$B15 * IFERROR(VLOOKUP("electricity|SO2|Work loss days", US_national_yearly!$D:$AM, 28, FALSE) / VLOOKUP("electricity|SO2|Work loss days", US_national_yearly!$D:$AM, 10, FALSE), 1)</f>
        <v>0.17299900067318225</v>
      </c>
      <c r="U15" s="7">
        <f>$B15 * IFERROR(VLOOKUP("electricity|SO2|Work loss days", US_national_yearly!$D:$AM, 29, FALSE) / VLOOKUP("electricity|SO2|Work loss days", US_national_yearly!$D:$AM, 10, FALSE), 1)</f>
        <v>0.17434412562216861</v>
      </c>
      <c r="V15" s="7">
        <f>$B15 * IFERROR(VLOOKUP("electricity|SO2|Work loss days", US_national_yearly!$D:$AM, 30, FALSE) / VLOOKUP("electricity|SO2|Work loss days", US_national_yearly!$D:$AM, 10, FALSE), 1)</f>
        <v>0.17568925057115495</v>
      </c>
      <c r="W15" s="7">
        <f>$B15 * IFERROR(VLOOKUP("electricity|SO2|Work loss days", US_national_yearly!$D:$AM, 31, FALSE) / VLOOKUP("electricity|SO2|Work loss days", US_national_yearly!$D:$AM, 10, FALSE), 1)</f>
        <v>0.17703437552014131</v>
      </c>
      <c r="X15" s="7">
        <f>$B15 * IFERROR(VLOOKUP("electricity|SO2|Work loss days", US_national_yearly!$D:$AM, 32, FALSE) / VLOOKUP("electricity|SO2|Work loss days", US_national_yearly!$D:$AM, 10, FALSE), 1)</f>
        <v>0.17824620005841971</v>
      </c>
      <c r="Y15" s="7">
        <f>$B15 * IFERROR(VLOOKUP("electricity|SO2|Work loss days", US_national_yearly!$D:$AM, 33, FALSE) / VLOOKUP("electricity|SO2|Work loss days", US_national_yearly!$D:$AM, 10, FALSE), 1)</f>
        <v>0.17945802459669813</v>
      </c>
      <c r="Z15" s="7">
        <f>$B15 * IFERROR(VLOOKUP("electricity|SO2|Work loss days", US_national_yearly!$D:$AM, 34, FALSE) / VLOOKUP("electricity|SO2|Work loss days", US_national_yearly!$D:$AM, 10, FALSE), 1)</f>
        <v>0.18066984913497652</v>
      </c>
      <c r="AA15" s="7">
        <f>$B15 * IFERROR(VLOOKUP("electricity|SO2|Work loss days", US_national_yearly!$D:$AM, 35, FALSE) / VLOOKUP("electricity|SO2|Work loss days", US_national_yearly!$D:$AM, 10, FALSE), 1)</f>
        <v>0.18188167367325495</v>
      </c>
      <c r="AB15" s="7">
        <f>$B15 * IFERROR(VLOOKUP("electricity|SO2|Work loss days", US_national_yearly!$D:$AM, 36, FALSE) / VLOOKUP("electricity|SO2|Work loss days", US_national_yearly!$D:$AM, 10, FALSE), 1)</f>
        <v>0.18309349821153334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4.2466687941211982E-4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4.3753546635664315E-4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4.5040405330116649E-4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4.6327264024568988E-4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4.7614122719021322E-4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4.8854572499843136E-4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5.0095022280664955E-4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5.1168929943748703E-4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5.224283760683244E-4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5.3316745269916188E-4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5.4390652932999925E-4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5.5464560596083662E-4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5.6197499712975509E-4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5.6930438829867357E-4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5.7663377946759226E-4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5.8396317063651062E-4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5.912925618054291E-4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5.9531066831404228E-4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5.9932877482265536E-4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6.0334688133126865E-4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6.0736498783988172E-4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6.1138309434849479E-4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6.1415674433491101E-4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6.1693039432132713E-4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6.1970404430774324E-4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6.2247769429415946E-4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6.2525134428057557E-4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9.5770443194131433E-3</v>
      </c>
      <c r="C2" s="7">
        <f>$B2 * IFERROR(VLOOKUP("buildings|PM25|Premature mortality", US_national_yearly!$D:$AM, 11, FALSE) / VLOOKUP("buildings|PM25|Premature mortality", US_national_yearly!$D:$AM, 10, FALSE), 1)</f>
        <v>9.6958646819300543E-3</v>
      </c>
      <c r="D2" s="7">
        <f>$B2 * IFERROR(VLOOKUP("buildings|PM25|Premature mortality", US_national_yearly!$D:$AM, 12, FALSE) / VLOOKUP("buildings|PM25|Premature mortality", US_national_yearly!$D:$AM, 10, FALSE), 1)</f>
        <v>9.814685044446967E-3</v>
      </c>
      <c r="E2" s="7">
        <f>$B2 * IFERROR(VLOOKUP("buildings|PM25|Premature mortality", US_national_yearly!$D:$AM, 13, FALSE) / VLOOKUP("buildings|PM25|Premature mortality", US_national_yearly!$D:$AM, 10, FALSE), 1)</f>
        <v>9.933505406963878E-3</v>
      </c>
      <c r="F2" s="7">
        <f>$B2 * IFERROR(VLOOKUP("buildings|PM25|Premature mortality", US_national_yearly!$D:$AM, 14, FALSE) / VLOOKUP("buildings|PM25|Premature mortality", US_national_yearly!$D:$AM, 10, FALSE), 1)</f>
        <v>1.0052325769480789E-2</v>
      </c>
      <c r="G2" s="7">
        <f>$B2 * IFERROR(VLOOKUP("buildings|PM25|Premature mortality", US_national_yearly!$D:$AM, 15, FALSE) / VLOOKUP("buildings|PM25|Premature mortality", US_national_yearly!$D:$AM, 10, FALSE), 1)</f>
        <v>1.0283693381920913E-2</v>
      </c>
      <c r="H2" s="7">
        <f>$B2 * IFERROR(VLOOKUP("buildings|PM25|Premature mortality", US_national_yearly!$D:$AM, 16, FALSE) / VLOOKUP("buildings|PM25|Premature mortality", US_national_yearly!$D:$AM, 10, FALSE), 1)</f>
        <v>1.0515060994361038E-2</v>
      </c>
      <c r="I2" s="7">
        <f>$B2 * IFERROR(VLOOKUP("buildings|PM25|Premature mortality", US_national_yearly!$D:$AM, 17, FALSE) / VLOOKUP("buildings|PM25|Premature mortality", US_national_yearly!$D:$AM, 10, FALSE), 1)</f>
        <v>1.0667227487978929E-2</v>
      </c>
      <c r="J2" s="7">
        <f>$B2 * IFERROR(VLOOKUP("buildings|PM25|Premature mortality", US_national_yearly!$D:$AM, 18, FALSE) / VLOOKUP("buildings|PM25|Premature mortality", US_national_yearly!$D:$AM, 10, FALSE), 1)</f>
        <v>1.081939398159682E-2</v>
      </c>
      <c r="K2" s="7">
        <f>$B2 * IFERROR(VLOOKUP("buildings|PM25|Premature mortality", US_national_yearly!$D:$AM, 19, FALSE) / VLOOKUP("buildings|PM25|Premature mortality", US_national_yearly!$D:$AM, 10, FALSE), 1)</f>
        <v>1.097156047521471E-2</v>
      </c>
      <c r="L2" s="7">
        <f>$B2 * IFERROR(VLOOKUP("buildings|PM25|Premature mortality", US_national_yearly!$D:$AM, 20, FALSE) / VLOOKUP("buildings|PM25|Premature mortality", US_national_yearly!$D:$AM, 10, FALSE), 1)</f>
        <v>1.1123726968832601E-2</v>
      </c>
      <c r="M2" s="7">
        <f>$B2 * IFERROR(VLOOKUP("buildings|PM25|Premature mortality", US_national_yearly!$D:$AM, 21, FALSE) / VLOOKUP("buildings|PM25|Premature mortality", US_national_yearly!$D:$AM, 10, FALSE), 1)</f>
        <v>1.1275893462450491E-2</v>
      </c>
      <c r="N2" s="7">
        <f>$B2 * IFERROR(VLOOKUP("buildings|PM25|Premature mortality", US_national_yearly!$D:$AM, 22, FALSE) / VLOOKUP("buildings|PM25|Premature mortality", US_national_yearly!$D:$AM, 10, FALSE), 1)</f>
        <v>1.1394219823298257E-2</v>
      </c>
      <c r="O2" s="7">
        <f>$B2 * IFERROR(VLOOKUP("buildings|PM25|Premature mortality", US_national_yearly!$D:$AM, 23, FALSE) / VLOOKUP("buildings|PM25|Premature mortality", US_national_yearly!$D:$AM, 10, FALSE), 1)</f>
        <v>1.1512546184146022E-2</v>
      </c>
      <c r="P2" s="7">
        <f>$B2 * IFERROR(VLOOKUP("buildings|PM25|Premature mortality", US_national_yearly!$D:$AM, 24, FALSE) / VLOOKUP("buildings|PM25|Premature mortality", US_national_yearly!$D:$AM, 10, FALSE), 1)</f>
        <v>1.1630872544993785E-2</v>
      </c>
      <c r="Q2" s="7">
        <f>$B2 * IFERROR(VLOOKUP("buildings|PM25|Premature mortality", US_national_yearly!$D:$AM, 25, FALSE) / VLOOKUP("buildings|PM25|Premature mortality", US_national_yearly!$D:$AM, 10, FALSE), 1)</f>
        <v>1.1749198905841553E-2</v>
      </c>
      <c r="R2" s="7">
        <f>$B2 * IFERROR(VLOOKUP("buildings|PM25|Premature mortality", US_national_yearly!$D:$AM, 26, FALSE) / VLOOKUP("buildings|PM25|Premature mortality", US_national_yearly!$D:$AM, 10, FALSE), 1)</f>
        <v>1.1867525266689318E-2</v>
      </c>
      <c r="S2" s="7">
        <f>$B2 * IFERROR(VLOOKUP("buildings|PM25|Premature mortality", US_national_yearly!$D:$AM, 27, FALSE) / VLOOKUP("buildings|PM25|Premature mortality", US_national_yearly!$D:$AM, 10, FALSE), 1)</f>
        <v>1.1930416902801182E-2</v>
      </c>
      <c r="T2" s="7">
        <f>$B2 * IFERROR(VLOOKUP("buildings|PM25|Premature mortality", US_national_yearly!$D:$AM, 28, FALSE) / VLOOKUP("buildings|PM25|Premature mortality", US_national_yearly!$D:$AM, 10, FALSE), 1)</f>
        <v>1.1993308538913049E-2</v>
      </c>
      <c r="U2" s="7">
        <f>$B2 * IFERROR(VLOOKUP("buildings|PM25|Premature mortality", US_national_yearly!$D:$AM, 29, FALSE) / VLOOKUP("buildings|PM25|Premature mortality", US_national_yearly!$D:$AM, 10, FALSE), 1)</f>
        <v>1.2056200175024916E-2</v>
      </c>
      <c r="V2" s="7">
        <f>$B2 * IFERROR(VLOOKUP("buildings|PM25|Premature mortality", US_national_yearly!$D:$AM, 30, FALSE) / VLOOKUP("buildings|PM25|Premature mortality", US_national_yearly!$D:$AM, 10, FALSE), 1)</f>
        <v>1.2119091811136783E-2</v>
      </c>
      <c r="W2" s="7">
        <f>$B2 * IFERROR(VLOOKUP("buildings|PM25|Premature mortality", US_national_yearly!$D:$AM, 31, FALSE) / VLOOKUP("buildings|PM25|Premature mortality", US_national_yearly!$D:$AM, 10, FALSE), 1)</f>
        <v>1.2181983447248648E-2</v>
      </c>
      <c r="X2" s="7">
        <f>$B2 * IFERROR(VLOOKUP("buildings|PM25|Premature mortality", US_national_yearly!$D:$AM, 32, FALSE) / VLOOKUP("buildings|PM25|Premature mortality", US_national_yearly!$D:$AM, 10, FALSE), 1)</f>
        <v>1.2193271991026277E-2</v>
      </c>
      <c r="Y2" s="7">
        <f>$B2 * IFERROR(VLOOKUP("buildings|PM25|Premature mortality", US_national_yearly!$D:$AM, 33, FALSE) / VLOOKUP("buildings|PM25|Premature mortality", US_national_yearly!$D:$AM, 10, FALSE), 1)</f>
        <v>1.2204560534803906E-2</v>
      </c>
      <c r="Z2" s="7">
        <f>$B2 * IFERROR(VLOOKUP("buildings|PM25|Premature mortality", US_national_yearly!$D:$AM, 34, FALSE) / VLOOKUP("buildings|PM25|Premature mortality", US_national_yearly!$D:$AM, 10, FALSE), 1)</f>
        <v>1.2215849078581534E-2</v>
      </c>
      <c r="AA2" s="7">
        <f>$B2 * IFERROR(VLOOKUP("buildings|PM25|Premature mortality", US_national_yearly!$D:$AM, 35, FALSE) / VLOOKUP("buildings|PM25|Premature mortality", US_national_yearly!$D:$AM, 10, FALSE), 1)</f>
        <v>1.2227137622359163E-2</v>
      </c>
      <c r="AB2" s="7">
        <f>$B2 * IFERROR(VLOOKUP("buildings|PM25|Premature mortality", US_national_yearly!$D:$AM, 36, FALSE) / VLOOKUP("buildings|PM25|Premature mortality", US_national_yearly!$D:$AM, 10, FALSE), 1)</f>
        <v>1.223842616613679E-2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1.6694635942768528E-5</v>
      </c>
      <c r="C3" s="7">
        <f>$B3 * IFERROR(VLOOKUP("buildings|PM25|Infant mortality", US_national_yearly!$D:$AM, 11, FALSE) / VLOOKUP("buildings|PM25|Infant mortality", US_national_yearly!$D:$AM, 10, FALSE), 1)</f>
        <v>1.6550033389396732E-5</v>
      </c>
      <c r="D3" s="7">
        <f>$B3 * IFERROR(VLOOKUP("buildings|PM25|Infant mortality", US_national_yearly!$D:$AM, 12, FALSE) / VLOOKUP("buildings|PM25|Infant mortality", US_national_yearly!$D:$AM, 10, FALSE), 1)</f>
        <v>1.6405430836024933E-5</v>
      </c>
      <c r="E3" s="7">
        <f>$B3 * IFERROR(VLOOKUP("buildings|PM25|Infant mortality", US_national_yearly!$D:$AM, 13, FALSE) / VLOOKUP("buildings|PM25|Infant mortality", US_national_yearly!$D:$AM, 10, FALSE), 1)</f>
        <v>1.6260828282653138E-5</v>
      </c>
      <c r="F3" s="7">
        <f>$B3 * IFERROR(VLOOKUP("buildings|PM25|Infant mortality", US_national_yearly!$D:$AM, 14, FALSE) / VLOOKUP("buildings|PM25|Infant mortality", US_national_yearly!$D:$AM, 10, FALSE), 1)</f>
        <v>1.6116225729281342E-5</v>
      </c>
      <c r="G3" s="7">
        <f>$B3 * IFERROR(VLOOKUP("buildings|PM25|Infant mortality", US_national_yearly!$D:$AM, 15, FALSE) / VLOOKUP("buildings|PM25|Infant mortality", US_national_yearly!$D:$AM, 10, FALSE), 1)</f>
        <v>1.0716705426594941E-5</v>
      </c>
      <c r="H3" s="7">
        <f>$B3 * IFERROR(VLOOKUP("buildings|PM25|Infant mortality", US_national_yearly!$D:$AM, 16, FALSE) / VLOOKUP("buildings|PM25|Infant mortality", US_national_yearly!$D:$AM, 10, FALSE), 1)</f>
        <v>5.3171851239085403E-6</v>
      </c>
      <c r="I3" s="7">
        <f>$B3 * IFERROR(VLOOKUP("buildings|PM25|Infant mortality", US_national_yearly!$D:$AM, 17, FALSE) / VLOOKUP("buildings|PM25|Infant mortality", US_national_yearly!$D:$AM, 10, FALSE), 1)</f>
        <v>5.2825361888269034E-6</v>
      </c>
      <c r="J3" s="7">
        <f>$B3 * IFERROR(VLOOKUP("buildings|PM25|Infant mortality", US_national_yearly!$D:$AM, 18, FALSE) / VLOOKUP("buildings|PM25|Infant mortality", US_national_yearly!$D:$AM, 10, FALSE), 1)</f>
        <v>5.2478872537452658E-6</v>
      </c>
      <c r="K3" s="7">
        <f>$B3 * IFERROR(VLOOKUP("buildings|PM25|Infant mortality", US_national_yearly!$D:$AM, 19, FALSE) / VLOOKUP("buildings|PM25|Infant mortality", US_national_yearly!$D:$AM, 10, FALSE), 1)</f>
        <v>5.2132383186636289E-6</v>
      </c>
      <c r="L3" s="7">
        <f>$B3 * IFERROR(VLOOKUP("buildings|PM25|Infant mortality", US_national_yearly!$D:$AM, 20, FALSE) / VLOOKUP("buildings|PM25|Infant mortality", US_national_yearly!$D:$AM, 10, FALSE), 1)</f>
        <v>5.1785893835819921E-6</v>
      </c>
      <c r="M3" s="7">
        <f>$B3 * IFERROR(VLOOKUP("buildings|PM25|Infant mortality", US_national_yearly!$D:$AM, 21, FALSE) / VLOOKUP("buildings|PM25|Infant mortality", US_national_yearly!$D:$AM, 10, FALSE), 1)</f>
        <v>5.1439404485003544E-6</v>
      </c>
      <c r="N3" s="7">
        <f>$B3 * IFERROR(VLOOKUP("buildings|PM25|Infant mortality", US_national_yearly!$D:$AM, 22, FALSE) / VLOOKUP("buildings|PM25|Infant mortality", US_national_yearly!$D:$AM, 10, FALSE), 1)</f>
        <v>5.1222607585201183E-6</v>
      </c>
      <c r="O3" s="7">
        <f>$B3 * IFERROR(VLOOKUP("buildings|PM25|Infant mortality", US_national_yearly!$D:$AM, 23, FALSE) / VLOOKUP("buildings|PM25|Infant mortality", US_national_yearly!$D:$AM, 10, FALSE), 1)</f>
        <v>5.1005810685398813E-6</v>
      </c>
      <c r="P3" s="7">
        <f>$B3 * IFERROR(VLOOKUP("buildings|PM25|Infant mortality", US_national_yearly!$D:$AM, 24, FALSE) / VLOOKUP("buildings|PM25|Infant mortality", US_national_yearly!$D:$AM, 10, FALSE), 1)</f>
        <v>5.0789013785596452E-6</v>
      </c>
      <c r="Q3" s="7">
        <f>$B3 * IFERROR(VLOOKUP("buildings|PM25|Infant mortality", US_national_yearly!$D:$AM, 25, FALSE) / VLOOKUP("buildings|PM25|Infant mortality", US_national_yearly!$D:$AM, 10, FALSE), 1)</f>
        <v>5.0572216885794082E-6</v>
      </c>
      <c r="R3" s="7">
        <f>$B3 * IFERROR(VLOOKUP("buildings|PM25|Infant mortality", US_national_yearly!$D:$AM, 26, FALSE) / VLOOKUP("buildings|PM25|Infant mortality", US_national_yearly!$D:$AM, 10, FALSE), 1)</f>
        <v>5.035541998599172E-6</v>
      </c>
      <c r="S3" s="7">
        <f>$B3 * IFERROR(VLOOKUP("buildings|PM25|Infant mortality", US_national_yearly!$D:$AM, 27, FALSE) / VLOOKUP("buildings|PM25|Infant mortality", US_national_yearly!$D:$AM, 10, FALSE), 1)</f>
        <v>5.0084734149073899E-6</v>
      </c>
      <c r="T3" s="7">
        <f>$B3 * IFERROR(VLOOKUP("buildings|PM25|Infant mortality", US_national_yearly!$D:$AM, 28, FALSE) / VLOOKUP("buildings|PM25|Infant mortality", US_national_yearly!$D:$AM, 10, FALSE), 1)</f>
        <v>4.9814048312156085E-6</v>
      </c>
      <c r="U3" s="7">
        <f>$B3 * IFERROR(VLOOKUP("buildings|PM25|Infant mortality", US_national_yearly!$D:$AM, 29, FALSE) / VLOOKUP("buildings|PM25|Infant mortality", US_national_yearly!$D:$AM, 10, FALSE), 1)</f>
        <v>4.9543362475238255E-6</v>
      </c>
      <c r="V3" s="7">
        <f>$B3 * IFERROR(VLOOKUP("buildings|PM25|Infant mortality", US_national_yearly!$D:$AM, 30, FALSE) / VLOOKUP("buildings|PM25|Infant mortality", US_national_yearly!$D:$AM, 10, FALSE), 1)</f>
        <v>4.9272676638320442E-6</v>
      </c>
      <c r="W3" s="7">
        <f>$B3 * IFERROR(VLOOKUP("buildings|PM25|Infant mortality", US_national_yearly!$D:$AM, 31, FALSE) / VLOOKUP("buildings|PM25|Infant mortality", US_national_yearly!$D:$AM, 10, FALSE), 1)</f>
        <v>4.900199080140262E-6</v>
      </c>
      <c r="X3" s="7">
        <f>$B3 * IFERROR(VLOOKUP("buildings|PM25|Infant mortality", US_national_yearly!$D:$AM, 32, FALSE) / VLOOKUP("buildings|PM25|Infant mortality", US_national_yearly!$D:$AM, 10, FALSE), 1)</f>
        <v>4.871056264612152E-6</v>
      </c>
      <c r="Y3" s="7">
        <f>$B3 * IFERROR(VLOOKUP("buildings|PM25|Infant mortality", US_national_yearly!$D:$AM, 33, FALSE) / VLOOKUP("buildings|PM25|Infant mortality", US_national_yearly!$D:$AM, 10, FALSE), 1)</f>
        <v>4.8419134490840428E-6</v>
      </c>
      <c r="Z3" s="7">
        <f>$B3 * IFERROR(VLOOKUP("buildings|PM25|Infant mortality", US_national_yearly!$D:$AM, 34, FALSE) / VLOOKUP("buildings|PM25|Infant mortality", US_national_yearly!$D:$AM, 10, FALSE), 1)</f>
        <v>4.8127706335559327E-6</v>
      </c>
      <c r="AA3" s="7">
        <f>$B3 * IFERROR(VLOOKUP("buildings|PM25|Infant mortality", US_national_yearly!$D:$AM, 35, FALSE) / VLOOKUP("buildings|PM25|Infant mortality", US_national_yearly!$D:$AM, 10, FALSE), 1)</f>
        <v>4.7836278180278218E-6</v>
      </c>
      <c r="AB3" s="7">
        <f>$B3 * IFERROR(VLOOKUP("buildings|PM25|Infant mortality", US_national_yearly!$D:$AM, 36, FALSE) / VLOOKUP("buildings|PM25|Infant mortality", US_national_yearly!$D:$AM, 10, FALSE), 1)</f>
        <v>4.7544850024997126E-6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1.6816468843344083E-2</v>
      </c>
      <c r="C6" s="7">
        <f>$B6 * IFERROR(VLOOKUP("buildings|PM25|Asthma symptoms cough", US_national_yearly!$D:$AM, 11, FALSE) / VLOOKUP("buildings|PM25|Asthma symptoms cough", US_national_yearly!$D:$AM, 10, FALSE), 1)</f>
        <v>1.6816468843344083E-2</v>
      </c>
      <c r="D6" s="7">
        <f>$B6 * IFERROR(VLOOKUP("buildings|PM25|Asthma symptoms cough", US_national_yearly!$D:$AM, 12, FALSE) / VLOOKUP("buildings|PM25|Asthma symptoms cough", US_national_yearly!$D:$AM, 10, FALSE), 1)</f>
        <v>1.6816468843344083E-2</v>
      </c>
      <c r="E6" s="7">
        <f>$B6 * IFERROR(VLOOKUP("buildings|PM25|Asthma symptoms cough", US_national_yearly!$D:$AM, 13, FALSE) / VLOOKUP("buildings|PM25|Asthma symptoms cough", US_national_yearly!$D:$AM, 10, FALSE), 1)</f>
        <v>1.6816468843344083E-2</v>
      </c>
      <c r="F6" s="7">
        <f>$B6 * IFERROR(VLOOKUP("buildings|PM25|Asthma symptoms cough", US_national_yearly!$D:$AM, 14, FALSE) / VLOOKUP("buildings|PM25|Asthma symptoms cough", US_national_yearly!$D:$AM, 10, FALSE), 1)</f>
        <v>1.6816468843344083E-2</v>
      </c>
      <c r="G6" s="7">
        <f>$B6 * IFERROR(VLOOKUP("buildings|PM25|Asthma symptoms cough", US_national_yearly!$D:$AM, 15, FALSE) / VLOOKUP("buildings|PM25|Asthma symptoms cough", US_national_yearly!$D:$AM, 10, FALSE), 1)</f>
        <v>1.6816468843344083E-2</v>
      </c>
      <c r="H6" s="7">
        <f>$B6 * IFERROR(VLOOKUP("buildings|PM25|Asthma symptoms cough", US_national_yearly!$D:$AM, 16, FALSE) / VLOOKUP("buildings|PM25|Asthma symptoms cough", US_national_yearly!$D:$AM, 10, FALSE), 1)</f>
        <v>1.6816468843344083E-2</v>
      </c>
      <c r="I6" s="7">
        <f>$B6 * IFERROR(VLOOKUP("buildings|PM25|Asthma symptoms cough", US_national_yearly!$D:$AM, 17, FALSE) / VLOOKUP("buildings|PM25|Asthma symptoms cough", US_national_yearly!$D:$AM, 10, FALSE), 1)</f>
        <v>1.6816468843344083E-2</v>
      </c>
      <c r="J6" s="7">
        <f>$B6 * IFERROR(VLOOKUP("buildings|PM25|Asthma symptoms cough", US_national_yearly!$D:$AM, 18, FALSE) / VLOOKUP("buildings|PM25|Asthma symptoms cough", US_national_yearly!$D:$AM, 10, FALSE), 1)</f>
        <v>1.6816468843344083E-2</v>
      </c>
      <c r="K6" s="7">
        <f>$B6 * IFERROR(VLOOKUP("buildings|PM25|Asthma symptoms cough", US_national_yearly!$D:$AM, 19, FALSE) / VLOOKUP("buildings|PM25|Asthma symptoms cough", US_national_yearly!$D:$AM, 10, FALSE), 1)</f>
        <v>1.6816468843344083E-2</v>
      </c>
      <c r="L6" s="7">
        <f>$B6 * IFERROR(VLOOKUP("buildings|PM25|Asthma symptoms cough", US_national_yearly!$D:$AM, 20, FALSE) / VLOOKUP("buildings|PM25|Asthma symptoms cough", US_national_yearly!$D:$AM, 10, FALSE), 1)</f>
        <v>1.6816468843344083E-2</v>
      </c>
      <c r="M6" s="7">
        <f>$B6 * IFERROR(VLOOKUP("buildings|PM25|Asthma symptoms cough", US_national_yearly!$D:$AM, 21, FALSE) / VLOOKUP("buildings|PM25|Asthma symptoms cough", US_national_yearly!$D:$AM, 10, FALSE), 1)</f>
        <v>1.6816468843344083E-2</v>
      </c>
      <c r="N6" s="7">
        <f>$B6 * IFERROR(VLOOKUP("buildings|PM25|Asthma symptoms cough", US_national_yearly!$D:$AM, 22, FALSE) / VLOOKUP("buildings|PM25|Asthma symptoms cough", US_national_yearly!$D:$AM, 10, FALSE), 1)</f>
        <v>1.6816468843344083E-2</v>
      </c>
      <c r="O6" s="7">
        <f>$B6 * IFERROR(VLOOKUP("buildings|PM25|Asthma symptoms cough", US_national_yearly!$D:$AM, 23, FALSE) / VLOOKUP("buildings|PM25|Asthma symptoms cough", US_national_yearly!$D:$AM, 10, FALSE), 1)</f>
        <v>1.6816468843344083E-2</v>
      </c>
      <c r="P6" s="7">
        <f>$B6 * IFERROR(VLOOKUP("buildings|PM25|Asthma symptoms cough", US_national_yearly!$D:$AM, 24, FALSE) / VLOOKUP("buildings|PM25|Asthma symptoms cough", US_national_yearly!$D:$AM, 10, FALSE), 1)</f>
        <v>1.6816468843344083E-2</v>
      </c>
      <c r="Q6" s="7">
        <f>$B6 * IFERROR(VLOOKUP("buildings|PM25|Asthma symptoms cough", US_national_yearly!$D:$AM, 25, FALSE) / VLOOKUP("buildings|PM25|Asthma symptoms cough", US_national_yearly!$D:$AM, 10, FALSE), 1)</f>
        <v>1.6816468843344083E-2</v>
      </c>
      <c r="R6" s="7">
        <f>$B6 * IFERROR(VLOOKUP("buildings|PM25|Asthma symptoms cough", US_national_yearly!$D:$AM, 26, FALSE) / VLOOKUP("buildings|PM25|Asthma symptoms cough", US_national_yearly!$D:$AM, 10, FALSE), 1)</f>
        <v>1.6816468843344083E-2</v>
      </c>
      <c r="S6" s="7">
        <f>$B6 * IFERROR(VLOOKUP("buildings|PM25|Asthma symptoms cough", US_national_yearly!$D:$AM, 27, FALSE) / VLOOKUP("buildings|PM25|Asthma symptoms cough", US_national_yearly!$D:$AM, 10, FALSE), 1)</f>
        <v>1.6816468843344083E-2</v>
      </c>
      <c r="T6" s="7">
        <f>$B6 * IFERROR(VLOOKUP("buildings|PM25|Asthma symptoms cough", US_national_yearly!$D:$AM, 28, FALSE) / VLOOKUP("buildings|PM25|Asthma symptoms cough", US_national_yearly!$D:$AM, 10, FALSE), 1)</f>
        <v>1.6816468843344083E-2</v>
      </c>
      <c r="U6" s="7">
        <f>$B6 * IFERROR(VLOOKUP("buildings|PM25|Asthma symptoms cough", US_national_yearly!$D:$AM, 29, FALSE) / VLOOKUP("buildings|PM25|Asthma symptoms cough", US_national_yearly!$D:$AM, 10, FALSE), 1)</f>
        <v>1.6816468843344083E-2</v>
      </c>
      <c r="V6" s="7">
        <f>$B6 * IFERROR(VLOOKUP("buildings|PM25|Asthma symptoms cough", US_national_yearly!$D:$AM, 30, FALSE) / VLOOKUP("buildings|PM25|Asthma symptoms cough", US_national_yearly!$D:$AM, 10, FALSE), 1)</f>
        <v>1.6816468843344083E-2</v>
      </c>
      <c r="W6" s="7">
        <f>$B6 * IFERROR(VLOOKUP("buildings|PM25|Asthma symptoms cough", US_national_yearly!$D:$AM, 31, FALSE) / VLOOKUP("buildings|PM25|Asthma symptoms cough", US_national_yearly!$D:$AM, 10, FALSE), 1)</f>
        <v>1.6816468843344083E-2</v>
      </c>
      <c r="X6" s="7">
        <f>$B6 * IFERROR(VLOOKUP("buildings|PM25|Asthma symptoms cough", US_national_yearly!$D:$AM, 32, FALSE) / VLOOKUP("buildings|PM25|Asthma symptoms cough", US_national_yearly!$D:$AM, 10, FALSE), 1)</f>
        <v>1.6816468843344083E-2</v>
      </c>
      <c r="Y6" s="7">
        <f>$B6 * IFERROR(VLOOKUP("buildings|PM25|Asthma symptoms cough", US_national_yearly!$D:$AM, 33, FALSE) / VLOOKUP("buildings|PM25|Asthma symptoms cough", US_national_yearly!$D:$AM, 10, FALSE), 1)</f>
        <v>1.6816468843344083E-2</v>
      </c>
      <c r="Z6" s="7">
        <f>$B6 * IFERROR(VLOOKUP("buildings|PM25|Asthma symptoms cough", US_national_yearly!$D:$AM, 34, FALSE) / VLOOKUP("buildings|PM25|Asthma symptoms cough", US_national_yearly!$D:$AM, 10, FALSE), 1)</f>
        <v>1.6816468843344083E-2</v>
      </c>
      <c r="AA6" s="7">
        <f>$B6 * IFERROR(VLOOKUP("buildings|PM25|Asthma symptoms cough", US_national_yearly!$D:$AM, 35, FALSE) / VLOOKUP("buildings|PM25|Asthma symptoms cough", US_national_yearly!$D:$AM, 10, FALSE), 1)</f>
        <v>1.6816468843344083E-2</v>
      </c>
      <c r="AB6" s="7">
        <f>$B6 * IFERROR(VLOOKUP("buildings|PM25|Asthma symptoms cough", US_national_yearly!$D:$AM, 36, FALSE) / VLOOKUP("buildings|PM25|Asthma symptoms cough", US_national_yearly!$D:$AM, 10, FALSE), 1)</f>
        <v>1.6816468843344083E-2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2.2645787302941804E-2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2.2645787302941804E-2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2.2645787302941804E-2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2.2645787302941804E-2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2.2645787302941804E-2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2.2645787302941804E-2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2.2645787302941804E-2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2.2645787302941804E-2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2.2645787302941804E-2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2.2645787302941804E-2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2.2645787302941804E-2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2.2645787302941804E-2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2.2645787302941804E-2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2.2645787302941804E-2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2.2645787302941804E-2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2.2645787302941804E-2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2.2645787302941804E-2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2.2645787302941804E-2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2.2645787302941804E-2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2.2645787302941804E-2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2.2645787302941804E-2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2.2645787302941804E-2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2.2645787302941804E-2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2.2645787302941804E-2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2.2645787302941804E-2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2.2645787302941804E-2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2.2645787302941804E-2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3.4599025480428099E-2</v>
      </c>
      <c r="C8" s="7">
        <f>$B8 * IFERROR(VLOOKUP("buildings|PM25|Asthma symptoms wheeze", US_national_yearly!$D:$AM, 11, FALSE) / VLOOKUP("buildings|PM25|Asthma symptoms wheeze", US_national_yearly!$D:$AM, 10, FALSE), 1)</f>
        <v>3.4599025480428099E-2</v>
      </c>
      <c r="D8" s="7">
        <f>$B8 * IFERROR(VLOOKUP("buildings|PM25|Asthma symptoms wheeze", US_national_yearly!$D:$AM, 12, FALSE) / VLOOKUP("buildings|PM25|Asthma symptoms wheeze", US_national_yearly!$D:$AM, 10, FALSE), 1)</f>
        <v>3.4599025480428099E-2</v>
      </c>
      <c r="E8" s="7">
        <f>$B8 * IFERROR(VLOOKUP("buildings|PM25|Asthma symptoms wheeze", US_national_yearly!$D:$AM, 13, FALSE) / VLOOKUP("buildings|PM25|Asthma symptoms wheeze", US_national_yearly!$D:$AM, 10, FALSE), 1)</f>
        <v>3.4599025480428099E-2</v>
      </c>
      <c r="F8" s="7">
        <f>$B8 * IFERROR(VLOOKUP("buildings|PM25|Asthma symptoms wheeze", US_national_yearly!$D:$AM, 14, FALSE) / VLOOKUP("buildings|PM25|Asthma symptoms wheeze", US_national_yearly!$D:$AM, 10, FALSE), 1)</f>
        <v>3.4599025480428099E-2</v>
      </c>
      <c r="G8" s="7">
        <f>$B8 * IFERROR(VLOOKUP("buildings|PM25|Asthma symptoms wheeze", US_national_yearly!$D:$AM, 15, FALSE) / VLOOKUP("buildings|PM25|Asthma symptoms wheeze", US_national_yearly!$D:$AM, 10, FALSE), 1)</f>
        <v>3.4599025480428099E-2</v>
      </c>
      <c r="H8" s="7">
        <f>$B8 * IFERROR(VLOOKUP("buildings|PM25|Asthma symptoms wheeze", US_national_yearly!$D:$AM, 16, FALSE) / VLOOKUP("buildings|PM25|Asthma symptoms wheeze", US_national_yearly!$D:$AM, 10, FALSE), 1)</f>
        <v>3.4599025480428099E-2</v>
      </c>
      <c r="I8" s="7">
        <f>$B8 * IFERROR(VLOOKUP("buildings|PM25|Asthma symptoms wheeze", US_national_yearly!$D:$AM, 17, FALSE) / VLOOKUP("buildings|PM25|Asthma symptoms wheeze", US_national_yearly!$D:$AM, 10, FALSE), 1)</f>
        <v>3.4599025480428099E-2</v>
      </c>
      <c r="J8" s="7">
        <f>$B8 * IFERROR(VLOOKUP("buildings|PM25|Asthma symptoms wheeze", US_national_yearly!$D:$AM, 18, FALSE) / VLOOKUP("buildings|PM25|Asthma symptoms wheeze", US_national_yearly!$D:$AM, 10, FALSE), 1)</f>
        <v>3.4599025480428099E-2</v>
      </c>
      <c r="K8" s="7">
        <f>$B8 * IFERROR(VLOOKUP("buildings|PM25|Asthma symptoms wheeze", US_national_yearly!$D:$AM, 19, FALSE) / VLOOKUP("buildings|PM25|Asthma symptoms wheeze", US_national_yearly!$D:$AM, 10, FALSE), 1)</f>
        <v>3.4599025480428099E-2</v>
      </c>
      <c r="L8" s="7">
        <f>$B8 * IFERROR(VLOOKUP("buildings|PM25|Asthma symptoms wheeze", US_national_yearly!$D:$AM, 20, FALSE) / VLOOKUP("buildings|PM25|Asthma symptoms wheeze", US_national_yearly!$D:$AM, 10, FALSE), 1)</f>
        <v>3.4599025480428099E-2</v>
      </c>
      <c r="M8" s="7">
        <f>$B8 * IFERROR(VLOOKUP("buildings|PM25|Asthma symptoms wheeze", US_national_yearly!$D:$AM, 21, FALSE) / VLOOKUP("buildings|PM25|Asthma symptoms wheeze", US_national_yearly!$D:$AM, 10, FALSE), 1)</f>
        <v>3.4599025480428099E-2</v>
      </c>
      <c r="N8" s="7">
        <f>$B8 * IFERROR(VLOOKUP("buildings|PM25|Asthma symptoms wheeze", US_national_yearly!$D:$AM, 22, FALSE) / VLOOKUP("buildings|PM25|Asthma symptoms wheeze", US_national_yearly!$D:$AM, 10, FALSE), 1)</f>
        <v>3.4599025480428099E-2</v>
      </c>
      <c r="O8" s="7">
        <f>$B8 * IFERROR(VLOOKUP("buildings|PM25|Asthma symptoms wheeze", US_national_yearly!$D:$AM, 23, FALSE) / VLOOKUP("buildings|PM25|Asthma symptoms wheeze", US_national_yearly!$D:$AM, 10, FALSE), 1)</f>
        <v>3.4599025480428099E-2</v>
      </c>
      <c r="P8" s="7">
        <f>$B8 * IFERROR(VLOOKUP("buildings|PM25|Asthma symptoms wheeze", US_national_yearly!$D:$AM, 24, FALSE) / VLOOKUP("buildings|PM25|Asthma symptoms wheeze", US_national_yearly!$D:$AM, 10, FALSE), 1)</f>
        <v>3.4599025480428099E-2</v>
      </c>
      <c r="Q8" s="7">
        <f>$B8 * IFERROR(VLOOKUP("buildings|PM25|Asthma symptoms wheeze", US_national_yearly!$D:$AM, 25, FALSE) / VLOOKUP("buildings|PM25|Asthma symptoms wheeze", US_national_yearly!$D:$AM, 10, FALSE), 1)</f>
        <v>3.4599025480428099E-2</v>
      </c>
      <c r="R8" s="7">
        <f>$B8 * IFERROR(VLOOKUP("buildings|PM25|Asthma symptoms wheeze", US_national_yearly!$D:$AM, 26, FALSE) / VLOOKUP("buildings|PM25|Asthma symptoms wheeze", US_national_yearly!$D:$AM, 10, FALSE), 1)</f>
        <v>3.4599025480428099E-2</v>
      </c>
      <c r="S8" s="7">
        <f>$B8 * IFERROR(VLOOKUP("buildings|PM25|Asthma symptoms wheeze", US_national_yearly!$D:$AM, 27, FALSE) / VLOOKUP("buildings|PM25|Asthma symptoms wheeze", US_national_yearly!$D:$AM, 10, FALSE), 1)</f>
        <v>3.4599025480428099E-2</v>
      </c>
      <c r="T8" s="7">
        <f>$B8 * IFERROR(VLOOKUP("buildings|PM25|Asthma symptoms wheeze", US_national_yearly!$D:$AM, 28, FALSE) / VLOOKUP("buildings|PM25|Asthma symptoms wheeze", US_national_yearly!$D:$AM, 10, FALSE), 1)</f>
        <v>3.4599025480428099E-2</v>
      </c>
      <c r="U8" s="7">
        <f>$B8 * IFERROR(VLOOKUP("buildings|PM25|Asthma symptoms wheeze", US_national_yearly!$D:$AM, 29, FALSE) / VLOOKUP("buildings|PM25|Asthma symptoms wheeze", US_national_yearly!$D:$AM, 10, FALSE), 1)</f>
        <v>3.4599025480428099E-2</v>
      </c>
      <c r="V8" s="7">
        <f>$B8 * IFERROR(VLOOKUP("buildings|PM25|Asthma symptoms wheeze", US_national_yearly!$D:$AM, 30, FALSE) / VLOOKUP("buildings|PM25|Asthma symptoms wheeze", US_national_yearly!$D:$AM, 10, FALSE), 1)</f>
        <v>3.4599025480428099E-2</v>
      </c>
      <c r="W8" s="7">
        <f>$B8 * IFERROR(VLOOKUP("buildings|PM25|Asthma symptoms wheeze", US_national_yearly!$D:$AM, 31, FALSE) / VLOOKUP("buildings|PM25|Asthma symptoms wheeze", US_national_yearly!$D:$AM, 10, FALSE), 1)</f>
        <v>3.4599025480428099E-2</v>
      </c>
      <c r="X8" s="7">
        <f>$B8 * IFERROR(VLOOKUP("buildings|PM25|Asthma symptoms wheeze", US_national_yearly!$D:$AM, 32, FALSE) / VLOOKUP("buildings|PM25|Asthma symptoms wheeze", US_national_yearly!$D:$AM, 10, FALSE), 1)</f>
        <v>3.4599025480428099E-2</v>
      </c>
      <c r="Y8" s="7">
        <f>$B8 * IFERROR(VLOOKUP("buildings|PM25|Asthma symptoms wheeze", US_national_yearly!$D:$AM, 33, FALSE) / VLOOKUP("buildings|PM25|Asthma symptoms wheeze", US_national_yearly!$D:$AM, 10, FALSE), 1)</f>
        <v>3.4599025480428099E-2</v>
      </c>
      <c r="Z8" s="7">
        <f>$B8 * IFERROR(VLOOKUP("buildings|PM25|Asthma symptoms wheeze", US_national_yearly!$D:$AM, 34, FALSE) / VLOOKUP("buildings|PM25|Asthma symptoms wheeze", US_national_yearly!$D:$AM, 10, FALSE), 1)</f>
        <v>3.4599025480428099E-2</v>
      </c>
      <c r="AA8" s="7">
        <f>$B8 * IFERROR(VLOOKUP("buildings|PM25|Asthma symptoms wheeze", US_national_yearly!$D:$AM, 35, FALSE) / VLOOKUP("buildings|PM25|Asthma symptoms wheeze", US_national_yearly!$D:$AM, 10, FALSE), 1)</f>
        <v>3.4599025480428099E-2</v>
      </c>
      <c r="AB8" s="7">
        <f>$B8 * IFERROR(VLOOKUP("buildings|PM25|Asthma symptoms wheeze", US_national_yearly!$D:$AM, 36, FALSE) / VLOOKUP("buildings|PM25|Asthma symptoms wheeze", US_national_yearly!$D:$AM, 10, FALSE), 1)</f>
        <v>3.4599025480428099E-2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1.0316453448822116E-3</v>
      </c>
      <c r="C12" s="7">
        <f>$B12 * IFERROR(VLOOKUP("buildings|PM25|Respiratory hospital admissions", US_national_yearly!$D:$AM, 11, FALSE) / VLOOKUP("buildings|PM25|Respiratory hospital admissions", US_national_yearly!$D:$AM, 10, FALSE), 1)</f>
        <v>1.0375919201790005E-3</v>
      </c>
      <c r="D12" s="7">
        <f>$B12 * IFERROR(VLOOKUP("buildings|PM25|Respiratory hospital admissions", US_national_yearly!$D:$AM, 12, FALSE) / VLOOKUP("buildings|PM25|Respiratory hospital admissions", US_national_yearly!$D:$AM, 10, FALSE), 1)</f>
        <v>1.0435384954757898E-3</v>
      </c>
      <c r="E12" s="7">
        <f>$B12 * IFERROR(VLOOKUP("buildings|PM25|Respiratory hospital admissions", US_national_yearly!$D:$AM, 13, FALSE) / VLOOKUP("buildings|PM25|Respiratory hospital admissions", US_national_yearly!$D:$AM, 10, FALSE), 1)</f>
        <v>1.0494850707725789E-3</v>
      </c>
      <c r="F12" s="7">
        <f>$B12 * IFERROR(VLOOKUP("buildings|PM25|Respiratory hospital admissions", US_national_yearly!$D:$AM, 14, FALSE) / VLOOKUP("buildings|PM25|Respiratory hospital admissions", US_national_yearly!$D:$AM, 10, FALSE), 1)</f>
        <v>1.0554316460693683E-3</v>
      </c>
      <c r="G12" s="7">
        <f>$B12 * IFERROR(VLOOKUP("buildings|PM25|Respiratory hospital admissions", US_national_yearly!$D:$AM, 15, FALSE) / VLOOKUP("buildings|PM25|Respiratory hospital admissions", US_national_yearly!$D:$AM, 10, FALSE), 1)</f>
        <v>1.0618485517548781E-3</v>
      </c>
      <c r="H12" s="7">
        <f>$B12 * IFERROR(VLOOKUP("buildings|PM25|Respiratory hospital admissions", US_national_yearly!$D:$AM, 16, FALSE) / VLOOKUP("buildings|PM25|Respiratory hospital admissions", US_national_yearly!$D:$AM, 10, FALSE), 1)</f>
        <v>1.0682654574403882E-3</v>
      </c>
      <c r="I12" s="7">
        <f>$B12 * IFERROR(VLOOKUP("buildings|PM25|Respiratory hospital admissions", US_national_yearly!$D:$AM, 17, FALSE) / VLOOKUP("buildings|PM25|Respiratory hospital admissions", US_national_yearly!$D:$AM, 10, FALSE), 1)</f>
        <v>1.0743685150170356E-3</v>
      </c>
      <c r="J12" s="7">
        <f>$B12 * IFERROR(VLOOKUP("buildings|PM25|Respiratory hospital admissions", US_national_yearly!$D:$AM, 18, FALSE) / VLOOKUP("buildings|PM25|Respiratory hospital admissions", US_national_yearly!$D:$AM, 10, FALSE), 1)</f>
        <v>1.0804715725936827E-3</v>
      </c>
      <c r="K12" s="7">
        <f>$B12 * IFERROR(VLOOKUP("buildings|PM25|Respiratory hospital admissions", US_national_yearly!$D:$AM, 19, FALSE) / VLOOKUP("buildings|PM25|Respiratory hospital admissions", US_national_yearly!$D:$AM, 10, FALSE), 1)</f>
        <v>1.0865746301703299E-3</v>
      </c>
      <c r="L12" s="7">
        <f>$B12 * IFERROR(VLOOKUP("buildings|PM25|Respiratory hospital admissions", US_national_yearly!$D:$AM, 20, FALSE) / VLOOKUP("buildings|PM25|Respiratory hospital admissions", US_national_yearly!$D:$AM, 10, FALSE), 1)</f>
        <v>1.0926776877469774E-3</v>
      </c>
      <c r="M12" s="7">
        <f>$B12 * IFERROR(VLOOKUP("buildings|PM25|Respiratory hospital admissions", US_national_yearly!$D:$AM, 21, FALSE) / VLOOKUP("buildings|PM25|Respiratory hospital admissions", US_national_yearly!$D:$AM, 10, FALSE), 1)</f>
        <v>1.0987807453236246E-3</v>
      </c>
      <c r="N12" s="7">
        <f>$B12 * IFERROR(VLOOKUP("buildings|PM25|Respiratory hospital admissions", US_national_yearly!$D:$AM, 22, FALSE) / VLOOKUP("buildings|PM25|Respiratory hospital admissions", US_national_yearly!$D:$AM, 10, FALSE), 1)</f>
        <v>1.1031704970098908E-3</v>
      </c>
      <c r="O12" s="7">
        <f>$B12 * IFERROR(VLOOKUP("buildings|PM25|Respiratory hospital admissions", US_national_yearly!$D:$AM, 23, FALSE) / VLOOKUP("buildings|PM25|Respiratory hospital admissions", US_national_yearly!$D:$AM, 10, FALSE), 1)</f>
        <v>1.1075602486961573E-3</v>
      </c>
      <c r="P12" s="7">
        <f>$B12 * IFERROR(VLOOKUP("buildings|PM25|Respiratory hospital admissions", US_national_yearly!$D:$AM, 24, FALSE) / VLOOKUP("buildings|PM25|Respiratory hospital admissions", US_national_yearly!$D:$AM, 10, FALSE), 1)</f>
        <v>1.1119500003824235E-3</v>
      </c>
      <c r="Q12" s="7">
        <f>$B12 * IFERROR(VLOOKUP("buildings|PM25|Respiratory hospital admissions", US_national_yearly!$D:$AM, 25, FALSE) / VLOOKUP("buildings|PM25|Respiratory hospital admissions", US_national_yearly!$D:$AM, 10, FALSE), 1)</f>
        <v>1.1163397520686897E-3</v>
      </c>
      <c r="R12" s="7">
        <f>$B12 * IFERROR(VLOOKUP("buildings|PM25|Respiratory hospital admissions", US_national_yearly!$D:$AM, 26, FALSE) / VLOOKUP("buildings|PM25|Respiratory hospital admissions", US_national_yearly!$D:$AM, 10, FALSE), 1)</f>
        <v>1.1207295037549559E-3</v>
      </c>
      <c r="S12" s="7">
        <f>$B12 * IFERROR(VLOOKUP("buildings|PM25|Respiratory hospital admissions", US_national_yearly!$D:$AM, 27, FALSE) / VLOOKUP("buildings|PM25|Respiratory hospital admissions", US_national_yearly!$D:$AM, 10, FALSE), 1)</f>
        <v>1.1249119402435574E-3</v>
      </c>
      <c r="T12" s="7">
        <f>$B12 * IFERROR(VLOOKUP("buildings|PM25|Respiratory hospital admissions", US_national_yearly!$D:$AM, 28, FALSE) / VLOOKUP("buildings|PM25|Respiratory hospital admissions", US_national_yearly!$D:$AM, 10, FALSE), 1)</f>
        <v>1.1290943767321593E-3</v>
      </c>
      <c r="U12" s="7">
        <f>$B12 * IFERROR(VLOOKUP("buildings|PM25|Respiratory hospital admissions", US_national_yearly!$D:$AM, 29, FALSE) / VLOOKUP("buildings|PM25|Respiratory hospital admissions", US_national_yearly!$D:$AM, 10, FALSE), 1)</f>
        <v>1.1332768132207608E-3</v>
      </c>
      <c r="V12" s="7">
        <f>$B12 * IFERROR(VLOOKUP("buildings|PM25|Respiratory hospital admissions", US_national_yearly!$D:$AM, 30, FALSE) / VLOOKUP("buildings|PM25|Respiratory hospital admissions", US_national_yearly!$D:$AM, 10, FALSE), 1)</f>
        <v>1.1374592497093623E-3</v>
      </c>
      <c r="W12" s="7">
        <f>$B12 * IFERROR(VLOOKUP("buildings|PM25|Respiratory hospital admissions", US_national_yearly!$D:$AM, 31, FALSE) / VLOOKUP("buildings|PM25|Respiratory hospital admissions", US_national_yearly!$D:$AM, 10, FALSE), 1)</f>
        <v>1.1416416861979642E-3</v>
      </c>
      <c r="X12" s="7">
        <f>$B12 * IFERROR(VLOOKUP("buildings|PM25|Respiratory hospital admissions", US_national_yearly!$D:$AM, 32, FALSE) / VLOOKUP("buildings|PM25|Respiratory hospital admissions", US_national_yearly!$D:$AM, 10, FALSE), 1)</f>
        <v>1.1456812568546464E-3</v>
      </c>
      <c r="Y12" s="7">
        <f>$B12 * IFERROR(VLOOKUP("buildings|PM25|Respiratory hospital admissions", US_national_yearly!$D:$AM, 33, FALSE) / VLOOKUP("buildings|PM25|Respiratory hospital admissions", US_national_yearly!$D:$AM, 10, FALSE), 1)</f>
        <v>1.1497208275113291E-3</v>
      </c>
      <c r="Z12" s="7">
        <f>$B12 * IFERROR(VLOOKUP("buildings|PM25|Respiratory hospital admissions", US_national_yearly!$D:$AM, 34, FALSE) / VLOOKUP("buildings|PM25|Respiratory hospital admissions", US_national_yearly!$D:$AM, 10, FALSE), 1)</f>
        <v>1.1537603981680114E-3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1.157799968824694E-3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1.1618395394813763E-3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8.4721718660268706E-3</v>
      </c>
      <c r="C13" s="7">
        <f>$B13 * IFERROR(VLOOKUP("buildings|PM25|Non-fatal heart attacks", US_national_yearly!$D:$AM, 11, FALSE) / VLOOKUP("buildings|PM25|Non-fatal heart attacks", US_national_yearly!$D:$AM, 10, FALSE), 1)</f>
        <v>8.7185969731109932E-3</v>
      </c>
      <c r="D13" s="7">
        <f>$B13 * IFERROR(VLOOKUP("buildings|PM25|Non-fatal heart attacks", US_national_yearly!$D:$AM, 12, FALSE) / VLOOKUP("buildings|PM25|Non-fatal heart attacks", US_national_yearly!$D:$AM, 10, FALSE), 1)</f>
        <v>8.9650220801951123E-3</v>
      </c>
      <c r="E13" s="7">
        <f>$B13 * IFERROR(VLOOKUP("buildings|PM25|Non-fatal heart attacks", US_national_yearly!$D:$AM, 13, FALSE) / VLOOKUP("buildings|PM25|Non-fatal heart attacks", US_national_yearly!$D:$AM, 10, FALSE), 1)</f>
        <v>9.2114471872792331E-3</v>
      </c>
      <c r="F13" s="7">
        <f>$B13 * IFERROR(VLOOKUP("buildings|PM25|Non-fatal heart attacks", US_national_yearly!$D:$AM, 14, FALSE) / VLOOKUP("buildings|PM25|Non-fatal heart attacks", US_national_yearly!$D:$AM, 10, FALSE), 1)</f>
        <v>9.457872294363354E-3</v>
      </c>
      <c r="G13" s="7">
        <f>$B13 * IFERROR(VLOOKUP("buildings|PM25|Non-fatal heart attacks", US_national_yearly!$D:$AM, 15, FALSE) / VLOOKUP("buildings|PM25|Non-fatal heart attacks", US_national_yearly!$D:$AM, 10, FALSE), 1)</f>
        <v>9.6903884575086172E-3</v>
      </c>
      <c r="H13" s="7">
        <f>$B13 * IFERROR(VLOOKUP("buildings|PM25|Non-fatal heart attacks", US_national_yearly!$D:$AM, 16, FALSE) / VLOOKUP("buildings|PM25|Non-fatal heart attacks", US_national_yearly!$D:$AM, 10, FALSE), 1)</f>
        <v>9.922904620653877E-3</v>
      </c>
      <c r="I13" s="7">
        <f>$B13 * IFERROR(VLOOKUP("buildings|PM25|Non-fatal heart attacks", US_national_yearly!$D:$AM, 17, FALSE) / VLOOKUP("buildings|PM25|Non-fatal heart attacks", US_national_yearly!$D:$AM, 10, FALSE), 1)</f>
        <v>1.010998193316528E-2</v>
      </c>
      <c r="J13" s="7">
        <f>$B13 * IFERROR(VLOOKUP("buildings|PM25|Non-fatal heart attacks", US_national_yearly!$D:$AM, 18, FALSE) / VLOOKUP("buildings|PM25|Non-fatal heart attacks", US_national_yearly!$D:$AM, 10, FALSE), 1)</f>
        <v>1.0297059245676683E-2</v>
      </c>
      <c r="K13" s="7">
        <f>$B13 * IFERROR(VLOOKUP("buildings|PM25|Non-fatal heart attacks", US_national_yearly!$D:$AM, 19, FALSE) / VLOOKUP("buildings|PM25|Non-fatal heart attacks", US_national_yearly!$D:$AM, 10, FALSE), 1)</f>
        <v>1.0484136558188082E-2</v>
      </c>
      <c r="L13" s="7">
        <f>$B13 * IFERROR(VLOOKUP("buildings|PM25|Non-fatal heart attacks", US_national_yearly!$D:$AM, 20, FALSE) / VLOOKUP("buildings|PM25|Non-fatal heart attacks", US_national_yearly!$D:$AM, 10, FALSE), 1)</f>
        <v>1.0671213870699484E-2</v>
      </c>
      <c r="M13" s="7">
        <f>$B13 * IFERROR(VLOOKUP("buildings|PM25|Non-fatal heart attacks", US_national_yearly!$D:$AM, 21, FALSE) / VLOOKUP("buildings|PM25|Non-fatal heart attacks", US_national_yearly!$D:$AM, 10, FALSE), 1)</f>
        <v>1.0858291183210885E-2</v>
      </c>
      <c r="N13" s="7">
        <f>$B13 * IFERROR(VLOOKUP("buildings|PM25|Non-fatal heart attacks", US_national_yearly!$D:$AM, 22, FALSE) / VLOOKUP("buildings|PM25|Non-fatal heart attacks", US_national_yearly!$D:$AM, 10, FALSE), 1)</f>
        <v>1.0979146049854281E-2</v>
      </c>
      <c r="O13" s="7">
        <f>$B13 * IFERROR(VLOOKUP("buildings|PM25|Non-fatal heart attacks", US_national_yearly!$D:$AM, 23, FALSE) / VLOOKUP("buildings|PM25|Non-fatal heart attacks", US_national_yearly!$D:$AM, 10, FALSE), 1)</f>
        <v>1.1100000916497675E-2</v>
      </c>
      <c r="P13" s="7">
        <f>$B13 * IFERROR(VLOOKUP("buildings|PM25|Non-fatal heart attacks", US_national_yearly!$D:$AM, 24, FALSE) / VLOOKUP("buildings|PM25|Non-fatal heart attacks", US_national_yearly!$D:$AM, 10, FALSE), 1)</f>
        <v>1.1220855783141069E-2</v>
      </c>
      <c r="Q13" s="7">
        <f>$B13 * IFERROR(VLOOKUP("buildings|PM25|Non-fatal heart attacks", US_national_yearly!$D:$AM, 25, FALSE) / VLOOKUP("buildings|PM25|Non-fatal heart attacks", US_national_yearly!$D:$AM, 10, FALSE), 1)</f>
        <v>1.1341710649784465E-2</v>
      </c>
      <c r="R13" s="7">
        <f>$B13 * IFERROR(VLOOKUP("buildings|PM25|Non-fatal heart attacks", US_national_yearly!$D:$AM, 26, FALSE) / VLOOKUP("buildings|PM25|Non-fatal heart attacks", US_national_yearly!$D:$AM, 10, FALSE), 1)</f>
        <v>1.146256551642786E-2</v>
      </c>
      <c r="S13" s="7">
        <f>$B13 * IFERROR(VLOOKUP("buildings|PM25|Non-fatal heart attacks", US_national_yearly!$D:$AM, 27, FALSE) / VLOOKUP("buildings|PM25|Non-fatal heart attacks", US_national_yearly!$D:$AM, 10, FALSE), 1)</f>
        <v>1.1526486808579274E-2</v>
      </c>
      <c r="T13" s="7">
        <f>$B13 * IFERROR(VLOOKUP("buildings|PM25|Non-fatal heart attacks", US_national_yearly!$D:$AM, 28, FALSE) / VLOOKUP("buildings|PM25|Non-fatal heart attacks", US_national_yearly!$D:$AM, 10, FALSE), 1)</f>
        <v>1.1590408100730688E-2</v>
      </c>
      <c r="U13" s="7">
        <f>$B13 * IFERROR(VLOOKUP("buildings|PM25|Non-fatal heart attacks", US_national_yearly!$D:$AM, 29, FALSE) / VLOOKUP("buildings|PM25|Non-fatal heart attacks", US_national_yearly!$D:$AM, 10, FALSE), 1)</f>
        <v>1.1654329392882103E-2</v>
      </c>
      <c r="V13" s="7">
        <f>$B13 * IFERROR(VLOOKUP("buildings|PM25|Non-fatal heart attacks", US_national_yearly!$D:$AM, 30, FALSE) / VLOOKUP("buildings|PM25|Non-fatal heart attacks", US_national_yearly!$D:$AM, 10, FALSE), 1)</f>
        <v>1.1718250685033517E-2</v>
      </c>
      <c r="W13" s="7">
        <f>$B13 * IFERROR(VLOOKUP("buildings|PM25|Non-fatal heart attacks", US_national_yearly!$D:$AM, 31, FALSE) / VLOOKUP("buildings|PM25|Non-fatal heart attacks", US_national_yearly!$D:$AM, 10, FALSE), 1)</f>
        <v>1.1782171977184933E-2</v>
      </c>
      <c r="X13" s="7">
        <f>$B13 * IFERROR(VLOOKUP("buildings|PM25|Non-fatal heart attacks", US_national_yearly!$D:$AM, 32, FALSE) / VLOOKUP("buildings|PM25|Non-fatal heart attacks", US_national_yearly!$D:$AM, 10, FALSE), 1)</f>
        <v>1.1830820749216127E-2</v>
      </c>
      <c r="Y13" s="7">
        <f>$B13 * IFERROR(VLOOKUP("buildings|PM25|Non-fatal heart attacks", US_national_yearly!$D:$AM, 33, FALSE) / VLOOKUP("buildings|PM25|Non-fatal heart attacks", US_national_yearly!$D:$AM, 10, FALSE), 1)</f>
        <v>1.187946952124732E-2</v>
      </c>
      <c r="Z13" s="7">
        <f>$B13 * IFERROR(VLOOKUP("buildings|PM25|Non-fatal heart attacks", US_national_yearly!$D:$AM, 34, FALSE) / VLOOKUP("buildings|PM25|Non-fatal heart attacks", US_national_yearly!$D:$AM, 10, FALSE), 1)</f>
        <v>1.1928118293278512E-2</v>
      </c>
      <c r="AA13" s="7">
        <f>$B13 * IFERROR(VLOOKUP("buildings|PM25|Non-fatal heart attacks", US_national_yearly!$D:$AM, 35, FALSE) / VLOOKUP("buildings|PM25|Non-fatal heart attacks", US_national_yearly!$D:$AM, 10, FALSE), 1)</f>
        <v>1.1976767065309705E-2</v>
      </c>
      <c r="AB13" s="7">
        <f>$B13 * IFERROR(VLOOKUP("buildings|PM25|Non-fatal heart attacks", US_national_yearly!$D:$AM, 36, FALSE) / VLOOKUP("buildings|PM25|Non-fatal heart attacks", US_national_yearly!$D:$AM, 10, FALSE), 1)</f>
        <v>1.2025415837340901E-2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2.335667406450352</v>
      </c>
      <c r="C14" s="7">
        <f>$B14 * IFERROR(VLOOKUP("buildings|PM25|Minor restricted activity days", US_national_yearly!$D:$AM, 11, FALSE) / VLOOKUP("buildings|PM25|Minor restricted activity days", US_national_yearly!$D:$AM, 10, FALSE), 1)</f>
        <v>2.3414763422334461</v>
      </c>
      <c r="D14" s="7">
        <f>$B14 * IFERROR(VLOOKUP("buildings|PM25|Minor restricted activity days", US_national_yearly!$D:$AM, 12, FALSE) / VLOOKUP("buildings|PM25|Minor restricted activity days", US_national_yearly!$D:$AM, 10, FALSE), 1)</f>
        <v>2.3472852780165403</v>
      </c>
      <c r="E14" s="7">
        <f>$B14 * IFERROR(VLOOKUP("buildings|PM25|Minor restricted activity days", US_national_yearly!$D:$AM, 13, FALSE) / VLOOKUP("buildings|PM25|Minor restricted activity days", US_national_yearly!$D:$AM, 10, FALSE), 1)</f>
        <v>2.353094213799634</v>
      </c>
      <c r="F14" s="7">
        <f>$B14 * IFERROR(VLOOKUP("buildings|PM25|Minor restricted activity days", US_national_yearly!$D:$AM, 14, FALSE) / VLOOKUP("buildings|PM25|Minor restricted activity days", US_national_yearly!$D:$AM, 10, FALSE), 1)</f>
        <v>2.3589031495827277</v>
      </c>
      <c r="G14" s="7">
        <f>$B14 * IFERROR(VLOOKUP("buildings|PM25|Minor restricted activity days", US_national_yearly!$D:$AM, 15, FALSE) / VLOOKUP("buildings|PM25|Minor restricted activity days", US_national_yearly!$D:$AM, 10, FALSE), 1)</f>
        <v>2.367423094657505</v>
      </c>
      <c r="H14" s="7">
        <f>$B14 * IFERROR(VLOOKUP("buildings|PM25|Minor restricted activity days", US_national_yearly!$D:$AM, 16, FALSE) / VLOOKUP("buildings|PM25|Minor restricted activity days", US_national_yearly!$D:$AM, 10, FALSE), 1)</f>
        <v>2.3759430397322814</v>
      </c>
      <c r="I14" s="7">
        <f>$B14 * IFERROR(VLOOKUP("buildings|PM25|Minor restricted activity days", US_national_yearly!$D:$AM, 17, FALSE) / VLOOKUP("buildings|PM25|Minor restricted activity days", US_national_yearly!$D:$AM, 10, FALSE), 1)</f>
        <v>2.3904307709726931</v>
      </c>
      <c r="J14" s="7">
        <f>$B14 * IFERROR(VLOOKUP("buildings|PM25|Minor restricted activity days", US_national_yearly!$D:$AM, 18, FALSE) / VLOOKUP("buildings|PM25|Minor restricted activity days", US_national_yearly!$D:$AM, 10, FALSE), 1)</f>
        <v>2.4049185022131061</v>
      </c>
      <c r="K14" s="7">
        <f>$B14 * IFERROR(VLOOKUP("buildings|PM25|Minor restricted activity days", US_national_yearly!$D:$AM, 19, FALSE) / VLOOKUP("buildings|PM25|Minor restricted activity days", US_national_yearly!$D:$AM, 10, FALSE), 1)</f>
        <v>2.4194062334535169</v>
      </c>
      <c r="L14" s="7">
        <f>$B14 * IFERROR(VLOOKUP("buildings|PM25|Minor restricted activity days", US_national_yearly!$D:$AM, 20, FALSE) / VLOOKUP("buildings|PM25|Minor restricted activity days", US_national_yearly!$D:$AM, 10, FALSE), 1)</f>
        <v>2.4338939646939282</v>
      </c>
      <c r="M14" s="7">
        <f>$B14 * IFERROR(VLOOKUP("buildings|PM25|Minor restricted activity days", US_national_yearly!$D:$AM, 21, FALSE) / VLOOKUP("buildings|PM25|Minor restricted activity days", US_national_yearly!$D:$AM, 10, FALSE), 1)</f>
        <v>2.4483816959343394</v>
      </c>
      <c r="N14" s="7">
        <f>$B14 * IFERROR(VLOOKUP("buildings|PM25|Minor restricted activity days", US_national_yearly!$D:$AM, 22, FALSE) / VLOOKUP("buildings|PM25|Minor restricted activity days", US_national_yearly!$D:$AM, 10, FALSE), 1)</f>
        <v>2.4680670273264864</v>
      </c>
      <c r="O14" s="7">
        <f>$B14 * IFERROR(VLOOKUP("buildings|PM25|Minor restricted activity days", US_national_yearly!$D:$AM, 23, FALSE) / VLOOKUP("buildings|PM25|Minor restricted activity days", US_national_yearly!$D:$AM, 10, FALSE), 1)</f>
        <v>2.4877523587186334</v>
      </c>
      <c r="P14" s="7">
        <f>$B14 * IFERROR(VLOOKUP("buildings|PM25|Minor restricted activity days", US_national_yearly!$D:$AM, 24, FALSE) / VLOOKUP("buildings|PM25|Minor restricted activity days", US_national_yearly!$D:$AM, 10, FALSE), 1)</f>
        <v>2.50743769011078</v>
      </c>
      <c r="Q14" s="7">
        <f>$B14 * IFERROR(VLOOKUP("buildings|PM25|Minor restricted activity days", US_national_yearly!$D:$AM, 25, FALSE) / VLOOKUP("buildings|PM25|Minor restricted activity days", US_national_yearly!$D:$AM, 10, FALSE), 1)</f>
        <v>2.5271230215029266</v>
      </c>
      <c r="R14" s="7">
        <f>$B14 * IFERROR(VLOOKUP("buildings|PM25|Minor restricted activity days", US_national_yearly!$D:$AM, 26, FALSE) / VLOOKUP("buildings|PM25|Minor restricted activity days", US_national_yearly!$D:$AM, 10, FALSE), 1)</f>
        <v>2.5468083528950731</v>
      </c>
      <c r="S14" s="7">
        <f>$B14 * IFERROR(VLOOKUP("buildings|PM25|Minor restricted activity days", US_national_yearly!$D:$AM, 27, FALSE) / VLOOKUP("buildings|PM25|Minor restricted activity days", US_national_yearly!$D:$AM, 10, FALSE), 1)</f>
        <v>2.566615675350739</v>
      </c>
      <c r="T14" s="7">
        <f>$B14 * IFERROR(VLOOKUP("buildings|PM25|Minor restricted activity days", US_national_yearly!$D:$AM, 28, FALSE) / VLOOKUP("buildings|PM25|Minor restricted activity days", US_national_yearly!$D:$AM, 10, FALSE), 1)</f>
        <v>2.5864229978064044</v>
      </c>
      <c r="U14" s="7">
        <f>$B14 * IFERROR(VLOOKUP("buildings|PM25|Minor restricted activity days", US_national_yearly!$D:$AM, 29, FALSE) / VLOOKUP("buildings|PM25|Minor restricted activity days", US_national_yearly!$D:$AM, 10, FALSE), 1)</f>
        <v>2.6062303202620698</v>
      </c>
      <c r="V14" s="7">
        <f>$B14 * IFERROR(VLOOKUP("buildings|PM25|Minor restricted activity days", US_national_yearly!$D:$AM, 30, FALSE) / VLOOKUP("buildings|PM25|Minor restricted activity days", US_national_yearly!$D:$AM, 10, FALSE), 1)</f>
        <v>2.6260376427177352</v>
      </c>
      <c r="W14" s="7">
        <f>$B14 * IFERROR(VLOOKUP("buildings|PM25|Minor restricted activity days", US_national_yearly!$D:$AM, 31, FALSE) / VLOOKUP("buildings|PM25|Minor restricted activity days", US_national_yearly!$D:$AM, 10, FALSE), 1)</f>
        <v>2.6458449651734011</v>
      </c>
      <c r="X14" s="7">
        <f>$B14 * IFERROR(VLOOKUP("buildings|PM25|Minor restricted activity days", US_national_yearly!$D:$AM, 32, FALSE) / VLOOKUP("buildings|PM25|Minor restricted activity days", US_national_yearly!$D:$AM, 10, FALSE), 1)</f>
        <v>2.6630437739917032</v>
      </c>
      <c r="Y14" s="7">
        <f>$B14 * IFERROR(VLOOKUP("buildings|PM25|Minor restricted activity days", US_national_yearly!$D:$AM, 33, FALSE) / VLOOKUP("buildings|PM25|Minor restricted activity days", US_national_yearly!$D:$AM, 10, FALSE), 1)</f>
        <v>2.6802425828100049</v>
      </c>
      <c r="Z14" s="7">
        <f>$B14 * IFERROR(VLOOKUP("buildings|PM25|Minor restricted activity days", US_national_yearly!$D:$AM, 34, FALSE) / VLOOKUP("buildings|PM25|Minor restricted activity days", US_national_yearly!$D:$AM, 10, FALSE), 1)</f>
        <v>2.6974413916283062</v>
      </c>
      <c r="AA14" s="7">
        <f>$B14 * IFERROR(VLOOKUP("buildings|PM25|Minor restricted activity days", US_national_yearly!$D:$AM, 35, FALSE) / VLOOKUP("buildings|PM25|Minor restricted activity days", US_national_yearly!$D:$AM, 10, FALSE), 1)</f>
        <v>2.7146402004466079</v>
      </c>
      <c r="AB14" s="7">
        <f>$B14 * IFERROR(VLOOKUP("buildings|PM25|Minor restricted activity days", US_national_yearly!$D:$AM, 36, FALSE) / VLOOKUP("buildings|PM25|Minor restricted activity days", US_national_yearly!$D:$AM, 10, FALSE), 1)</f>
        <v>2.7318390092649101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0.38985499085445763</v>
      </c>
      <c r="C15" s="7">
        <f>$B15 * IFERROR(VLOOKUP("buildings|PM25|Work loss days", US_national_yearly!$D:$AM, 11, FALSE) / VLOOKUP("buildings|PM25|Work loss days", US_national_yearly!$D:$AM, 10, FALSE), 1)</f>
        <v>0.39107843989193253</v>
      </c>
      <c r="D15" s="7">
        <f>$B15 * IFERROR(VLOOKUP("buildings|PM25|Work loss days", US_national_yearly!$D:$AM, 12, FALSE) / VLOOKUP("buildings|PM25|Work loss days", US_national_yearly!$D:$AM, 10, FALSE), 1)</f>
        <v>0.39230188892940737</v>
      </c>
      <c r="E15" s="7">
        <f>$B15 * IFERROR(VLOOKUP("buildings|PM25|Work loss days", US_national_yearly!$D:$AM, 13, FALSE) / VLOOKUP("buildings|PM25|Work loss days", US_national_yearly!$D:$AM, 10, FALSE), 1)</f>
        <v>0.39352533796688216</v>
      </c>
      <c r="F15" s="7">
        <f>$B15 * IFERROR(VLOOKUP("buildings|PM25|Work loss days", US_national_yearly!$D:$AM, 14, FALSE) / VLOOKUP("buildings|PM25|Work loss days", US_national_yearly!$D:$AM, 10, FALSE), 1)</f>
        <v>0.394748787004357</v>
      </c>
      <c r="G15" s="7">
        <f>$B15 * IFERROR(VLOOKUP("buildings|PM25|Work loss days", US_national_yearly!$D:$AM, 15, FALSE) / VLOOKUP("buildings|PM25|Work loss days", US_national_yearly!$D:$AM, 10, FALSE), 1)</f>
        <v>0.39634794453466698</v>
      </c>
      <c r="H15" s="7">
        <f>$B15 * IFERROR(VLOOKUP("buildings|PM25|Work loss days", US_national_yearly!$D:$AM, 16, FALSE) / VLOOKUP("buildings|PM25|Work loss days", US_national_yearly!$D:$AM, 10, FALSE), 1)</f>
        <v>0.39794710206497702</v>
      </c>
      <c r="I15" s="7">
        <f>$B15 * IFERROR(VLOOKUP("buildings|PM25|Work loss days", US_national_yearly!$D:$AM, 17, FALSE) / VLOOKUP("buildings|PM25|Work loss days", US_national_yearly!$D:$AM, 10, FALSE), 1)</f>
        <v>0.40029573084650821</v>
      </c>
      <c r="J15" s="7">
        <f>$B15 * IFERROR(VLOOKUP("buildings|PM25|Work loss days", US_national_yearly!$D:$AM, 18, FALSE) / VLOOKUP("buildings|PM25|Work loss days", US_national_yearly!$D:$AM, 10, FALSE), 1)</f>
        <v>0.40264435962803946</v>
      </c>
      <c r="K15" s="7">
        <f>$B15 * IFERROR(VLOOKUP("buildings|PM25|Work loss days", US_national_yearly!$D:$AM, 19, FALSE) / VLOOKUP("buildings|PM25|Work loss days", US_national_yearly!$D:$AM, 10, FALSE), 1)</f>
        <v>0.40499298840957071</v>
      </c>
      <c r="L15" s="7">
        <f>$B15 * IFERROR(VLOOKUP("buildings|PM25|Work loss days", US_national_yearly!$D:$AM, 20, FALSE) / VLOOKUP("buildings|PM25|Work loss days", US_national_yearly!$D:$AM, 10, FALSE), 1)</f>
        <v>0.40734161719110196</v>
      </c>
      <c r="M15" s="7">
        <f>$B15 * IFERROR(VLOOKUP("buildings|PM25|Work loss days", US_national_yearly!$D:$AM, 21, FALSE) / VLOOKUP("buildings|PM25|Work loss days", US_national_yearly!$D:$AM, 10, FALSE), 1)</f>
        <v>0.40969024597263326</v>
      </c>
      <c r="N15" s="7">
        <f>$B15 * IFERROR(VLOOKUP("buildings|PM25|Work loss days", US_national_yearly!$D:$AM, 22, FALSE) / VLOOKUP("buildings|PM25|Work loss days", US_national_yearly!$D:$AM, 10, FALSE), 1)</f>
        <v>0.41264309574388203</v>
      </c>
      <c r="O15" s="7">
        <f>$B15 * IFERROR(VLOOKUP("buildings|PM25|Work loss days", US_national_yearly!$D:$AM, 23, FALSE) / VLOOKUP("buildings|PM25|Work loss days", US_national_yearly!$D:$AM, 10, FALSE), 1)</f>
        <v>0.4155959455151309</v>
      </c>
      <c r="P15" s="7">
        <f>$B15 * IFERROR(VLOOKUP("buildings|PM25|Work loss days", US_national_yearly!$D:$AM, 24, FALSE) / VLOOKUP("buildings|PM25|Work loss days", US_national_yearly!$D:$AM, 10, FALSE), 1)</f>
        <v>0.41854879528637967</v>
      </c>
      <c r="Q15" s="7">
        <f>$B15 * IFERROR(VLOOKUP("buildings|PM25|Work loss days", US_national_yearly!$D:$AM, 25, FALSE) / VLOOKUP("buildings|PM25|Work loss days", US_national_yearly!$D:$AM, 10, FALSE), 1)</f>
        <v>0.42150164505762844</v>
      </c>
      <c r="R15" s="7">
        <f>$B15 * IFERROR(VLOOKUP("buildings|PM25|Work loss days", US_national_yearly!$D:$AM, 26, FALSE) / VLOOKUP("buildings|PM25|Work loss days", US_national_yearly!$D:$AM, 10, FALSE), 1)</f>
        <v>0.42445449482887732</v>
      </c>
      <c r="S15" s="7">
        <f>$B15 * IFERROR(VLOOKUP("buildings|PM25|Work loss days", US_national_yearly!$D:$AM, 27, FALSE) / VLOOKUP("buildings|PM25|Work loss days", US_national_yearly!$D:$AM, 10, FALSE), 1)</f>
        <v>0.42771628439146098</v>
      </c>
      <c r="T15" s="7">
        <f>$B15 * IFERROR(VLOOKUP("buildings|PM25|Work loss days", US_national_yearly!$D:$AM, 28, FALSE) / VLOOKUP("buildings|PM25|Work loss days", US_national_yearly!$D:$AM, 10, FALSE), 1)</f>
        <v>0.43097807395404475</v>
      </c>
      <c r="U15" s="7">
        <f>$B15 * IFERROR(VLOOKUP("buildings|PM25|Work loss days", US_national_yearly!$D:$AM, 29, FALSE) / VLOOKUP("buildings|PM25|Work loss days", US_national_yearly!$D:$AM, 10, FALSE), 1)</f>
        <v>0.43423986351662852</v>
      </c>
      <c r="V15" s="7">
        <f>$B15 * IFERROR(VLOOKUP("buildings|PM25|Work loss days", US_national_yearly!$D:$AM, 30, FALSE) / VLOOKUP("buildings|PM25|Work loss days", US_national_yearly!$D:$AM, 10, FALSE), 1)</f>
        <v>0.43750165307921218</v>
      </c>
      <c r="W15" s="7">
        <f>$B15 * IFERROR(VLOOKUP("buildings|PM25|Work loss days", US_national_yearly!$D:$AM, 31, FALSE) / VLOOKUP("buildings|PM25|Work loss days", US_national_yearly!$D:$AM, 10, FALSE), 1)</f>
        <v>0.44076344264179596</v>
      </c>
      <c r="X15" s="7">
        <f>$B15 * IFERROR(VLOOKUP("buildings|PM25|Work loss days", US_national_yearly!$D:$AM, 32, FALSE) / VLOOKUP("buildings|PM25|Work loss days", US_national_yearly!$D:$AM, 10, FALSE), 1)</f>
        <v>0.44365796999934848</v>
      </c>
      <c r="Y15" s="7">
        <f>$B15 * IFERROR(VLOOKUP("buildings|PM25|Work loss days", US_national_yearly!$D:$AM, 33, FALSE) / VLOOKUP("buildings|PM25|Work loss days", US_national_yearly!$D:$AM, 10, FALSE), 1)</f>
        <v>0.44655249735690111</v>
      </c>
      <c r="Z15" s="7">
        <f>$B15 * IFERROR(VLOOKUP("buildings|PM25|Work loss days", US_national_yearly!$D:$AM, 34, FALSE) / VLOOKUP("buildings|PM25|Work loss days", US_national_yearly!$D:$AM, 10, FALSE), 1)</f>
        <v>0.44944702471445369</v>
      </c>
      <c r="AA15" s="7">
        <f>$B15 * IFERROR(VLOOKUP("buildings|PM25|Work loss days", US_national_yearly!$D:$AM, 35, FALSE) / VLOOKUP("buildings|PM25|Work loss days", US_national_yearly!$D:$AM, 10, FALSE), 1)</f>
        <v>0.45234155207200633</v>
      </c>
      <c r="AB15" s="7">
        <f>$B15 * IFERROR(VLOOKUP("buildings|PM25|Work loss days", US_national_yearly!$D:$AM, 36, FALSE) / VLOOKUP("buildings|PM25|Work loss days", US_national_yearly!$D:$AM, 10, FALSE), 1)</f>
        <v>0.4552360794295589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1.0799589658969013E-3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1.1122349939782616E-3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1.1445110220596219E-3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1.176787050140982E-3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1.2090630782223423E-3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1.2399883987874206E-3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1.2709137193524988E-3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1.2973886391364558E-3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1.323863558920413E-3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1.3503384787043702E-3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1.3768133984883274E-3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1.4032883182722848E-3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1.4209669671249824E-3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1.4386456159776802E-3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1.4563242648303778E-3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1.4740029136830759E-3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1.4916815625357735E-3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1.5010754032428102E-3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1.5104692439498466E-3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1.5198630846568835E-3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1.5292569253639199E-3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1.538650766070957E-3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1.5450024724820758E-3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1.5513541788931945E-3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1.5577058853043133E-3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1.5640575917154321E-3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1.570409298126551E-3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3.4164003210036451E-4</v>
      </c>
      <c r="C2" s="7">
        <f>$B2 * IFERROR(VLOOKUP("buildings|NOx|Premature mortality", US_national_yearly!$D:$AM, 11, FALSE) / VLOOKUP("buildings|NOx|Premature mortality", US_national_yearly!$D:$AM, 10, FALSE), 1)</f>
        <v>3.4666510735300378E-4</v>
      </c>
      <c r="D2" s="7">
        <f>$B2 * IFERROR(VLOOKUP("buildings|NOx|Premature mortality", US_national_yearly!$D:$AM, 12, FALSE) / VLOOKUP("buildings|NOx|Premature mortality", US_national_yearly!$D:$AM, 10, FALSE), 1)</f>
        <v>3.5169018260564294E-4</v>
      </c>
      <c r="E2" s="7">
        <f>$B2 * IFERROR(VLOOKUP("buildings|NOx|Premature mortality", US_national_yearly!$D:$AM, 13, FALSE) / VLOOKUP("buildings|NOx|Premature mortality", US_national_yearly!$D:$AM, 10, FALSE), 1)</f>
        <v>3.5671525785828221E-4</v>
      </c>
      <c r="F2" s="7">
        <f>$B2 * IFERROR(VLOOKUP("buildings|NOx|Premature mortality", US_national_yearly!$D:$AM, 14, FALSE) / VLOOKUP("buildings|NOx|Premature mortality", US_national_yearly!$D:$AM, 10, FALSE), 1)</f>
        <v>3.6174033311092143E-4</v>
      </c>
      <c r="G2" s="7">
        <f>$B2 * IFERROR(VLOOKUP("buildings|NOx|Premature mortality", US_national_yearly!$D:$AM, 15, FALSE) / VLOOKUP("buildings|NOx|Premature mortality", US_national_yearly!$D:$AM, 10, FALSE), 1)</f>
        <v>3.7076216412751471E-4</v>
      </c>
      <c r="H2" s="7">
        <f>$B2 * IFERROR(VLOOKUP("buildings|NOx|Premature mortality", US_national_yearly!$D:$AM, 16, FALSE) / VLOOKUP("buildings|NOx|Premature mortality", US_national_yearly!$D:$AM, 10, FALSE), 1)</f>
        <v>3.7978399514410809E-4</v>
      </c>
      <c r="I2" s="7">
        <f>$B2 * IFERROR(VLOOKUP("buildings|NOx|Premature mortality", US_national_yearly!$D:$AM, 17, FALSE) / VLOOKUP("buildings|NOx|Premature mortality", US_national_yearly!$D:$AM, 10, FALSE), 1)</f>
        <v>3.856143883337696E-4</v>
      </c>
      <c r="J2" s="7">
        <f>$B2 * IFERROR(VLOOKUP("buildings|NOx|Premature mortality", US_national_yearly!$D:$AM, 18, FALSE) / VLOOKUP("buildings|NOx|Premature mortality", US_national_yearly!$D:$AM, 10, FALSE), 1)</f>
        <v>3.9144478152343105E-4</v>
      </c>
      <c r="K2" s="7">
        <f>$B2 * IFERROR(VLOOKUP("buildings|NOx|Premature mortality", US_national_yearly!$D:$AM, 19, FALSE) / VLOOKUP("buildings|NOx|Premature mortality", US_national_yearly!$D:$AM, 10, FALSE), 1)</f>
        <v>3.9727517471309257E-4</v>
      </c>
      <c r="L2" s="7">
        <f>$B2 * IFERROR(VLOOKUP("buildings|NOx|Premature mortality", US_national_yearly!$D:$AM, 20, FALSE) / VLOOKUP("buildings|NOx|Premature mortality", US_national_yearly!$D:$AM, 10, FALSE), 1)</f>
        <v>4.0310556790275413E-4</v>
      </c>
      <c r="M2" s="7">
        <f>$B2 * IFERROR(VLOOKUP("buildings|NOx|Premature mortality", US_national_yearly!$D:$AM, 21, FALSE) / VLOOKUP("buildings|NOx|Premature mortality", US_national_yearly!$D:$AM, 10, FALSE), 1)</f>
        <v>4.0893596109241564E-4</v>
      </c>
      <c r="N2" s="7">
        <f>$B2 * IFERROR(VLOOKUP("buildings|NOx|Premature mortality", US_national_yearly!$D:$AM, 22, FALSE) / VLOOKUP("buildings|NOx|Premature mortality", US_national_yearly!$D:$AM, 10, FALSE), 1)</f>
        <v>4.1325605988182392E-4</v>
      </c>
      <c r="O2" s="7">
        <f>$B2 * IFERROR(VLOOKUP("buildings|NOx|Premature mortality", US_national_yearly!$D:$AM, 23, FALSE) / VLOOKUP("buildings|NOx|Premature mortality", US_national_yearly!$D:$AM, 10, FALSE), 1)</f>
        <v>4.1757615867123231E-4</v>
      </c>
      <c r="P2" s="7">
        <f>$B2 * IFERROR(VLOOKUP("buildings|NOx|Premature mortality", US_national_yearly!$D:$AM, 24, FALSE) / VLOOKUP("buildings|NOx|Premature mortality", US_national_yearly!$D:$AM, 10, FALSE), 1)</f>
        <v>4.218962574606407E-4</v>
      </c>
      <c r="Q2" s="7">
        <f>$B2 * IFERROR(VLOOKUP("buildings|NOx|Premature mortality", US_national_yearly!$D:$AM, 25, FALSE) / VLOOKUP("buildings|NOx|Premature mortality", US_national_yearly!$D:$AM, 10, FALSE), 1)</f>
        <v>4.2621635625004903E-4</v>
      </c>
      <c r="R2" s="7">
        <f>$B2 * IFERROR(VLOOKUP("buildings|NOx|Premature mortality", US_national_yearly!$D:$AM, 26, FALSE) / VLOOKUP("buildings|NOx|Premature mortality", US_national_yearly!$D:$AM, 10, FALSE), 1)</f>
        <v>4.3053645503945742E-4</v>
      </c>
      <c r="S2" s="7">
        <f>$B2 * IFERROR(VLOOKUP("buildings|NOx|Premature mortality", US_national_yearly!$D:$AM, 27, FALSE) / VLOOKUP("buildings|NOx|Premature mortality", US_national_yearly!$D:$AM, 10, FALSE), 1)</f>
        <v>4.3250054227197694E-4</v>
      </c>
      <c r="T2" s="7">
        <f>$B2 * IFERROR(VLOOKUP("buildings|NOx|Premature mortality", US_national_yearly!$D:$AM, 28, FALSE) / VLOOKUP("buildings|NOx|Premature mortality", US_national_yearly!$D:$AM, 10, FALSE), 1)</f>
        <v>4.3446462950449635E-4</v>
      </c>
      <c r="U2" s="7">
        <f>$B2 * IFERROR(VLOOKUP("buildings|NOx|Premature mortality", US_national_yearly!$D:$AM, 29, FALSE) / VLOOKUP("buildings|NOx|Premature mortality", US_national_yearly!$D:$AM, 10, FALSE), 1)</f>
        <v>4.3642871673701581E-4</v>
      </c>
      <c r="V2" s="7">
        <f>$B2 * IFERROR(VLOOKUP("buildings|NOx|Premature mortality", US_national_yearly!$D:$AM, 30, FALSE) / VLOOKUP("buildings|NOx|Premature mortality", US_national_yearly!$D:$AM, 10, FALSE), 1)</f>
        <v>4.3839280396953533E-4</v>
      </c>
      <c r="W2" s="7">
        <f>$B2 * IFERROR(VLOOKUP("buildings|NOx|Premature mortality", US_national_yearly!$D:$AM, 31, FALSE) / VLOOKUP("buildings|NOx|Premature mortality", US_national_yearly!$D:$AM, 10, FALSE), 1)</f>
        <v>4.4035689120205474E-4</v>
      </c>
      <c r="X2" s="7">
        <f>$B2 * IFERROR(VLOOKUP("buildings|NOx|Premature mortality", US_national_yearly!$D:$AM, 32, FALSE) / VLOOKUP("buildings|NOx|Premature mortality", US_national_yearly!$D:$AM, 10, FALSE), 1)</f>
        <v>4.4042606475332185E-4</v>
      </c>
      <c r="Y2" s="7">
        <f>$B2 * IFERROR(VLOOKUP("buildings|NOx|Premature mortality", US_national_yearly!$D:$AM, 33, FALSE) / VLOOKUP("buildings|NOx|Premature mortality", US_national_yearly!$D:$AM, 10, FALSE), 1)</f>
        <v>4.4049523830458896E-4</v>
      </c>
      <c r="Z2" s="7">
        <f>$B2 * IFERROR(VLOOKUP("buildings|NOx|Premature mortality", US_national_yearly!$D:$AM, 34, FALSE) / VLOOKUP("buildings|NOx|Premature mortality", US_national_yearly!$D:$AM, 10, FALSE), 1)</f>
        <v>4.4056441185585607E-4</v>
      </c>
      <c r="AA2" s="7">
        <f>$B2 * IFERROR(VLOOKUP("buildings|NOx|Premature mortality", US_national_yearly!$D:$AM, 35, FALSE) / VLOOKUP("buildings|NOx|Premature mortality", US_national_yearly!$D:$AM, 10, FALSE), 1)</f>
        <v>4.4063358540712312E-4</v>
      </c>
      <c r="AB2" s="7">
        <f>$B2 * IFERROR(VLOOKUP("buildings|NOx|Premature mortality", US_national_yearly!$D:$AM, 36, FALSE) / VLOOKUP("buildings|NOx|Premature mortality", US_national_yearly!$D:$AM, 10, FALSE), 1)</f>
        <v>4.4070275895839029E-4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5.9396603499195433E-7</v>
      </c>
      <c r="C3" s="7">
        <f>$B3 * IFERROR(VLOOKUP("buildings|NOx|Infant mortality", US_national_yearly!$D:$AM, 11, FALSE) / VLOOKUP("buildings|NOx|Infant mortality", US_national_yearly!$D:$AM, 10, FALSE), 1)</f>
        <v>5.8832405475978639E-7</v>
      </c>
      <c r="D3" s="7">
        <f>$B3 * IFERROR(VLOOKUP("buildings|NOx|Infant mortality", US_national_yearly!$D:$AM, 12, FALSE) / VLOOKUP("buildings|NOx|Infant mortality", US_national_yearly!$D:$AM, 10, FALSE), 1)</f>
        <v>5.8268207452761834E-7</v>
      </c>
      <c r="E3" s="7">
        <f>$B3 * IFERROR(VLOOKUP("buildings|NOx|Infant mortality", US_national_yearly!$D:$AM, 13, FALSE) / VLOOKUP("buildings|NOx|Infant mortality", US_national_yearly!$D:$AM, 10, FALSE), 1)</f>
        <v>5.7704009429545039E-7</v>
      </c>
      <c r="F3" s="7">
        <f>$B3 * IFERROR(VLOOKUP("buildings|NOx|Infant mortality", US_national_yearly!$D:$AM, 14, FALSE) / VLOOKUP("buildings|NOx|Infant mortality", US_national_yearly!$D:$AM, 10, FALSE), 1)</f>
        <v>5.7139811406328234E-7</v>
      </c>
      <c r="G3" s="7">
        <f>$B3 * IFERROR(VLOOKUP("buildings|NOx|Infant mortality", US_national_yearly!$D:$AM, 15, FALSE) / VLOOKUP("buildings|NOx|Infant mortality", US_national_yearly!$D:$AM, 10, FALSE), 1)</f>
        <v>3.792583254998833E-7</v>
      </c>
      <c r="H3" s="7">
        <f>$B3 * IFERROR(VLOOKUP("buildings|NOx|Infant mortality", US_national_yearly!$D:$AM, 16, FALSE) / VLOOKUP("buildings|NOx|Infant mortality", US_national_yearly!$D:$AM, 10, FALSE), 1)</f>
        <v>1.8711853693648429E-7</v>
      </c>
      <c r="I3" s="7">
        <f>$B3 * IFERROR(VLOOKUP("buildings|NOx|Infant mortality", US_national_yearly!$D:$AM, 17, FALSE) / VLOOKUP("buildings|NOx|Infant mortality", US_national_yearly!$D:$AM, 10, FALSE), 1)</f>
        <v>1.857966271089692E-7</v>
      </c>
      <c r="J3" s="7">
        <f>$B3 * IFERROR(VLOOKUP("buildings|NOx|Infant mortality", US_national_yearly!$D:$AM, 18, FALSE) / VLOOKUP("buildings|NOx|Infant mortality", US_national_yearly!$D:$AM, 10, FALSE), 1)</f>
        <v>1.8447471728145409E-7</v>
      </c>
      <c r="K3" s="7">
        <f>$B3 * IFERROR(VLOOKUP("buildings|NOx|Infant mortality", US_national_yearly!$D:$AM, 19, FALSE) / VLOOKUP("buildings|NOx|Infant mortality", US_national_yearly!$D:$AM, 10, FALSE), 1)</f>
        <v>1.83152807453939E-7</v>
      </c>
      <c r="L3" s="7">
        <f>$B3 * IFERROR(VLOOKUP("buildings|NOx|Infant mortality", US_national_yearly!$D:$AM, 20, FALSE) / VLOOKUP("buildings|NOx|Infant mortality", US_national_yearly!$D:$AM, 10, FALSE), 1)</f>
        <v>1.8183089762642391E-7</v>
      </c>
      <c r="M3" s="7">
        <f>$B3 * IFERROR(VLOOKUP("buildings|NOx|Infant mortality", US_national_yearly!$D:$AM, 21, FALSE) / VLOOKUP("buildings|NOx|Infant mortality", US_national_yearly!$D:$AM, 10, FALSE), 1)</f>
        <v>1.8050898779890879E-7</v>
      </c>
      <c r="N3" s="7">
        <f>$B3 * IFERROR(VLOOKUP("buildings|NOx|Infant mortality", US_national_yearly!$D:$AM, 22, FALSE) / VLOOKUP("buildings|NOx|Infant mortality", US_national_yearly!$D:$AM, 10, FALSE), 1)</f>
        <v>1.796330321698491E-7</v>
      </c>
      <c r="O3" s="7">
        <f>$B3 * IFERROR(VLOOKUP("buildings|NOx|Infant mortality", US_national_yearly!$D:$AM, 23, FALSE) / VLOOKUP("buildings|NOx|Infant mortality", US_national_yearly!$D:$AM, 10, FALSE), 1)</f>
        <v>1.787570765407894E-7</v>
      </c>
      <c r="P3" s="7">
        <f>$B3 * IFERROR(VLOOKUP("buildings|NOx|Infant mortality", US_national_yearly!$D:$AM, 24, FALSE) / VLOOKUP("buildings|NOx|Infant mortality", US_national_yearly!$D:$AM, 10, FALSE), 1)</f>
        <v>1.7788112091172971E-7</v>
      </c>
      <c r="Q3" s="7">
        <f>$B3 * IFERROR(VLOOKUP("buildings|NOx|Infant mortality", US_national_yearly!$D:$AM, 25, FALSE) / VLOOKUP("buildings|NOx|Infant mortality", US_national_yearly!$D:$AM, 10, FALSE), 1)</f>
        <v>1.7700516528267004E-7</v>
      </c>
      <c r="R3" s="7">
        <f>$B3 * IFERROR(VLOOKUP("buildings|NOx|Infant mortality", US_national_yearly!$D:$AM, 26, FALSE) / VLOOKUP("buildings|NOx|Infant mortality", US_national_yearly!$D:$AM, 10, FALSE), 1)</f>
        <v>1.7612920965361035E-7</v>
      </c>
      <c r="S3" s="7">
        <f>$B3 * IFERROR(VLOOKUP("buildings|NOx|Infant mortality", US_national_yearly!$D:$AM, 27, FALSE) / VLOOKUP("buildings|NOx|Infant mortality", US_national_yearly!$D:$AM, 10, FALSE), 1)</f>
        <v>1.7507549097723615E-7</v>
      </c>
      <c r="T3" s="7">
        <f>$B3 * IFERROR(VLOOKUP("buildings|NOx|Infant mortality", US_national_yearly!$D:$AM, 28, FALSE) / VLOOKUP("buildings|NOx|Infant mortality", US_national_yearly!$D:$AM, 10, FALSE), 1)</f>
        <v>1.7402177230086199E-7</v>
      </c>
      <c r="U3" s="7">
        <f>$B3 * IFERROR(VLOOKUP("buildings|NOx|Infant mortality", US_national_yearly!$D:$AM, 29, FALSE) / VLOOKUP("buildings|NOx|Infant mortality", US_national_yearly!$D:$AM, 10, FALSE), 1)</f>
        <v>1.729680536244878E-7</v>
      </c>
      <c r="V3" s="7">
        <f>$B3 * IFERROR(VLOOKUP("buildings|NOx|Infant mortality", US_national_yearly!$D:$AM, 30, FALSE) / VLOOKUP("buildings|NOx|Infant mortality", US_national_yearly!$D:$AM, 10, FALSE), 1)</f>
        <v>1.7191433494811358E-7</v>
      </c>
      <c r="W3" s="7">
        <f>$B3 * IFERROR(VLOOKUP("buildings|NOx|Infant mortality", US_national_yearly!$D:$AM, 31, FALSE) / VLOOKUP("buildings|NOx|Infant mortality", US_national_yearly!$D:$AM, 10, FALSE), 1)</f>
        <v>1.7086061627173944E-7</v>
      </c>
      <c r="X3" s="7">
        <f>$B3 * IFERROR(VLOOKUP("buildings|NOx|Infant mortality", US_national_yearly!$D:$AM, 32, FALSE) / VLOOKUP("buildings|NOx|Infant mortality", US_national_yearly!$D:$AM, 10, FALSE), 1)</f>
        <v>1.6974568955987965E-7</v>
      </c>
      <c r="Y3" s="7">
        <f>$B3 * IFERROR(VLOOKUP("buildings|NOx|Infant mortality", US_national_yearly!$D:$AM, 33, FALSE) / VLOOKUP("buildings|NOx|Infant mortality", US_national_yearly!$D:$AM, 10, FALSE), 1)</f>
        <v>1.6863076284801991E-7</v>
      </c>
      <c r="Z3" s="7">
        <f>$B3 * IFERROR(VLOOKUP("buildings|NOx|Infant mortality", US_national_yearly!$D:$AM, 34, FALSE) / VLOOKUP("buildings|NOx|Infant mortality", US_national_yearly!$D:$AM, 10, FALSE), 1)</f>
        <v>1.6751583613616011E-7</v>
      </c>
      <c r="AA3" s="7">
        <f>$B3 * IFERROR(VLOOKUP("buildings|NOx|Infant mortality", US_national_yearly!$D:$AM, 35, FALSE) / VLOOKUP("buildings|NOx|Infant mortality", US_national_yearly!$D:$AM, 10, FALSE), 1)</f>
        <v>1.6640090942430035E-7</v>
      </c>
      <c r="AB3" s="7">
        <f>$B3 * IFERROR(VLOOKUP("buildings|NOx|Infant mortality", US_national_yearly!$D:$AM, 36, FALSE) / VLOOKUP("buildings|NOx|Infant mortality", US_national_yearly!$D:$AM, 10, FALSE), 1)</f>
        <v>1.6528598271244055E-7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6.0292300257260554E-4</v>
      </c>
      <c r="C6" s="7">
        <f>$B6 * IFERROR(VLOOKUP("buildings|NOx|Asthma symptoms cough", US_national_yearly!$D:$AM, 11, FALSE) / VLOOKUP("buildings|NOx|Asthma symptoms cough", US_national_yearly!$D:$AM, 10, FALSE), 1)</f>
        <v>6.1117416808788977E-4</v>
      </c>
      <c r="D6" s="7">
        <f>$B6 * IFERROR(VLOOKUP("buildings|NOx|Asthma symptoms cough", US_national_yearly!$D:$AM, 12, FALSE) / VLOOKUP("buildings|NOx|Asthma symptoms cough", US_national_yearly!$D:$AM, 10, FALSE), 1)</f>
        <v>6.1942533360317411E-4</v>
      </c>
      <c r="E6" s="7">
        <f>$B6 * IFERROR(VLOOKUP("buildings|NOx|Asthma symptoms cough", US_national_yearly!$D:$AM, 13, FALSE) / VLOOKUP("buildings|NOx|Asthma symptoms cough", US_national_yearly!$D:$AM, 10, FALSE), 1)</f>
        <v>6.2767649911845834E-4</v>
      </c>
      <c r="F6" s="7">
        <f>$B6 * IFERROR(VLOOKUP("buildings|NOx|Asthma symptoms cough", US_national_yearly!$D:$AM, 14, FALSE) / VLOOKUP("buildings|NOx|Asthma symptoms cough", US_national_yearly!$D:$AM, 10, FALSE), 1)</f>
        <v>6.3592766463374246E-4</v>
      </c>
      <c r="G6" s="7">
        <f>$B6 * IFERROR(VLOOKUP("buildings|NOx|Asthma symptoms cough", US_national_yearly!$D:$AM, 15, FALSE) / VLOOKUP("buildings|NOx|Asthma symptoms cough", US_national_yearly!$D:$AM, 10, FALSE), 1)</f>
        <v>6.4252189198066973E-4</v>
      </c>
      <c r="H6" s="7">
        <f>$B6 * IFERROR(VLOOKUP("buildings|NOx|Asthma symptoms cough", US_national_yearly!$D:$AM, 16, FALSE) / VLOOKUP("buildings|NOx|Asthma symptoms cough", US_national_yearly!$D:$AM, 10, FALSE), 1)</f>
        <v>6.4911611932759699E-4</v>
      </c>
      <c r="I6" s="7">
        <f>$B6 * IFERROR(VLOOKUP("buildings|NOx|Asthma symptoms cough", US_national_yearly!$D:$AM, 17, FALSE) / VLOOKUP("buildings|NOx|Asthma symptoms cough", US_national_yearly!$D:$AM, 10, FALSE), 1)</f>
        <v>6.5139818665281058E-4</v>
      </c>
      <c r="J6" s="7">
        <f>$B6 * IFERROR(VLOOKUP("buildings|NOx|Asthma symptoms cough", US_national_yearly!$D:$AM, 18, FALSE) / VLOOKUP("buildings|NOx|Asthma symptoms cough", US_national_yearly!$D:$AM, 10, FALSE), 1)</f>
        <v>6.5368025397802417E-4</v>
      </c>
      <c r="K6" s="7">
        <f>$B6 * IFERROR(VLOOKUP("buildings|NOx|Asthma symptoms cough", US_national_yearly!$D:$AM, 19, FALSE) / VLOOKUP("buildings|NOx|Asthma symptoms cough", US_national_yearly!$D:$AM, 10, FALSE), 1)</f>
        <v>6.5596232130323755E-4</v>
      </c>
      <c r="L6" s="7">
        <f>$B6 * IFERROR(VLOOKUP("buildings|NOx|Asthma symptoms cough", US_national_yearly!$D:$AM, 20, FALSE) / VLOOKUP("buildings|NOx|Asthma symptoms cough", US_national_yearly!$D:$AM, 10, FALSE), 1)</f>
        <v>6.5824438862845114E-4</v>
      </c>
      <c r="M6" s="7">
        <f>$B6 * IFERROR(VLOOKUP("buildings|NOx|Asthma symptoms cough", US_national_yearly!$D:$AM, 21, FALSE) / VLOOKUP("buildings|NOx|Asthma symptoms cough", US_national_yearly!$D:$AM, 10, FALSE), 1)</f>
        <v>6.6052645595366462E-4</v>
      </c>
      <c r="N6" s="7">
        <f>$B6 * IFERROR(VLOOKUP("buildings|NOx|Asthma symptoms cough", US_national_yearly!$D:$AM, 22, FALSE) / VLOOKUP("buildings|NOx|Asthma symptoms cough", US_national_yearly!$D:$AM, 10, FALSE), 1)</f>
        <v>6.6316523849081126E-4</v>
      </c>
      <c r="O6" s="7">
        <f>$B6 * IFERROR(VLOOKUP("buildings|NOx|Asthma symptoms cough", US_national_yearly!$D:$AM, 23, FALSE) / VLOOKUP("buildings|NOx|Asthma symptoms cough", US_national_yearly!$D:$AM, 10, FALSE), 1)</f>
        <v>6.6580402102795779E-4</v>
      </c>
      <c r="P6" s="7">
        <f>$B6 * IFERROR(VLOOKUP("buildings|NOx|Asthma symptoms cough", US_national_yearly!$D:$AM, 24, FALSE) / VLOOKUP("buildings|NOx|Asthma symptoms cough", US_national_yearly!$D:$AM, 10, FALSE), 1)</f>
        <v>6.6844280356510432E-4</v>
      </c>
      <c r="Q6" s="7">
        <f>$B6 * IFERROR(VLOOKUP("buildings|NOx|Asthma symptoms cough", US_national_yearly!$D:$AM, 25, FALSE) / VLOOKUP("buildings|NOx|Asthma symptoms cough", US_national_yearly!$D:$AM, 10, FALSE), 1)</f>
        <v>6.7108158610225096E-4</v>
      </c>
      <c r="R6" s="7">
        <f>$B6 * IFERROR(VLOOKUP("buildings|NOx|Asthma symptoms cough", US_national_yearly!$D:$AM, 26, FALSE) / VLOOKUP("buildings|NOx|Asthma symptoms cough", US_national_yearly!$D:$AM, 10, FALSE), 1)</f>
        <v>6.7372036863939738E-4</v>
      </c>
      <c r="S6" s="7">
        <f>$B6 * IFERROR(VLOOKUP("buildings|NOx|Asthma symptoms cough", US_national_yearly!$D:$AM, 27, FALSE) / VLOOKUP("buildings|NOx|Asthma symptoms cough", US_national_yearly!$D:$AM, 10, FALSE), 1)</f>
        <v>6.7716667455593475E-4</v>
      </c>
      <c r="T6" s="7">
        <f>$B6 * IFERROR(VLOOKUP("buildings|NOx|Asthma symptoms cough", US_national_yearly!$D:$AM, 28, FALSE) / VLOOKUP("buildings|NOx|Asthma symptoms cough", US_national_yearly!$D:$AM, 10, FALSE), 1)</f>
        <v>6.8061298047247191E-4</v>
      </c>
      <c r="U6" s="7">
        <f>$B6 * IFERROR(VLOOKUP("buildings|NOx|Asthma symptoms cough", US_national_yearly!$D:$AM, 29, FALSE) / VLOOKUP("buildings|NOx|Asthma symptoms cough", US_national_yearly!$D:$AM, 10, FALSE), 1)</f>
        <v>6.8405928638900907E-4</v>
      </c>
      <c r="V6" s="7">
        <f>$B6 * IFERROR(VLOOKUP("buildings|NOx|Asthma symptoms cough", US_national_yearly!$D:$AM, 30, FALSE) / VLOOKUP("buildings|NOx|Asthma symptoms cough", US_national_yearly!$D:$AM, 10, FALSE), 1)</f>
        <v>6.8750559230554655E-4</v>
      </c>
      <c r="W6" s="7">
        <f>$B6 * IFERROR(VLOOKUP("buildings|NOx|Asthma symptoms cough", US_national_yearly!$D:$AM, 31, FALSE) / VLOOKUP("buildings|NOx|Asthma symptoms cough", US_national_yearly!$D:$AM, 10, FALSE), 1)</f>
        <v>6.9095189822208371E-4</v>
      </c>
      <c r="X6" s="7">
        <f>$B6 * IFERROR(VLOOKUP("buildings|NOx|Asthma symptoms cough", US_national_yearly!$D:$AM, 32, FALSE) / VLOOKUP("buildings|NOx|Asthma symptoms cough", US_national_yearly!$D:$AM, 10, FALSE), 1)</f>
        <v>6.9415399063942269E-4</v>
      </c>
      <c r="Y6" s="7">
        <f>$B6 * IFERROR(VLOOKUP("buildings|NOx|Asthma symptoms cough", US_national_yearly!$D:$AM, 33, FALSE) / VLOOKUP("buildings|NOx|Asthma symptoms cough", US_national_yearly!$D:$AM, 10, FALSE), 1)</f>
        <v>6.9735608305676177E-4</v>
      </c>
      <c r="Z6" s="7">
        <f>$B6 * IFERROR(VLOOKUP("buildings|NOx|Asthma symptoms cough", US_national_yearly!$D:$AM, 34, FALSE) / VLOOKUP("buildings|NOx|Asthma symptoms cough", US_national_yearly!$D:$AM, 10, FALSE), 1)</f>
        <v>7.0055817547410096E-4</v>
      </c>
      <c r="AA6" s="7">
        <f>$B6 * IFERROR(VLOOKUP("buildings|NOx|Asthma symptoms cough", US_national_yearly!$D:$AM, 35, FALSE) / VLOOKUP("buildings|NOx|Asthma symptoms cough", US_national_yearly!$D:$AM, 10, FALSE), 1)</f>
        <v>7.0376026789144004E-4</v>
      </c>
      <c r="AB6" s="7">
        <f>$B6 * IFERROR(VLOOKUP("buildings|NOx|Asthma symptoms cough", US_national_yearly!$D:$AM, 36, FALSE) / VLOOKUP("buildings|NOx|Asthma symptoms cough", US_national_yearly!$D:$AM, 10, FALSE), 1)</f>
        <v>7.0696236030877912E-4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8.1192262856173898E-4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8.2303401086432425E-4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8.3414539316690962E-4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8.4525677546949489E-4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8.5636815777208016E-4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8.6524823426094896E-4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8.7412831074981775E-4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8.7720144292052641E-4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8.8027457509123484E-4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8.8334770726194371E-4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8.8642083943265225E-4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8.8949397160336091E-4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8.9304747217074749E-4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8.9660097273813397E-4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9.0015447330552055E-4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9.0370797387290703E-4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9.0726147444029361E-4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9.119024215132422E-4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9.1654336858619067E-4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9.2118431565913926E-4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9.2582526273208763E-4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9.3046620980503621E-4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9.3477828823980197E-4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9.3909036667456762E-4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9.4340244510933337E-4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9.4771452354409881E-4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9.5202660197886457E-4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1.2404826046135905E-3</v>
      </c>
      <c r="C8" s="7">
        <f>$B8 * IFERROR(VLOOKUP("buildings|NOx|Asthma symptoms wheeze", US_national_yearly!$D:$AM, 11, FALSE) / VLOOKUP("buildings|NOx|Asthma symptoms wheeze", US_national_yearly!$D:$AM, 10, FALSE), 1)</f>
        <v>1.2574589469489597E-3</v>
      </c>
      <c r="D8" s="7">
        <f>$B8 * IFERROR(VLOOKUP("buildings|NOx|Asthma symptoms wheeze", US_national_yearly!$D:$AM, 12, FALSE) / VLOOKUP("buildings|NOx|Asthma symptoms wheeze", US_national_yearly!$D:$AM, 10, FALSE), 1)</f>
        <v>1.2744352892843289E-3</v>
      </c>
      <c r="E8" s="7">
        <f>$B8 * IFERROR(VLOOKUP("buildings|NOx|Asthma symptoms wheeze", US_national_yearly!$D:$AM, 13, FALSE) / VLOOKUP("buildings|NOx|Asthma symptoms wheeze", US_national_yearly!$D:$AM, 10, FALSE), 1)</f>
        <v>1.2914116316196979E-3</v>
      </c>
      <c r="F8" s="7">
        <f>$B8 * IFERROR(VLOOKUP("buildings|NOx|Asthma symptoms wheeze", US_national_yearly!$D:$AM, 14, FALSE) / VLOOKUP("buildings|NOx|Asthma symptoms wheeze", US_national_yearly!$D:$AM, 10, FALSE), 1)</f>
        <v>1.3083879739550675E-3</v>
      </c>
      <c r="G8" s="7">
        <f>$B8 * IFERROR(VLOOKUP("buildings|NOx|Asthma symptoms wheeze", US_national_yearly!$D:$AM, 15, FALSE) / VLOOKUP("buildings|NOx|Asthma symptoms wheeze", US_national_yearly!$D:$AM, 10, FALSE), 1)</f>
        <v>1.3219552525017804E-3</v>
      </c>
      <c r="H8" s="7">
        <f>$B8 * IFERROR(VLOOKUP("buildings|NOx|Asthma symptoms wheeze", US_national_yearly!$D:$AM, 16, FALSE) / VLOOKUP("buildings|NOx|Asthma symptoms wheeze", US_national_yearly!$D:$AM, 10, FALSE), 1)</f>
        <v>1.3355225310484932E-3</v>
      </c>
      <c r="I8" s="7">
        <f>$B8 * IFERROR(VLOOKUP("buildings|NOx|Asthma symptoms wheeze", US_national_yearly!$D:$AM, 17, FALSE) / VLOOKUP("buildings|NOx|Asthma symptoms wheeze", US_national_yearly!$D:$AM, 10, FALSE), 1)</f>
        <v>1.3402177654466105E-3</v>
      </c>
      <c r="J8" s="7">
        <f>$B8 * IFERROR(VLOOKUP("buildings|NOx|Asthma symptoms wheeze", US_national_yearly!$D:$AM, 18, FALSE) / VLOOKUP("buildings|NOx|Asthma symptoms wheeze", US_national_yearly!$D:$AM, 10, FALSE), 1)</f>
        <v>1.3449129998447276E-3</v>
      </c>
      <c r="K8" s="7">
        <f>$B8 * IFERROR(VLOOKUP("buildings|NOx|Asthma symptoms wheeze", US_national_yearly!$D:$AM, 19, FALSE) / VLOOKUP("buildings|NOx|Asthma symptoms wheeze", US_national_yearly!$D:$AM, 10, FALSE), 1)</f>
        <v>1.3496082342428445E-3</v>
      </c>
      <c r="L8" s="7">
        <f>$B8 * IFERROR(VLOOKUP("buildings|NOx|Asthma symptoms wheeze", US_national_yearly!$D:$AM, 20, FALSE) / VLOOKUP("buildings|NOx|Asthma symptoms wheeze", US_national_yearly!$D:$AM, 10, FALSE), 1)</f>
        <v>1.3543034686409616E-3</v>
      </c>
      <c r="M8" s="7">
        <f>$B8 * IFERROR(VLOOKUP("buildings|NOx|Asthma symptoms wheeze", US_national_yearly!$D:$AM, 21, FALSE) / VLOOKUP("buildings|NOx|Asthma symptoms wheeze", US_national_yearly!$D:$AM, 10, FALSE), 1)</f>
        <v>1.3589987030390789E-3</v>
      </c>
      <c r="N8" s="7">
        <f>$B8 * IFERROR(VLOOKUP("buildings|NOx|Asthma symptoms wheeze", US_national_yearly!$D:$AM, 22, FALSE) / VLOOKUP("buildings|NOx|Asthma symptoms wheeze", US_national_yearly!$D:$AM, 10, FALSE), 1)</f>
        <v>1.3644278603654782E-3</v>
      </c>
      <c r="O8" s="7">
        <f>$B8 * IFERROR(VLOOKUP("buildings|NOx|Asthma symptoms wheeze", US_national_yearly!$D:$AM, 23, FALSE) / VLOOKUP("buildings|NOx|Asthma symptoms wheeze", US_national_yearly!$D:$AM, 10, FALSE), 1)</f>
        <v>1.3698570176918778E-3</v>
      </c>
      <c r="P8" s="7">
        <f>$B8 * IFERROR(VLOOKUP("buildings|NOx|Asthma symptoms wheeze", US_national_yearly!$D:$AM, 24, FALSE) / VLOOKUP("buildings|NOx|Asthma symptoms wheeze", US_national_yearly!$D:$AM, 10, FALSE), 1)</f>
        <v>1.3752861750182771E-3</v>
      </c>
      <c r="Q8" s="7">
        <f>$B8 * IFERROR(VLOOKUP("buildings|NOx|Asthma symptoms wheeze", US_national_yearly!$D:$AM, 25, FALSE) / VLOOKUP("buildings|NOx|Asthma symptoms wheeze", US_national_yearly!$D:$AM, 10, FALSE), 1)</f>
        <v>1.3807153323446768E-3</v>
      </c>
      <c r="R8" s="7">
        <f>$B8 * IFERROR(VLOOKUP("buildings|NOx|Asthma symptoms wheeze", US_national_yearly!$D:$AM, 26, FALSE) / VLOOKUP("buildings|NOx|Asthma symptoms wheeze", US_national_yearly!$D:$AM, 10, FALSE), 1)</f>
        <v>1.386144489671076E-3</v>
      </c>
      <c r="S8" s="7">
        <f>$B8 * IFERROR(VLOOKUP("buildings|NOx|Asthma symptoms wheeze", US_national_yearly!$D:$AM, 27, FALSE) / VLOOKUP("buildings|NOx|Asthma symptoms wheeze", US_national_yearly!$D:$AM, 10, FALSE), 1)</f>
        <v>1.3932350841997304E-3</v>
      </c>
      <c r="T8" s="7">
        <f>$B8 * IFERROR(VLOOKUP("buildings|NOx|Asthma symptoms wheeze", US_national_yearly!$D:$AM, 28, FALSE) / VLOOKUP("buildings|NOx|Asthma symptoms wheeze", US_national_yearly!$D:$AM, 10, FALSE), 1)</f>
        <v>1.4003256787283847E-3</v>
      </c>
      <c r="U8" s="7">
        <f>$B8 * IFERROR(VLOOKUP("buildings|NOx|Asthma symptoms wheeze", US_national_yearly!$D:$AM, 29, FALSE) / VLOOKUP("buildings|NOx|Asthma symptoms wheeze", US_national_yearly!$D:$AM, 10, FALSE), 1)</f>
        <v>1.4074162732570391E-3</v>
      </c>
      <c r="V8" s="7">
        <f>$B8 * IFERROR(VLOOKUP("buildings|NOx|Asthma symptoms wheeze", US_national_yearly!$D:$AM, 30, FALSE) / VLOOKUP("buildings|NOx|Asthma symptoms wheeze", US_national_yearly!$D:$AM, 10, FALSE), 1)</f>
        <v>1.4145068677856934E-3</v>
      </c>
      <c r="W8" s="7">
        <f>$B8 * IFERROR(VLOOKUP("buildings|NOx|Asthma symptoms wheeze", US_national_yearly!$D:$AM, 31, FALSE) / VLOOKUP("buildings|NOx|Asthma symptoms wheeze", US_national_yearly!$D:$AM, 10, FALSE), 1)</f>
        <v>1.4215974623143478E-3</v>
      </c>
      <c r="X8" s="7">
        <f>$B8 * IFERROR(VLOOKUP("buildings|NOx|Asthma symptoms wheeze", US_national_yearly!$D:$AM, 32, FALSE) / VLOOKUP("buildings|NOx|Asthma symptoms wheeze", US_national_yearly!$D:$AM, 10, FALSE), 1)</f>
        <v>1.4281856003165048E-3</v>
      </c>
      <c r="Y8" s="7">
        <f>$B8 * IFERROR(VLOOKUP("buildings|NOx|Asthma symptoms wheeze", US_national_yearly!$D:$AM, 33, FALSE) / VLOOKUP("buildings|NOx|Asthma symptoms wheeze", US_national_yearly!$D:$AM, 10, FALSE), 1)</f>
        <v>1.4347737383186619E-3</v>
      </c>
      <c r="Z8" s="7">
        <f>$B8 * IFERROR(VLOOKUP("buildings|NOx|Asthma symptoms wheeze", US_national_yearly!$D:$AM, 34, FALSE) / VLOOKUP("buildings|NOx|Asthma symptoms wheeze", US_national_yearly!$D:$AM, 10, FALSE), 1)</f>
        <v>1.4413618763208192E-3</v>
      </c>
      <c r="AA8" s="7">
        <f>$B8 * IFERROR(VLOOKUP("buildings|NOx|Asthma symptoms wheeze", US_national_yearly!$D:$AM, 35, FALSE) / VLOOKUP("buildings|NOx|Asthma symptoms wheeze", US_national_yearly!$D:$AM, 10, FALSE), 1)</f>
        <v>1.4479500143229761E-3</v>
      </c>
      <c r="AB8" s="7">
        <f>$B8 * IFERROR(VLOOKUP("buildings|NOx|Asthma symptoms wheeze", US_national_yearly!$D:$AM, 36, FALSE) / VLOOKUP("buildings|NOx|Asthma symptoms wheeze", US_national_yearly!$D:$AM, 10, FALSE), 1)</f>
        <v>1.4545381523251334E-3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3.7105037926591343E-5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3.8032083199078233E-5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3.8959128471565123E-5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3.988617374405202E-5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4.0813219016538911E-5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4.1699502506822789E-5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4.2585785997106647E-5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4.3338662941028514E-5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4.409153988495038E-5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4.484441682887224E-5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4.5597293772794106E-5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4.6350170716715966E-5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4.6853464811242786E-5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4.7356758905769599E-5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4.7860053000296418E-5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4.8363347094823238E-5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4.8866641189350044E-5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4.9136492241246806E-5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4.9406343293143567E-5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4.9676194345040336E-5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4.9946045396937097E-5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5.0215896448833845E-5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5.0400622226665441E-5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5.058534800449703E-5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5.0770073782328625E-5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5.0954799560160214E-5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5.113952533799181E-5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3.037037793541962E-4</v>
      </c>
      <c r="C13" s="7">
        <f>$B13 * IFERROR(VLOOKUP("buildings|NOx|Non-fatal heart attacks", US_national_yearly!$D:$AM, 11, FALSE) / VLOOKUP("buildings|NOx|Non-fatal heart attacks", US_national_yearly!$D:$AM, 10, FALSE), 1)</f>
        <v>3.1239212527111047E-4</v>
      </c>
      <c r="D13" s="7">
        <f>$B13 * IFERROR(VLOOKUP("buildings|NOx|Non-fatal heart attacks", US_national_yearly!$D:$AM, 12, FALSE) / VLOOKUP("buildings|NOx|Non-fatal heart attacks", US_national_yearly!$D:$AM, 10, FALSE), 1)</f>
        <v>3.2108047118802491E-4</v>
      </c>
      <c r="E13" s="7">
        <f>$B13 * IFERROR(VLOOKUP("buildings|NOx|Non-fatal heart attacks", US_national_yearly!$D:$AM, 13, FALSE) / VLOOKUP("buildings|NOx|Non-fatal heart attacks", US_national_yearly!$D:$AM, 10, FALSE), 1)</f>
        <v>3.2976881710493919E-4</v>
      </c>
      <c r="F13" s="7">
        <f>$B13 * IFERROR(VLOOKUP("buildings|NOx|Non-fatal heart attacks", US_national_yearly!$D:$AM, 14, FALSE) / VLOOKUP("buildings|NOx|Non-fatal heart attacks", US_national_yearly!$D:$AM, 10, FALSE), 1)</f>
        <v>3.3845716302185352E-4</v>
      </c>
      <c r="G13" s="7">
        <f>$B13 * IFERROR(VLOOKUP("buildings|NOx|Non-fatal heart attacks", US_national_yearly!$D:$AM, 15, FALSE) / VLOOKUP("buildings|NOx|Non-fatal heart attacks", US_national_yearly!$D:$AM, 10, FALSE), 1)</f>
        <v>3.4657813072766752E-4</v>
      </c>
      <c r="H13" s="7">
        <f>$B13 * IFERROR(VLOOKUP("buildings|NOx|Non-fatal heart attacks", US_national_yearly!$D:$AM, 16, FALSE) / VLOOKUP("buildings|NOx|Non-fatal heart attacks", US_national_yearly!$D:$AM, 10, FALSE), 1)</f>
        <v>3.5469909843348157E-4</v>
      </c>
      <c r="I13" s="7">
        <f>$B13 * IFERROR(VLOOKUP("buildings|NOx|Non-fatal heart attacks", US_national_yearly!$D:$AM, 17, FALSE) / VLOOKUP("buildings|NOx|Non-fatal heart attacks", US_national_yearly!$D:$AM, 10, FALSE), 1)</f>
        <v>3.6110595818126433E-4</v>
      </c>
      <c r="J13" s="7">
        <f>$B13 * IFERROR(VLOOKUP("buildings|NOx|Non-fatal heart attacks", US_national_yearly!$D:$AM, 18, FALSE) / VLOOKUP("buildings|NOx|Non-fatal heart attacks", US_national_yearly!$D:$AM, 10, FALSE), 1)</f>
        <v>3.6751281792904715E-4</v>
      </c>
      <c r="K13" s="7">
        <f>$B13 * IFERROR(VLOOKUP("buildings|NOx|Non-fatal heart attacks", US_national_yearly!$D:$AM, 19, FALSE) / VLOOKUP("buildings|NOx|Non-fatal heart attacks", US_national_yearly!$D:$AM, 10, FALSE), 1)</f>
        <v>3.7391967767683008E-4</v>
      </c>
      <c r="L13" s="7">
        <f>$B13 * IFERROR(VLOOKUP("buildings|NOx|Non-fatal heart attacks", US_national_yearly!$D:$AM, 20, FALSE) / VLOOKUP("buildings|NOx|Non-fatal heart attacks", US_national_yearly!$D:$AM, 10, FALSE), 1)</f>
        <v>3.8032653742461263E-4</v>
      </c>
      <c r="M13" s="7">
        <f>$B13 * IFERROR(VLOOKUP("buildings|NOx|Non-fatal heart attacks", US_national_yearly!$D:$AM, 21, FALSE) / VLOOKUP("buildings|NOx|Non-fatal heart attacks", US_national_yearly!$D:$AM, 10, FALSE), 1)</f>
        <v>3.8673339717239556E-4</v>
      </c>
      <c r="N13" s="7">
        <f>$B13 * IFERROR(VLOOKUP("buildings|NOx|Non-fatal heart attacks", US_national_yearly!$D:$AM, 22, FALSE) / VLOOKUP("buildings|NOx|Non-fatal heart attacks", US_national_yearly!$D:$AM, 10, FALSE), 1)</f>
        <v>3.9058923958634458E-4</v>
      </c>
      <c r="O13" s="7">
        <f>$B13 * IFERROR(VLOOKUP("buildings|NOx|Non-fatal heart attacks", US_national_yearly!$D:$AM, 23, FALSE) / VLOOKUP("buildings|NOx|Non-fatal heart attacks", US_national_yearly!$D:$AM, 10, FALSE), 1)</f>
        <v>3.9444508200029349E-4</v>
      </c>
      <c r="P13" s="7">
        <f>$B13 * IFERROR(VLOOKUP("buildings|NOx|Non-fatal heart attacks", US_national_yearly!$D:$AM, 24, FALSE) / VLOOKUP("buildings|NOx|Non-fatal heart attacks", US_national_yearly!$D:$AM, 10, FALSE), 1)</f>
        <v>3.9830092441424251E-4</v>
      </c>
      <c r="Q13" s="7">
        <f>$B13 * IFERROR(VLOOKUP("buildings|NOx|Non-fatal heart attacks", US_national_yearly!$D:$AM, 25, FALSE) / VLOOKUP("buildings|NOx|Non-fatal heart attacks", US_national_yearly!$D:$AM, 10, FALSE), 1)</f>
        <v>4.0215676682819152E-4</v>
      </c>
      <c r="R13" s="7">
        <f>$B13 * IFERROR(VLOOKUP("buildings|NOx|Non-fatal heart attacks", US_national_yearly!$D:$AM, 26, FALSE) / VLOOKUP("buildings|NOx|Non-fatal heart attacks", US_national_yearly!$D:$AM, 10, FALSE), 1)</f>
        <v>4.0601260924214044E-4</v>
      </c>
      <c r="S13" s="7">
        <f>$B13 * IFERROR(VLOOKUP("buildings|NOx|Non-fatal heart attacks", US_national_yearly!$D:$AM, 27, FALSE) / VLOOKUP("buildings|NOx|Non-fatal heart attacks", US_national_yearly!$D:$AM, 10, FALSE), 1)</f>
        <v>4.0776485530033188E-4</v>
      </c>
      <c r="T13" s="7">
        <f>$B13 * IFERROR(VLOOKUP("buildings|NOx|Non-fatal heart attacks", US_national_yearly!$D:$AM, 28, FALSE) / VLOOKUP("buildings|NOx|Non-fatal heart attacks", US_national_yearly!$D:$AM, 10, FALSE), 1)</f>
        <v>4.0951710135852344E-4</v>
      </c>
      <c r="U13" s="7">
        <f>$B13 * IFERROR(VLOOKUP("buildings|NOx|Non-fatal heart attacks", US_national_yearly!$D:$AM, 29, FALSE) / VLOOKUP("buildings|NOx|Non-fatal heart attacks", US_national_yearly!$D:$AM, 10, FALSE), 1)</f>
        <v>4.1126934741671483E-4</v>
      </c>
      <c r="V13" s="7">
        <f>$B13 * IFERROR(VLOOKUP("buildings|NOx|Non-fatal heart attacks", US_national_yearly!$D:$AM, 30, FALSE) / VLOOKUP("buildings|NOx|Non-fatal heart attacks", US_national_yearly!$D:$AM, 10, FALSE), 1)</f>
        <v>4.1302159347490628E-4</v>
      </c>
      <c r="W13" s="7">
        <f>$B13 * IFERROR(VLOOKUP("buildings|NOx|Non-fatal heart attacks", US_national_yearly!$D:$AM, 31, FALSE) / VLOOKUP("buildings|NOx|Non-fatal heart attacks", US_national_yearly!$D:$AM, 10, FALSE), 1)</f>
        <v>4.1477383953309778E-4</v>
      </c>
      <c r="X13" s="7">
        <f>$B13 * IFERROR(VLOOKUP("buildings|NOx|Non-fatal heart attacks", US_national_yearly!$D:$AM, 32, FALSE) / VLOOKUP("buildings|NOx|Non-fatal heart attacks", US_national_yearly!$D:$AM, 10, FALSE), 1)</f>
        <v>4.1594594945800525E-4</v>
      </c>
      <c r="Y13" s="7">
        <f>$B13 * IFERROR(VLOOKUP("buildings|NOx|Non-fatal heart attacks", US_national_yearly!$D:$AM, 33, FALSE) / VLOOKUP("buildings|NOx|Non-fatal heart attacks", US_national_yearly!$D:$AM, 10, FALSE), 1)</f>
        <v>4.1711805938291266E-4</v>
      </c>
      <c r="Z13" s="7">
        <f>$B13 * IFERROR(VLOOKUP("buildings|NOx|Non-fatal heart attacks", US_national_yearly!$D:$AM, 34, FALSE) / VLOOKUP("buildings|NOx|Non-fatal heart attacks", US_national_yearly!$D:$AM, 10, FALSE), 1)</f>
        <v>4.1829016930782019E-4</v>
      </c>
      <c r="AA13" s="7">
        <f>$B13 * IFERROR(VLOOKUP("buildings|NOx|Non-fatal heart attacks", US_national_yearly!$D:$AM, 35, FALSE) / VLOOKUP("buildings|NOx|Non-fatal heart attacks", US_national_yearly!$D:$AM, 10, FALSE), 1)</f>
        <v>4.194622792327276E-4</v>
      </c>
      <c r="AB13" s="7">
        <f>$B13 * IFERROR(VLOOKUP("buildings|NOx|Non-fatal heart attacks", US_national_yearly!$D:$AM, 36, FALSE) / VLOOKUP("buildings|NOx|Non-fatal heart attacks", US_national_yearly!$D:$AM, 10, FALSE), 1)</f>
        <v>4.2063438915763507E-4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8.4120294610672344E-2</v>
      </c>
      <c r="C14" s="7">
        <f>$B14 * IFERROR(VLOOKUP("buildings|NOx|Minor restricted activity days", US_national_yearly!$D:$AM, 11, FALSE) / VLOOKUP("buildings|NOx|Minor restricted activity days", US_national_yearly!$D:$AM, 10, FALSE), 1)</f>
        <v>8.4250829414054998E-2</v>
      </c>
      <c r="D14" s="7">
        <f>$B14 * IFERROR(VLOOKUP("buildings|NOx|Minor restricted activity days", US_national_yearly!$D:$AM, 12, FALSE) / VLOOKUP("buildings|NOx|Minor restricted activity days", US_national_yearly!$D:$AM, 10, FALSE), 1)</f>
        <v>8.4381364217437652E-2</v>
      </c>
      <c r="E14" s="7">
        <f>$B14 * IFERROR(VLOOKUP("buildings|NOx|Minor restricted activity days", US_national_yearly!$D:$AM, 13, FALSE) / VLOOKUP("buildings|NOx|Minor restricted activity days", US_national_yearly!$D:$AM, 10, FALSE), 1)</f>
        <v>8.4511899020820319E-2</v>
      </c>
      <c r="F14" s="7">
        <f>$B14 * IFERROR(VLOOKUP("buildings|NOx|Minor restricted activity days", US_national_yearly!$D:$AM, 14, FALSE) / VLOOKUP("buildings|NOx|Minor restricted activity days", US_national_yearly!$D:$AM, 10, FALSE), 1)</f>
        <v>8.4642433824202973E-2</v>
      </c>
      <c r="G14" s="7">
        <f>$B14 * IFERROR(VLOOKUP("buildings|NOx|Minor restricted activity days", US_national_yearly!$D:$AM, 15, FALSE) / VLOOKUP("buildings|NOx|Minor restricted activity days", US_national_yearly!$D:$AM, 10, FALSE), 1)</f>
        <v>8.4876939824999276E-2</v>
      </c>
      <c r="H14" s="7">
        <f>$B14 * IFERROR(VLOOKUP("buildings|NOx|Minor restricted activity days", US_national_yearly!$D:$AM, 16, FALSE) / VLOOKUP("buildings|NOx|Minor restricted activity days", US_national_yearly!$D:$AM, 10, FALSE), 1)</f>
        <v>8.5111445825795565E-2</v>
      </c>
      <c r="I14" s="7">
        <f>$B14 * IFERROR(VLOOKUP("buildings|NOx|Minor restricted activity days", US_national_yearly!$D:$AM, 17, FALSE) / VLOOKUP("buildings|NOx|Minor restricted activity days", US_national_yearly!$D:$AM, 10, FALSE), 1)</f>
        <v>8.5568665622448595E-2</v>
      </c>
      <c r="J14" s="7">
        <f>$B14 * IFERROR(VLOOKUP("buildings|NOx|Minor restricted activity days", US_national_yearly!$D:$AM, 18, FALSE) / VLOOKUP("buildings|NOx|Minor restricted activity days", US_national_yearly!$D:$AM, 10, FALSE), 1)</f>
        <v>8.6025885419101625E-2</v>
      </c>
      <c r="K14" s="7">
        <f>$B14 * IFERROR(VLOOKUP("buildings|NOx|Minor restricted activity days", US_national_yearly!$D:$AM, 19, FALSE) / VLOOKUP("buildings|NOx|Minor restricted activity days", US_national_yearly!$D:$AM, 10, FALSE), 1)</f>
        <v>8.6483105215754655E-2</v>
      </c>
      <c r="L14" s="7">
        <f>$B14 * IFERROR(VLOOKUP("buildings|NOx|Minor restricted activity days", US_national_yearly!$D:$AM, 20, FALSE) / VLOOKUP("buildings|NOx|Minor restricted activity days", US_national_yearly!$D:$AM, 10, FALSE), 1)</f>
        <v>8.6940325012407685E-2</v>
      </c>
      <c r="M14" s="7">
        <f>$B14 * IFERROR(VLOOKUP("buildings|NOx|Minor restricted activity days", US_national_yearly!$D:$AM, 21, FALSE) / VLOOKUP("buildings|NOx|Minor restricted activity days", US_national_yearly!$D:$AM, 10, FALSE), 1)</f>
        <v>8.7397544809060715E-2</v>
      </c>
      <c r="N14" s="7">
        <f>$B14 * IFERROR(VLOOKUP("buildings|NOx|Minor restricted activity days", US_national_yearly!$D:$AM, 22, FALSE) / VLOOKUP("buildings|NOx|Minor restricted activity days", US_national_yearly!$D:$AM, 10, FALSE), 1)</f>
        <v>8.8051647238243283E-2</v>
      </c>
      <c r="O14" s="7">
        <f>$B14 * IFERROR(VLOOKUP("buildings|NOx|Minor restricted activity days", US_national_yearly!$D:$AM, 23, FALSE) / VLOOKUP("buildings|NOx|Minor restricted activity days", US_national_yearly!$D:$AM, 10, FALSE), 1)</f>
        <v>8.8705749667425823E-2</v>
      </c>
      <c r="P14" s="7">
        <f>$B14 * IFERROR(VLOOKUP("buildings|NOx|Minor restricted activity days", US_national_yearly!$D:$AM, 24, FALSE) / VLOOKUP("buildings|NOx|Minor restricted activity days", US_national_yearly!$D:$AM, 10, FALSE), 1)</f>
        <v>8.9359852096608391E-2</v>
      </c>
      <c r="Q14" s="7">
        <f>$B14 * IFERROR(VLOOKUP("buildings|NOx|Minor restricted activity days", US_national_yearly!$D:$AM, 25, FALSE) / VLOOKUP("buildings|NOx|Minor restricted activity days", US_national_yearly!$D:$AM, 10, FALSE), 1)</f>
        <v>9.0013954525790932E-2</v>
      </c>
      <c r="R14" s="7">
        <f>$B14 * IFERROR(VLOOKUP("buildings|NOx|Minor restricted activity days", US_national_yearly!$D:$AM, 26, FALSE) / VLOOKUP("buildings|NOx|Minor restricted activity days", US_national_yearly!$D:$AM, 10, FALSE), 1)</f>
        <v>9.0668056954973472E-2</v>
      </c>
      <c r="S14" s="7">
        <f>$B14 * IFERROR(VLOOKUP("buildings|NOx|Minor restricted activity days", US_national_yearly!$D:$AM, 27, FALSE) / VLOOKUP("buildings|NOx|Minor restricted activity days", US_national_yearly!$D:$AM, 10, FALSE), 1)</f>
        <v>9.1321971085826417E-2</v>
      </c>
      <c r="T14" s="7">
        <f>$B14 * IFERROR(VLOOKUP("buildings|NOx|Minor restricted activity days", US_national_yearly!$D:$AM, 28, FALSE) / VLOOKUP("buildings|NOx|Minor restricted activity days", US_national_yearly!$D:$AM, 10, FALSE), 1)</f>
        <v>9.1975885216679348E-2</v>
      </c>
      <c r="U14" s="7">
        <f>$B14 * IFERROR(VLOOKUP("buildings|NOx|Minor restricted activity days", US_national_yearly!$D:$AM, 29, FALSE) / VLOOKUP("buildings|NOx|Minor restricted activity days", US_national_yearly!$D:$AM, 10, FALSE), 1)</f>
        <v>9.2629799347532307E-2</v>
      </c>
      <c r="V14" s="7">
        <f>$B14 * IFERROR(VLOOKUP("buildings|NOx|Minor restricted activity days", US_national_yearly!$D:$AM, 30, FALSE) / VLOOKUP("buildings|NOx|Minor restricted activity days", US_national_yearly!$D:$AM, 10, FALSE), 1)</f>
        <v>9.3283713478385252E-2</v>
      </c>
      <c r="W14" s="7">
        <f>$B14 * IFERROR(VLOOKUP("buildings|NOx|Minor restricted activity days", US_national_yearly!$D:$AM, 31, FALSE) / VLOOKUP("buildings|NOx|Minor restricted activity days", US_national_yearly!$D:$AM, 10, FALSE), 1)</f>
        <v>9.3937627609238197E-2</v>
      </c>
      <c r="X14" s="7">
        <f>$B14 * IFERROR(VLOOKUP("buildings|NOx|Minor restricted activity days", US_national_yearly!$D:$AM, 32, FALSE) / VLOOKUP("buildings|NOx|Minor restricted activity days", US_national_yearly!$D:$AM, 10, FALSE), 1)</f>
        <v>9.4490669650455633E-2</v>
      </c>
      <c r="Y14" s="7">
        <f>$B14 * IFERROR(VLOOKUP("buildings|NOx|Minor restricted activity days", US_national_yearly!$D:$AM, 33, FALSE) / VLOOKUP("buildings|NOx|Minor restricted activity days", US_national_yearly!$D:$AM, 10, FALSE), 1)</f>
        <v>9.5043711691673111E-2</v>
      </c>
      <c r="Z14" s="7">
        <f>$B14 * IFERROR(VLOOKUP("buildings|NOx|Minor restricted activity days", US_national_yearly!$D:$AM, 34, FALSE) / VLOOKUP("buildings|NOx|Minor restricted activity days", US_national_yearly!$D:$AM, 10, FALSE), 1)</f>
        <v>9.5596753732890533E-2</v>
      </c>
      <c r="AA14" s="7">
        <f>$B14 * IFERROR(VLOOKUP("buildings|NOx|Minor restricted activity days", US_national_yearly!$D:$AM, 35, FALSE) / VLOOKUP("buildings|NOx|Minor restricted activity days", US_national_yearly!$D:$AM, 10, FALSE), 1)</f>
        <v>9.6149795774107996E-2</v>
      </c>
      <c r="AB14" s="7">
        <f>$B14 * IFERROR(VLOOKUP("buildings|NOx|Minor restricted activity days", US_national_yearly!$D:$AM, 36, FALSE) / VLOOKUP("buildings|NOx|Minor restricted activity days", US_national_yearly!$D:$AM, 10, FALSE), 1)</f>
        <v>9.6702837815325446E-2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1.4049603048387963E-2</v>
      </c>
      <c r="C15" s="7">
        <f>$B15 * IFERROR(VLOOKUP("buildings|NOx|Work loss days", US_national_yearly!$D:$AM, 11, FALSE) / VLOOKUP("buildings|NOx|Work loss days", US_national_yearly!$D:$AM, 10, FALSE), 1)</f>
        <v>1.4081098536140707E-2</v>
      </c>
      <c r="D15" s="7">
        <f>$B15 * IFERROR(VLOOKUP("buildings|NOx|Work loss days", US_national_yearly!$D:$AM, 12, FALSE) / VLOOKUP("buildings|NOx|Work loss days", US_national_yearly!$D:$AM, 10, FALSE), 1)</f>
        <v>1.4112594023893447E-2</v>
      </c>
      <c r="E15" s="7">
        <f>$B15 * IFERROR(VLOOKUP("buildings|NOx|Work loss days", US_national_yearly!$D:$AM, 13, FALSE) / VLOOKUP("buildings|NOx|Work loss days", US_national_yearly!$D:$AM, 10, FALSE), 1)</f>
        <v>1.4144089511646188E-2</v>
      </c>
      <c r="F15" s="7">
        <f>$B15 * IFERROR(VLOOKUP("buildings|NOx|Work loss days", US_national_yearly!$D:$AM, 14, FALSE) / VLOOKUP("buildings|NOx|Work loss days", US_national_yearly!$D:$AM, 10, FALSE), 1)</f>
        <v>1.417558499939893E-2</v>
      </c>
      <c r="G15" s="7">
        <f>$B15 * IFERROR(VLOOKUP("buildings|NOx|Work loss days", US_national_yearly!$D:$AM, 15, FALSE) / VLOOKUP("buildings|NOx|Work loss days", US_national_yearly!$D:$AM, 10, FALSE), 1)</f>
        <v>1.4221461708430179E-2</v>
      </c>
      <c r="H15" s="7">
        <f>$B15 * IFERROR(VLOOKUP("buildings|NOx|Work loss days", US_national_yearly!$D:$AM, 16, FALSE) / VLOOKUP("buildings|NOx|Work loss days", US_national_yearly!$D:$AM, 10, FALSE), 1)</f>
        <v>1.4267338417461426E-2</v>
      </c>
      <c r="I15" s="7">
        <f>$B15 * IFERROR(VLOOKUP("buildings|NOx|Work loss days", US_national_yearly!$D:$AM, 17, FALSE) / VLOOKUP("buildings|NOx|Work loss days", US_national_yearly!$D:$AM, 10, FALSE), 1)</f>
        <v>1.4341534884030501E-2</v>
      </c>
      <c r="J15" s="7">
        <f>$B15 * IFERROR(VLOOKUP("buildings|NOx|Work loss days", US_national_yearly!$D:$AM, 18, FALSE) / VLOOKUP("buildings|NOx|Work loss days", US_national_yearly!$D:$AM, 10, FALSE), 1)</f>
        <v>1.4415731350599575E-2</v>
      </c>
      <c r="K15" s="7">
        <f>$B15 * IFERROR(VLOOKUP("buildings|NOx|Work loss days", US_national_yearly!$D:$AM, 19, FALSE) / VLOOKUP("buildings|NOx|Work loss days", US_national_yearly!$D:$AM, 10, FALSE), 1)</f>
        <v>1.448992781716865E-2</v>
      </c>
      <c r="L15" s="7">
        <f>$B15 * IFERROR(VLOOKUP("buildings|NOx|Work loss days", US_national_yearly!$D:$AM, 20, FALSE) / VLOOKUP("buildings|NOx|Work loss days", US_national_yearly!$D:$AM, 10, FALSE), 1)</f>
        <v>1.4564124283737727E-2</v>
      </c>
      <c r="M15" s="7">
        <f>$B15 * IFERROR(VLOOKUP("buildings|NOx|Work loss days", US_national_yearly!$D:$AM, 21, FALSE) / VLOOKUP("buildings|NOx|Work loss days", US_national_yearly!$D:$AM, 10, FALSE), 1)</f>
        <v>1.4638320750306801E-2</v>
      </c>
      <c r="N15" s="7">
        <f>$B15 * IFERROR(VLOOKUP("buildings|NOx|Work loss days", US_national_yearly!$D:$AM, 22, FALSE) / VLOOKUP("buildings|NOx|Work loss days", US_national_yearly!$D:$AM, 10, FALSE), 1)</f>
        <v>1.473485047569904E-2</v>
      </c>
      <c r="O15" s="7">
        <f>$B15 * IFERROR(VLOOKUP("buildings|NOx|Work loss days", US_national_yearly!$D:$AM, 23, FALSE) / VLOOKUP("buildings|NOx|Work loss days", US_national_yearly!$D:$AM, 10, FALSE), 1)</f>
        <v>1.4831380201091279E-2</v>
      </c>
      <c r="P15" s="7">
        <f>$B15 * IFERROR(VLOOKUP("buildings|NOx|Work loss days", US_national_yearly!$D:$AM, 24, FALSE) / VLOOKUP("buildings|NOx|Work loss days", US_national_yearly!$D:$AM, 10, FALSE), 1)</f>
        <v>1.492790992648352E-2</v>
      </c>
      <c r="Q15" s="7">
        <f>$B15 * IFERROR(VLOOKUP("buildings|NOx|Work loss days", US_national_yearly!$D:$AM, 25, FALSE) / VLOOKUP("buildings|NOx|Work loss days", US_national_yearly!$D:$AM, 10, FALSE), 1)</f>
        <v>1.5024439651875762E-2</v>
      </c>
      <c r="R15" s="7">
        <f>$B15 * IFERROR(VLOOKUP("buildings|NOx|Work loss days", US_national_yearly!$D:$AM, 26, FALSE) / VLOOKUP("buildings|NOx|Work loss days", US_national_yearly!$D:$AM, 10, FALSE), 1)</f>
        <v>1.5120969377268001E-2</v>
      </c>
      <c r="S15" s="7">
        <f>$B15 * IFERROR(VLOOKUP("buildings|NOx|Work loss days", US_national_yearly!$D:$AM, 27, FALSE) / VLOOKUP("buildings|NOx|Work loss days", US_national_yearly!$D:$AM, 10, FALSE), 1)</f>
        <v>1.5228534839511214E-2</v>
      </c>
      <c r="T15" s="7">
        <f>$B15 * IFERROR(VLOOKUP("buildings|NOx|Work loss days", US_national_yearly!$D:$AM, 28, FALSE) / VLOOKUP("buildings|NOx|Work loss days", US_national_yearly!$D:$AM, 10, FALSE), 1)</f>
        <v>1.5336100301754429E-2</v>
      </c>
      <c r="U15" s="7">
        <f>$B15 * IFERROR(VLOOKUP("buildings|NOx|Work loss days", US_national_yearly!$D:$AM, 29, FALSE) / VLOOKUP("buildings|NOx|Work loss days", US_national_yearly!$D:$AM, 10, FALSE), 1)</f>
        <v>1.544366576399764E-2</v>
      </c>
      <c r="V15" s="7">
        <f>$B15 * IFERROR(VLOOKUP("buildings|NOx|Work loss days", US_national_yearly!$D:$AM, 30, FALSE) / VLOOKUP("buildings|NOx|Work loss days", US_national_yearly!$D:$AM, 10, FALSE), 1)</f>
        <v>1.5551231226240851E-2</v>
      </c>
      <c r="W15" s="7">
        <f>$B15 * IFERROR(VLOOKUP("buildings|NOx|Work loss days", US_national_yearly!$D:$AM, 31, FALSE) / VLOOKUP("buildings|NOx|Work loss days", US_national_yearly!$D:$AM, 10, FALSE), 1)</f>
        <v>1.5658796688484064E-2</v>
      </c>
      <c r="X15" s="7">
        <f>$B15 * IFERROR(VLOOKUP("buildings|NOx|Work loss days", US_national_yearly!$D:$AM, 32, FALSE) / VLOOKUP("buildings|NOx|Work loss days", US_national_yearly!$D:$AM, 10, FALSE), 1)</f>
        <v>1.5752185984140667E-2</v>
      </c>
      <c r="Y15" s="7">
        <f>$B15 * IFERROR(VLOOKUP("buildings|NOx|Work loss days", US_national_yearly!$D:$AM, 33, FALSE) / VLOOKUP("buildings|NOx|Work loss days", US_national_yearly!$D:$AM, 10, FALSE), 1)</f>
        <v>1.5845575279797269E-2</v>
      </c>
      <c r="Z15" s="7">
        <f>$B15 * IFERROR(VLOOKUP("buildings|NOx|Work loss days", US_national_yearly!$D:$AM, 34, FALSE) / VLOOKUP("buildings|NOx|Work loss days", US_national_yearly!$D:$AM, 10, FALSE), 1)</f>
        <v>1.5938964575453872E-2</v>
      </c>
      <c r="AA15" s="7">
        <f>$B15 * IFERROR(VLOOKUP("buildings|NOx|Work loss days", US_national_yearly!$D:$AM, 35, FALSE) / VLOOKUP("buildings|NOx|Work loss days", US_national_yearly!$D:$AM, 10, FALSE), 1)</f>
        <v>1.6032353871110475E-2</v>
      </c>
      <c r="AB15" s="7">
        <f>$B15 * IFERROR(VLOOKUP("buildings|NOx|Work loss days", US_national_yearly!$D:$AM, 36, FALSE) / VLOOKUP("buildings|NOx|Work loss days", US_national_yearly!$D:$AM, 10, FALSE), 1)</f>
        <v>1.6125743166767077E-2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3.8218472892018396E-5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3.9342099391106894E-5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4.0465725890195405E-5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4.1589352389283902E-5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4.2712978888372406E-5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4.3780403626437724E-5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4.4847828364503042E-5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4.5745960894549384E-5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4.6644093424595719E-5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4.7542225954642055E-5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4.844035848468839E-5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4.9338491014734718E-5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4.9900303591812537E-5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5.0462116168890336E-5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5.1023928745968142E-5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5.1585741323045947E-5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5.2147553900123746E-5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5.2404262051819312E-5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5.2660970203514872E-5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5.2917678355210432E-5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5.3174386506905992E-5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5.3431094658601558E-5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5.3574181190417703E-5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5.3717267722233862E-5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5.3860354254050007E-5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5.4003440785866165E-5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5.414652731768231E-5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1.1711133738305638E-3</v>
      </c>
      <c r="C2" s="7">
        <f>$B2 * IFERROR(VLOOKUP("buildings|SO2|Premature mortality", US_national_yearly!$D:$AM, 11, FALSE) / VLOOKUP("buildings|SO2|Premature mortality", US_national_yearly!$D:$AM, 10, FALSE), 1)</f>
        <v>1.1859495203552103E-3</v>
      </c>
      <c r="D2" s="7">
        <f>$B2 * IFERROR(VLOOKUP("buildings|SO2|Premature mortality", US_national_yearly!$D:$AM, 12, FALSE) / VLOOKUP("buildings|SO2|Premature mortality", US_national_yearly!$D:$AM, 10, FALSE), 1)</f>
        <v>1.2007856668798567E-3</v>
      </c>
      <c r="E2" s="7">
        <f>$B2 * IFERROR(VLOOKUP("buildings|SO2|Premature mortality", US_national_yearly!$D:$AM, 13, FALSE) / VLOOKUP("buildings|SO2|Premature mortality", US_national_yearly!$D:$AM, 10, FALSE), 1)</f>
        <v>1.2156218134045031E-3</v>
      </c>
      <c r="F2" s="7">
        <f>$B2 * IFERROR(VLOOKUP("buildings|SO2|Premature mortality", US_national_yearly!$D:$AM, 14, FALSE) / VLOOKUP("buildings|SO2|Premature mortality", US_national_yearly!$D:$AM, 10, FALSE), 1)</f>
        <v>1.2304579599291495E-3</v>
      </c>
      <c r="G2" s="7">
        <f>$B2 * IFERROR(VLOOKUP("buildings|SO2|Premature mortality", US_national_yearly!$D:$AM, 15, FALSE) / VLOOKUP("buildings|SO2|Premature mortality", US_national_yearly!$D:$AM, 10, FALSE), 1)</f>
        <v>1.2590442039219108E-3</v>
      </c>
      <c r="H2" s="7">
        <f>$B2 * IFERROR(VLOOKUP("buildings|SO2|Premature mortality", US_national_yearly!$D:$AM, 16, FALSE) / VLOOKUP("buildings|SO2|Premature mortality", US_national_yearly!$D:$AM, 10, FALSE), 1)</f>
        <v>1.287630447914672E-3</v>
      </c>
      <c r="I2" s="7">
        <f>$B2 * IFERROR(VLOOKUP("buildings|SO2|Premature mortality", US_national_yearly!$D:$AM, 17, FALSE) / VLOOKUP("buildings|SO2|Premature mortality", US_national_yearly!$D:$AM, 10, FALSE), 1)</f>
        <v>1.3065315082480752E-3</v>
      </c>
      <c r="J2" s="7">
        <f>$B2 * IFERROR(VLOOKUP("buildings|SO2|Premature mortality", US_national_yearly!$D:$AM, 18, FALSE) / VLOOKUP("buildings|SO2|Premature mortality", US_national_yearly!$D:$AM, 10, FALSE), 1)</f>
        <v>1.325432568581478E-3</v>
      </c>
      <c r="K2" s="7">
        <f>$B2 * IFERROR(VLOOKUP("buildings|SO2|Premature mortality", US_national_yearly!$D:$AM, 19, FALSE) / VLOOKUP("buildings|SO2|Premature mortality", US_national_yearly!$D:$AM, 10, FALSE), 1)</f>
        <v>1.3443336289148812E-3</v>
      </c>
      <c r="L2" s="7">
        <f>$B2 * IFERROR(VLOOKUP("buildings|SO2|Premature mortality", US_national_yearly!$D:$AM, 20, FALSE) / VLOOKUP("buildings|SO2|Premature mortality", US_national_yearly!$D:$AM, 10, FALSE), 1)</f>
        <v>1.3632346892482842E-3</v>
      </c>
      <c r="M2" s="7">
        <f>$B2 * IFERROR(VLOOKUP("buildings|SO2|Premature mortality", US_national_yearly!$D:$AM, 21, FALSE) / VLOOKUP("buildings|SO2|Premature mortality", US_national_yearly!$D:$AM, 10, FALSE), 1)</f>
        <v>1.3821357495816871E-3</v>
      </c>
      <c r="N2" s="7">
        <f>$B2 * IFERROR(VLOOKUP("buildings|SO2|Premature mortality", US_national_yearly!$D:$AM, 22, FALSE) / VLOOKUP("buildings|SO2|Premature mortality", US_national_yearly!$D:$AM, 10, FALSE), 1)</f>
        <v>1.3969005940007288E-3</v>
      </c>
      <c r="O2" s="7">
        <f>$B2 * IFERROR(VLOOKUP("buildings|SO2|Premature mortality", US_national_yearly!$D:$AM, 23, FALSE) / VLOOKUP("buildings|SO2|Premature mortality", US_national_yearly!$D:$AM, 10, FALSE), 1)</f>
        <v>1.4116654384197696E-3</v>
      </c>
      <c r="P2" s="7">
        <f>$B2 * IFERROR(VLOOKUP("buildings|SO2|Premature mortality", US_national_yearly!$D:$AM, 24, FALSE) / VLOOKUP("buildings|SO2|Premature mortality", US_national_yearly!$D:$AM, 10, FALSE), 1)</f>
        <v>1.4264302828388108E-3</v>
      </c>
      <c r="Q2" s="7">
        <f>$B2 * IFERROR(VLOOKUP("buildings|SO2|Premature mortality", US_national_yearly!$D:$AM, 25, FALSE) / VLOOKUP("buildings|SO2|Premature mortality", US_national_yearly!$D:$AM, 10, FALSE), 1)</f>
        <v>1.441195127257852E-3</v>
      </c>
      <c r="R2" s="7">
        <f>$B2 * IFERROR(VLOOKUP("buildings|SO2|Premature mortality", US_national_yearly!$D:$AM, 26, FALSE) / VLOOKUP("buildings|SO2|Premature mortality", US_national_yearly!$D:$AM, 10, FALSE), 1)</f>
        <v>1.4559599716768932E-3</v>
      </c>
      <c r="S2" s="7">
        <f>$B2 * IFERROR(VLOOKUP("buildings|SO2|Premature mortality", US_national_yearly!$D:$AM, 27, FALSE) / VLOOKUP("buildings|SO2|Premature mortality", US_national_yearly!$D:$AM, 10, FALSE), 1)</f>
        <v>1.4638622849468404E-3</v>
      </c>
      <c r="T2" s="7">
        <f>$B2 * IFERROR(VLOOKUP("buildings|SO2|Premature mortality", US_national_yearly!$D:$AM, 28, FALSE) / VLOOKUP("buildings|SO2|Premature mortality", US_national_yearly!$D:$AM, 10, FALSE), 1)</f>
        <v>1.4717645982167879E-3</v>
      </c>
      <c r="U2" s="7">
        <f>$B2 * IFERROR(VLOOKUP("buildings|SO2|Premature mortality", US_national_yearly!$D:$AM, 29, FALSE) / VLOOKUP("buildings|SO2|Premature mortality", US_national_yearly!$D:$AM, 10, FALSE), 1)</f>
        <v>1.4796669114867354E-3</v>
      </c>
      <c r="V2" s="7">
        <f>$B2 * IFERROR(VLOOKUP("buildings|SO2|Premature mortality", US_national_yearly!$D:$AM, 30, FALSE) / VLOOKUP("buildings|SO2|Premature mortality", US_national_yearly!$D:$AM, 10, FALSE), 1)</f>
        <v>1.4875692247566829E-3</v>
      </c>
      <c r="W2" s="7">
        <f>$B2 * IFERROR(VLOOKUP("buildings|SO2|Premature mortality", US_national_yearly!$D:$AM, 31, FALSE) / VLOOKUP("buildings|SO2|Premature mortality", US_national_yearly!$D:$AM, 10, FALSE), 1)</f>
        <v>1.4954715380266301E-3</v>
      </c>
      <c r="X2" s="7">
        <f>$B2 * IFERROR(VLOOKUP("buildings|SO2|Premature mortality", US_national_yearly!$D:$AM, 32, FALSE) / VLOOKUP("buildings|SO2|Premature mortality", US_national_yearly!$D:$AM, 10, FALSE), 1)</f>
        <v>1.4970683186103053E-3</v>
      </c>
      <c r="Y2" s="7">
        <f>$B2 * IFERROR(VLOOKUP("buildings|SO2|Premature mortality", US_national_yearly!$D:$AM, 33, FALSE) / VLOOKUP("buildings|SO2|Premature mortality", US_national_yearly!$D:$AM, 10, FALSE), 1)</f>
        <v>1.4986650991939804E-3</v>
      </c>
      <c r="Z2" s="7">
        <f>$B2 * IFERROR(VLOOKUP("buildings|SO2|Premature mortality", US_national_yearly!$D:$AM, 34, FALSE) / VLOOKUP("buildings|SO2|Premature mortality", US_national_yearly!$D:$AM, 10, FALSE), 1)</f>
        <v>1.5002618797776554E-3</v>
      </c>
      <c r="AA2" s="7">
        <f>$B2 * IFERROR(VLOOKUP("buildings|SO2|Premature mortality", US_national_yearly!$D:$AM, 35, FALSE) / VLOOKUP("buildings|SO2|Premature mortality", US_national_yearly!$D:$AM, 10, FALSE), 1)</f>
        <v>1.5018586603613303E-3</v>
      </c>
      <c r="AB2" s="7">
        <f>$B2 * IFERROR(VLOOKUP("buildings|SO2|Premature mortality", US_national_yearly!$D:$AM, 36, FALSE) / VLOOKUP("buildings|SO2|Premature mortality", US_national_yearly!$D:$AM, 10, FALSE), 1)</f>
        <v>1.5034554409450054E-3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2.0385635182833853E-6</v>
      </c>
      <c r="C3" s="7">
        <f>$B3 * IFERROR(VLOOKUP("buildings|SO2|Infant mortality", US_national_yearly!$D:$AM, 11, FALSE) / VLOOKUP("buildings|SO2|Infant mortality", US_national_yearly!$D:$AM, 10, FALSE), 1)</f>
        <v>2.0210901602577207E-6</v>
      </c>
      <c r="D3" s="7">
        <f>$B3 * IFERROR(VLOOKUP("buildings|SO2|Infant mortality", US_national_yearly!$D:$AM, 12, FALSE) / VLOOKUP("buildings|SO2|Infant mortality", US_national_yearly!$D:$AM, 10, FALSE), 1)</f>
        <v>2.003616802232056E-6</v>
      </c>
      <c r="E3" s="7">
        <f>$B3 * IFERROR(VLOOKUP("buildings|SO2|Infant mortality", US_national_yearly!$D:$AM, 13, FALSE) / VLOOKUP("buildings|SO2|Infant mortality", US_national_yearly!$D:$AM, 10, FALSE), 1)</f>
        <v>1.9861434442063918E-6</v>
      </c>
      <c r="F3" s="7">
        <f>$B3 * IFERROR(VLOOKUP("buildings|SO2|Infant mortality", US_national_yearly!$D:$AM, 14, FALSE) / VLOOKUP("buildings|SO2|Infant mortality", US_national_yearly!$D:$AM, 10, FALSE), 1)</f>
        <v>1.9686700861807276E-6</v>
      </c>
      <c r="G3" s="7">
        <f>$B3 * IFERROR(VLOOKUP("buildings|SO2|Infant mortality", US_national_yearly!$D:$AM, 15, FALSE) / VLOOKUP("buildings|SO2|Infant mortality", US_national_yearly!$D:$AM, 10, FALSE), 1)</f>
        <v>1.3110562850987483E-6</v>
      </c>
      <c r="H3" s="7">
        <f>$B3 * IFERROR(VLOOKUP("buildings|SO2|Infant mortality", US_national_yearly!$D:$AM, 16, FALSE) / VLOOKUP("buildings|SO2|Infant mortality", US_national_yearly!$D:$AM, 10, FALSE), 1)</f>
        <v>6.5344248401676926E-7</v>
      </c>
      <c r="I3" s="7">
        <f>$B3 * IFERROR(VLOOKUP("buildings|SO2|Infant mortality", US_national_yearly!$D:$AM, 17, FALSE) / VLOOKUP("buildings|SO2|Infant mortality", US_national_yearly!$D:$AM, 10, FALSE), 1)</f>
        <v>6.4934271371241761E-7</v>
      </c>
      <c r="J3" s="7">
        <f>$B3 * IFERROR(VLOOKUP("buildings|SO2|Infant mortality", US_national_yearly!$D:$AM, 18, FALSE) / VLOOKUP("buildings|SO2|Infant mortality", US_national_yearly!$D:$AM, 10, FALSE), 1)</f>
        <v>6.4524294340806586E-7</v>
      </c>
      <c r="K3" s="7">
        <f>$B3 * IFERROR(VLOOKUP("buildings|SO2|Infant mortality", US_national_yearly!$D:$AM, 19, FALSE) / VLOOKUP("buildings|SO2|Infant mortality", US_national_yearly!$D:$AM, 10, FALSE), 1)</f>
        <v>6.4114317310371421E-7</v>
      </c>
      <c r="L3" s="7">
        <f>$B3 * IFERROR(VLOOKUP("buildings|SO2|Infant mortality", US_national_yearly!$D:$AM, 20, FALSE) / VLOOKUP("buildings|SO2|Infant mortality", US_national_yearly!$D:$AM, 10, FALSE), 1)</f>
        <v>6.3704340279936246E-7</v>
      </c>
      <c r="M3" s="7">
        <f>$B3 * IFERROR(VLOOKUP("buildings|SO2|Infant mortality", US_national_yearly!$D:$AM, 21, FALSE) / VLOOKUP("buildings|SO2|Infant mortality", US_national_yearly!$D:$AM, 10, FALSE), 1)</f>
        <v>6.3294363249501081E-7</v>
      </c>
      <c r="N3" s="7">
        <f>$B3 * IFERROR(VLOOKUP("buildings|SO2|Infant mortality", US_national_yearly!$D:$AM, 22, FALSE) / VLOOKUP("buildings|SO2|Infant mortality", US_national_yearly!$D:$AM, 10, FALSE), 1)</f>
        <v>6.3037351204107886E-7</v>
      </c>
      <c r="O3" s="7">
        <f>$B3 * IFERROR(VLOOKUP("buildings|SO2|Infant mortality", US_national_yearly!$D:$AM, 23, FALSE) / VLOOKUP("buildings|SO2|Infant mortality", US_national_yearly!$D:$AM, 10, FALSE), 1)</f>
        <v>6.2780339158714679E-7</v>
      </c>
      <c r="P3" s="7">
        <f>$B3 * IFERROR(VLOOKUP("buildings|SO2|Infant mortality", US_national_yearly!$D:$AM, 24, FALSE) / VLOOKUP("buildings|SO2|Infant mortality", US_national_yearly!$D:$AM, 10, FALSE), 1)</f>
        <v>6.2523327113321483E-7</v>
      </c>
      <c r="Q3" s="7">
        <f>$B3 * IFERROR(VLOOKUP("buildings|SO2|Infant mortality", US_national_yearly!$D:$AM, 25, FALSE) / VLOOKUP("buildings|SO2|Infant mortality", US_national_yearly!$D:$AM, 10, FALSE), 1)</f>
        <v>6.2266315067928287E-7</v>
      </c>
      <c r="R3" s="7">
        <f>$B3 * IFERROR(VLOOKUP("buildings|SO2|Infant mortality", US_national_yearly!$D:$AM, 26, FALSE) / VLOOKUP("buildings|SO2|Infant mortality", US_national_yearly!$D:$AM, 10, FALSE), 1)</f>
        <v>6.2009303022535081E-7</v>
      </c>
      <c r="S3" s="7">
        <f>$B3 * IFERROR(VLOOKUP("buildings|SO2|Infant mortality", US_national_yearly!$D:$AM, 27, FALSE) / VLOOKUP("buildings|SO2|Infant mortality", US_national_yearly!$D:$AM, 10, FALSE), 1)</f>
        <v>6.1686577374306422E-7</v>
      </c>
      <c r="T3" s="7">
        <f>$B3 * IFERROR(VLOOKUP("buildings|SO2|Infant mortality", US_national_yearly!$D:$AM, 28, FALSE) / VLOOKUP("buildings|SO2|Infant mortality", US_national_yearly!$D:$AM, 10, FALSE), 1)</f>
        <v>6.1363851726077762E-7</v>
      </c>
      <c r="U3" s="7">
        <f>$B3 * IFERROR(VLOOKUP("buildings|SO2|Infant mortality", US_national_yearly!$D:$AM, 29, FALSE) / VLOOKUP("buildings|SO2|Infant mortality", US_national_yearly!$D:$AM, 10, FALSE), 1)</f>
        <v>6.1041126077849092E-7</v>
      </c>
      <c r="V3" s="7">
        <f>$B3 * IFERROR(VLOOKUP("buildings|SO2|Infant mortality", US_national_yearly!$D:$AM, 30, FALSE) / VLOOKUP("buildings|SO2|Infant mortality", US_national_yearly!$D:$AM, 10, FALSE), 1)</f>
        <v>6.0718400429620433E-7</v>
      </c>
      <c r="W3" s="7">
        <f>$B3 * IFERROR(VLOOKUP("buildings|SO2|Infant mortality", US_national_yearly!$D:$AM, 31, FALSE) / VLOOKUP("buildings|SO2|Infant mortality", US_national_yearly!$D:$AM, 10, FALSE), 1)</f>
        <v>6.0395674781391774E-7</v>
      </c>
      <c r="X3" s="7">
        <f>$B3 * IFERROR(VLOOKUP("buildings|SO2|Infant mortality", US_national_yearly!$D:$AM, 32, FALSE) / VLOOKUP("buildings|SO2|Infant mortality", US_national_yearly!$D:$AM, 10, FALSE), 1)</f>
        <v>6.0043207237137681E-7</v>
      </c>
      <c r="Y3" s="7">
        <f>$B3 * IFERROR(VLOOKUP("buildings|SO2|Infant mortality", US_national_yearly!$D:$AM, 33, FALSE) / VLOOKUP("buildings|SO2|Infant mortality", US_national_yearly!$D:$AM, 10, FALSE), 1)</f>
        <v>5.9690739692883599E-7</v>
      </c>
      <c r="Z3" s="7">
        <f>$B3 * IFERROR(VLOOKUP("buildings|SO2|Infant mortality", US_national_yearly!$D:$AM, 34, FALSE) / VLOOKUP("buildings|SO2|Infant mortality", US_national_yearly!$D:$AM, 10, FALSE), 1)</f>
        <v>5.9338272148629517E-7</v>
      </c>
      <c r="AA3" s="7">
        <f>$B3 * IFERROR(VLOOKUP("buildings|SO2|Infant mortality", US_national_yearly!$D:$AM, 35, FALSE) / VLOOKUP("buildings|SO2|Infant mortality", US_national_yearly!$D:$AM, 10, FALSE), 1)</f>
        <v>5.8985804604375414E-7</v>
      </c>
      <c r="AB3" s="7">
        <f>$B3 * IFERROR(VLOOKUP("buildings|SO2|Infant mortality", US_national_yearly!$D:$AM, 36, FALSE) / VLOOKUP("buildings|SO2|Infant mortality", US_national_yearly!$D:$AM, 10, FALSE), 1)</f>
        <v>5.8633337060121343E-7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2.04238053704223E-3</v>
      </c>
      <c r="C6" s="7">
        <f>$B6 * IFERROR(VLOOKUP("buildings|SO2|Asthma symptoms cough", US_national_yearly!$D:$AM, 11, FALSE) / VLOOKUP("buildings|SO2|Asthma symptoms cough", US_national_yearly!$D:$AM, 10, FALSE), 1)</f>
        <v>2.04238053704223E-3</v>
      </c>
      <c r="D6" s="7">
        <f>$B6 * IFERROR(VLOOKUP("buildings|SO2|Asthma symptoms cough", US_national_yearly!$D:$AM, 12, FALSE) / VLOOKUP("buildings|SO2|Asthma symptoms cough", US_national_yearly!$D:$AM, 10, FALSE), 1)</f>
        <v>2.04238053704223E-3</v>
      </c>
      <c r="E6" s="7">
        <f>$B6 * IFERROR(VLOOKUP("buildings|SO2|Asthma symptoms cough", US_national_yearly!$D:$AM, 13, FALSE) / VLOOKUP("buildings|SO2|Asthma symptoms cough", US_national_yearly!$D:$AM, 10, FALSE), 1)</f>
        <v>2.04238053704223E-3</v>
      </c>
      <c r="F6" s="7">
        <f>$B6 * IFERROR(VLOOKUP("buildings|SO2|Asthma symptoms cough", US_national_yearly!$D:$AM, 14, FALSE) / VLOOKUP("buildings|SO2|Asthma symptoms cough", US_national_yearly!$D:$AM, 10, FALSE), 1)</f>
        <v>2.04238053704223E-3</v>
      </c>
      <c r="G6" s="7">
        <f>$B6 * IFERROR(VLOOKUP("buildings|SO2|Asthma symptoms cough", US_national_yearly!$D:$AM, 15, FALSE) / VLOOKUP("buildings|SO2|Asthma symptoms cough", US_national_yearly!$D:$AM, 10, FALSE), 1)</f>
        <v>2.04238053704223E-3</v>
      </c>
      <c r="H6" s="7">
        <f>$B6 * IFERROR(VLOOKUP("buildings|SO2|Asthma symptoms cough", US_national_yearly!$D:$AM, 16, FALSE) / VLOOKUP("buildings|SO2|Asthma symptoms cough", US_national_yearly!$D:$AM, 10, FALSE), 1)</f>
        <v>2.04238053704223E-3</v>
      </c>
      <c r="I6" s="7">
        <f>$B6 * IFERROR(VLOOKUP("buildings|SO2|Asthma symptoms cough", US_national_yearly!$D:$AM, 17, FALSE) / VLOOKUP("buildings|SO2|Asthma symptoms cough", US_national_yearly!$D:$AM, 10, FALSE), 1)</f>
        <v>2.04238053704223E-3</v>
      </c>
      <c r="J6" s="7">
        <f>$B6 * IFERROR(VLOOKUP("buildings|SO2|Asthma symptoms cough", US_national_yearly!$D:$AM, 18, FALSE) / VLOOKUP("buildings|SO2|Asthma symptoms cough", US_national_yearly!$D:$AM, 10, FALSE), 1)</f>
        <v>2.04238053704223E-3</v>
      </c>
      <c r="K6" s="7">
        <f>$B6 * IFERROR(VLOOKUP("buildings|SO2|Asthma symptoms cough", US_national_yearly!$D:$AM, 19, FALSE) / VLOOKUP("buildings|SO2|Asthma symptoms cough", US_national_yearly!$D:$AM, 10, FALSE), 1)</f>
        <v>2.04238053704223E-3</v>
      </c>
      <c r="L6" s="7">
        <f>$B6 * IFERROR(VLOOKUP("buildings|SO2|Asthma symptoms cough", US_national_yearly!$D:$AM, 20, FALSE) / VLOOKUP("buildings|SO2|Asthma symptoms cough", US_national_yearly!$D:$AM, 10, FALSE), 1)</f>
        <v>2.04238053704223E-3</v>
      </c>
      <c r="M6" s="7">
        <f>$B6 * IFERROR(VLOOKUP("buildings|SO2|Asthma symptoms cough", US_national_yearly!$D:$AM, 21, FALSE) / VLOOKUP("buildings|SO2|Asthma symptoms cough", US_national_yearly!$D:$AM, 10, FALSE), 1)</f>
        <v>2.04238053704223E-3</v>
      </c>
      <c r="N6" s="7">
        <f>$B6 * IFERROR(VLOOKUP("buildings|SO2|Asthma symptoms cough", US_national_yearly!$D:$AM, 22, FALSE) / VLOOKUP("buildings|SO2|Asthma symptoms cough", US_national_yearly!$D:$AM, 10, FALSE), 1)</f>
        <v>2.04238053704223E-3</v>
      </c>
      <c r="O6" s="7">
        <f>$B6 * IFERROR(VLOOKUP("buildings|SO2|Asthma symptoms cough", US_national_yearly!$D:$AM, 23, FALSE) / VLOOKUP("buildings|SO2|Asthma symptoms cough", US_national_yearly!$D:$AM, 10, FALSE), 1)</f>
        <v>2.04238053704223E-3</v>
      </c>
      <c r="P6" s="7">
        <f>$B6 * IFERROR(VLOOKUP("buildings|SO2|Asthma symptoms cough", US_national_yearly!$D:$AM, 24, FALSE) / VLOOKUP("buildings|SO2|Asthma symptoms cough", US_national_yearly!$D:$AM, 10, FALSE), 1)</f>
        <v>2.04238053704223E-3</v>
      </c>
      <c r="Q6" s="7">
        <f>$B6 * IFERROR(VLOOKUP("buildings|SO2|Asthma symptoms cough", US_national_yearly!$D:$AM, 25, FALSE) / VLOOKUP("buildings|SO2|Asthma symptoms cough", US_national_yearly!$D:$AM, 10, FALSE), 1)</f>
        <v>2.04238053704223E-3</v>
      </c>
      <c r="R6" s="7">
        <f>$B6 * IFERROR(VLOOKUP("buildings|SO2|Asthma symptoms cough", US_national_yearly!$D:$AM, 26, FALSE) / VLOOKUP("buildings|SO2|Asthma symptoms cough", US_national_yearly!$D:$AM, 10, FALSE), 1)</f>
        <v>2.04238053704223E-3</v>
      </c>
      <c r="S6" s="7">
        <f>$B6 * IFERROR(VLOOKUP("buildings|SO2|Asthma symptoms cough", US_national_yearly!$D:$AM, 27, FALSE) / VLOOKUP("buildings|SO2|Asthma symptoms cough", US_national_yearly!$D:$AM, 10, FALSE), 1)</f>
        <v>2.04238053704223E-3</v>
      </c>
      <c r="T6" s="7">
        <f>$B6 * IFERROR(VLOOKUP("buildings|SO2|Asthma symptoms cough", US_national_yearly!$D:$AM, 28, FALSE) / VLOOKUP("buildings|SO2|Asthma symptoms cough", US_national_yearly!$D:$AM, 10, FALSE), 1)</f>
        <v>2.04238053704223E-3</v>
      </c>
      <c r="U6" s="7">
        <f>$B6 * IFERROR(VLOOKUP("buildings|SO2|Asthma symptoms cough", US_national_yearly!$D:$AM, 29, FALSE) / VLOOKUP("buildings|SO2|Asthma symptoms cough", US_national_yearly!$D:$AM, 10, FALSE), 1)</f>
        <v>2.04238053704223E-3</v>
      </c>
      <c r="V6" s="7">
        <f>$B6 * IFERROR(VLOOKUP("buildings|SO2|Asthma symptoms cough", US_national_yearly!$D:$AM, 30, FALSE) / VLOOKUP("buildings|SO2|Asthma symptoms cough", US_national_yearly!$D:$AM, 10, FALSE), 1)</f>
        <v>2.04238053704223E-3</v>
      </c>
      <c r="W6" s="7">
        <f>$B6 * IFERROR(VLOOKUP("buildings|SO2|Asthma symptoms cough", US_national_yearly!$D:$AM, 31, FALSE) / VLOOKUP("buildings|SO2|Asthma symptoms cough", US_national_yearly!$D:$AM, 10, FALSE), 1)</f>
        <v>2.04238053704223E-3</v>
      </c>
      <c r="X6" s="7">
        <f>$B6 * IFERROR(VLOOKUP("buildings|SO2|Asthma symptoms cough", US_national_yearly!$D:$AM, 32, FALSE) / VLOOKUP("buildings|SO2|Asthma symptoms cough", US_national_yearly!$D:$AM, 10, FALSE), 1)</f>
        <v>2.04238053704223E-3</v>
      </c>
      <c r="Y6" s="7">
        <f>$B6 * IFERROR(VLOOKUP("buildings|SO2|Asthma symptoms cough", US_national_yearly!$D:$AM, 33, FALSE) / VLOOKUP("buildings|SO2|Asthma symptoms cough", US_national_yearly!$D:$AM, 10, FALSE), 1)</f>
        <v>2.04238053704223E-3</v>
      </c>
      <c r="Z6" s="7">
        <f>$B6 * IFERROR(VLOOKUP("buildings|SO2|Asthma symptoms cough", US_national_yearly!$D:$AM, 34, FALSE) / VLOOKUP("buildings|SO2|Asthma symptoms cough", US_national_yearly!$D:$AM, 10, FALSE), 1)</f>
        <v>2.04238053704223E-3</v>
      </c>
      <c r="AA6" s="7">
        <f>$B6 * IFERROR(VLOOKUP("buildings|SO2|Asthma symptoms cough", US_national_yearly!$D:$AM, 35, FALSE) / VLOOKUP("buildings|SO2|Asthma symptoms cough", US_national_yearly!$D:$AM, 10, FALSE), 1)</f>
        <v>2.04238053704223E-3</v>
      </c>
      <c r="AB6" s="7">
        <f>$B6 * IFERROR(VLOOKUP("buildings|SO2|Asthma symptoms cough", US_national_yearly!$D:$AM, 36, FALSE) / VLOOKUP("buildings|SO2|Asthma symptoms cough", US_national_yearly!$D:$AM, 10, FALSE), 1)</f>
        <v>2.04238053704223E-3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2.7503648730537781E-3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2.7503648730537781E-3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2.7503648730537781E-3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2.7503648730537781E-3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2.7503648730537781E-3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2.7503648730537781E-3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2.7503648730537781E-3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2.7503648730537781E-3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2.7503648730537781E-3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2.7503648730537781E-3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2.7503648730537781E-3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2.7503648730537781E-3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2.7503648730537781E-3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2.7503648730537781E-3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2.7503648730537781E-3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2.7503648730537781E-3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2.7503648730537781E-3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2.7503648730537781E-3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2.7503648730537781E-3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2.7503648730537781E-3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2.7503648730537781E-3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2.7503648730537781E-3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2.7503648730537781E-3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2.7503648730537781E-3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2.7503648730537781E-3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2.7503648730537781E-3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2.7503648730537781E-3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4.2020802844468051E-3</v>
      </c>
      <c r="C8" s="7">
        <f>$B8 * IFERROR(VLOOKUP("buildings|SO2|Asthma symptoms wheeze", US_national_yearly!$D:$AM, 11, FALSE) / VLOOKUP("buildings|SO2|Asthma symptoms wheeze", US_national_yearly!$D:$AM, 10, FALSE), 1)</f>
        <v>4.2020802844468051E-3</v>
      </c>
      <c r="D8" s="7">
        <f>$B8 * IFERROR(VLOOKUP("buildings|SO2|Asthma symptoms wheeze", US_national_yearly!$D:$AM, 12, FALSE) / VLOOKUP("buildings|SO2|Asthma symptoms wheeze", US_national_yearly!$D:$AM, 10, FALSE), 1)</f>
        <v>4.2020802844468051E-3</v>
      </c>
      <c r="E8" s="7">
        <f>$B8 * IFERROR(VLOOKUP("buildings|SO2|Asthma symptoms wheeze", US_national_yearly!$D:$AM, 13, FALSE) / VLOOKUP("buildings|SO2|Asthma symptoms wheeze", US_national_yearly!$D:$AM, 10, FALSE), 1)</f>
        <v>4.2020802844468051E-3</v>
      </c>
      <c r="F8" s="7">
        <f>$B8 * IFERROR(VLOOKUP("buildings|SO2|Asthma symptoms wheeze", US_national_yearly!$D:$AM, 14, FALSE) / VLOOKUP("buildings|SO2|Asthma symptoms wheeze", US_national_yearly!$D:$AM, 10, FALSE), 1)</f>
        <v>4.2020802844468051E-3</v>
      </c>
      <c r="G8" s="7">
        <f>$B8 * IFERROR(VLOOKUP("buildings|SO2|Asthma symptoms wheeze", US_national_yearly!$D:$AM, 15, FALSE) / VLOOKUP("buildings|SO2|Asthma symptoms wheeze", US_national_yearly!$D:$AM, 10, FALSE), 1)</f>
        <v>4.2020802844468051E-3</v>
      </c>
      <c r="H8" s="7">
        <f>$B8 * IFERROR(VLOOKUP("buildings|SO2|Asthma symptoms wheeze", US_national_yearly!$D:$AM, 16, FALSE) / VLOOKUP("buildings|SO2|Asthma symptoms wheeze", US_national_yearly!$D:$AM, 10, FALSE), 1)</f>
        <v>4.2020802844468051E-3</v>
      </c>
      <c r="I8" s="7">
        <f>$B8 * IFERROR(VLOOKUP("buildings|SO2|Asthma symptoms wheeze", US_national_yearly!$D:$AM, 17, FALSE) / VLOOKUP("buildings|SO2|Asthma symptoms wheeze", US_national_yearly!$D:$AM, 10, FALSE), 1)</f>
        <v>4.2020802844468051E-3</v>
      </c>
      <c r="J8" s="7">
        <f>$B8 * IFERROR(VLOOKUP("buildings|SO2|Asthma symptoms wheeze", US_national_yearly!$D:$AM, 18, FALSE) / VLOOKUP("buildings|SO2|Asthma symptoms wheeze", US_national_yearly!$D:$AM, 10, FALSE), 1)</f>
        <v>4.2020802844468051E-3</v>
      </c>
      <c r="K8" s="7">
        <f>$B8 * IFERROR(VLOOKUP("buildings|SO2|Asthma symptoms wheeze", US_national_yearly!$D:$AM, 19, FALSE) / VLOOKUP("buildings|SO2|Asthma symptoms wheeze", US_national_yearly!$D:$AM, 10, FALSE), 1)</f>
        <v>4.2020802844468051E-3</v>
      </c>
      <c r="L8" s="7">
        <f>$B8 * IFERROR(VLOOKUP("buildings|SO2|Asthma symptoms wheeze", US_national_yearly!$D:$AM, 20, FALSE) / VLOOKUP("buildings|SO2|Asthma symptoms wheeze", US_national_yearly!$D:$AM, 10, FALSE), 1)</f>
        <v>4.2020802844468051E-3</v>
      </c>
      <c r="M8" s="7">
        <f>$B8 * IFERROR(VLOOKUP("buildings|SO2|Asthma symptoms wheeze", US_national_yearly!$D:$AM, 21, FALSE) / VLOOKUP("buildings|SO2|Asthma symptoms wheeze", US_national_yearly!$D:$AM, 10, FALSE), 1)</f>
        <v>4.2020802844468051E-3</v>
      </c>
      <c r="N8" s="7">
        <f>$B8 * IFERROR(VLOOKUP("buildings|SO2|Asthma symptoms wheeze", US_national_yearly!$D:$AM, 22, FALSE) / VLOOKUP("buildings|SO2|Asthma symptoms wheeze", US_national_yearly!$D:$AM, 10, FALSE), 1)</f>
        <v>4.2020802844468051E-3</v>
      </c>
      <c r="O8" s="7">
        <f>$B8 * IFERROR(VLOOKUP("buildings|SO2|Asthma symptoms wheeze", US_national_yearly!$D:$AM, 23, FALSE) / VLOOKUP("buildings|SO2|Asthma symptoms wheeze", US_national_yearly!$D:$AM, 10, FALSE), 1)</f>
        <v>4.2020802844468051E-3</v>
      </c>
      <c r="P8" s="7">
        <f>$B8 * IFERROR(VLOOKUP("buildings|SO2|Asthma symptoms wheeze", US_national_yearly!$D:$AM, 24, FALSE) / VLOOKUP("buildings|SO2|Asthma symptoms wheeze", US_national_yearly!$D:$AM, 10, FALSE), 1)</f>
        <v>4.2020802844468051E-3</v>
      </c>
      <c r="Q8" s="7">
        <f>$B8 * IFERROR(VLOOKUP("buildings|SO2|Asthma symptoms wheeze", US_national_yearly!$D:$AM, 25, FALSE) / VLOOKUP("buildings|SO2|Asthma symptoms wheeze", US_national_yearly!$D:$AM, 10, FALSE), 1)</f>
        <v>4.2020802844468051E-3</v>
      </c>
      <c r="R8" s="7">
        <f>$B8 * IFERROR(VLOOKUP("buildings|SO2|Asthma symptoms wheeze", US_national_yearly!$D:$AM, 26, FALSE) / VLOOKUP("buildings|SO2|Asthma symptoms wheeze", US_national_yearly!$D:$AM, 10, FALSE), 1)</f>
        <v>4.2020802844468051E-3</v>
      </c>
      <c r="S8" s="7">
        <f>$B8 * IFERROR(VLOOKUP("buildings|SO2|Asthma symptoms wheeze", US_national_yearly!$D:$AM, 27, FALSE) / VLOOKUP("buildings|SO2|Asthma symptoms wheeze", US_national_yearly!$D:$AM, 10, FALSE), 1)</f>
        <v>4.2020802844468051E-3</v>
      </c>
      <c r="T8" s="7">
        <f>$B8 * IFERROR(VLOOKUP("buildings|SO2|Asthma symptoms wheeze", US_national_yearly!$D:$AM, 28, FALSE) / VLOOKUP("buildings|SO2|Asthma symptoms wheeze", US_national_yearly!$D:$AM, 10, FALSE), 1)</f>
        <v>4.2020802844468051E-3</v>
      </c>
      <c r="U8" s="7">
        <f>$B8 * IFERROR(VLOOKUP("buildings|SO2|Asthma symptoms wheeze", US_national_yearly!$D:$AM, 29, FALSE) / VLOOKUP("buildings|SO2|Asthma symptoms wheeze", US_national_yearly!$D:$AM, 10, FALSE), 1)</f>
        <v>4.2020802844468051E-3</v>
      </c>
      <c r="V8" s="7">
        <f>$B8 * IFERROR(VLOOKUP("buildings|SO2|Asthma symptoms wheeze", US_national_yearly!$D:$AM, 30, FALSE) / VLOOKUP("buildings|SO2|Asthma symptoms wheeze", US_national_yearly!$D:$AM, 10, FALSE), 1)</f>
        <v>4.2020802844468051E-3</v>
      </c>
      <c r="W8" s="7">
        <f>$B8 * IFERROR(VLOOKUP("buildings|SO2|Asthma symptoms wheeze", US_national_yearly!$D:$AM, 31, FALSE) / VLOOKUP("buildings|SO2|Asthma symptoms wheeze", US_national_yearly!$D:$AM, 10, FALSE), 1)</f>
        <v>4.2020802844468051E-3</v>
      </c>
      <c r="X8" s="7">
        <f>$B8 * IFERROR(VLOOKUP("buildings|SO2|Asthma symptoms wheeze", US_national_yearly!$D:$AM, 32, FALSE) / VLOOKUP("buildings|SO2|Asthma symptoms wheeze", US_national_yearly!$D:$AM, 10, FALSE), 1)</f>
        <v>4.2020802844468051E-3</v>
      </c>
      <c r="Y8" s="7">
        <f>$B8 * IFERROR(VLOOKUP("buildings|SO2|Asthma symptoms wheeze", US_national_yearly!$D:$AM, 33, FALSE) / VLOOKUP("buildings|SO2|Asthma symptoms wheeze", US_national_yearly!$D:$AM, 10, FALSE), 1)</f>
        <v>4.2020802844468051E-3</v>
      </c>
      <c r="Z8" s="7">
        <f>$B8 * IFERROR(VLOOKUP("buildings|SO2|Asthma symptoms wheeze", US_national_yearly!$D:$AM, 34, FALSE) / VLOOKUP("buildings|SO2|Asthma symptoms wheeze", US_national_yearly!$D:$AM, 10, FALSE), 1)</f>
        <v>4.2020802844468051E-3</v>
      </c>
      <c r="AA8" s="7">
        <f>$B8 * IFERROR(VLOOKUP("buildings|SO2|Asthma symptoms wheeze", US_national_yearly!$D:$AM, 35, FALSE) / VLOOKUP("buildings|SO2|Asthma symptoms wheeze", US_national_yearly!$D:$AM, 10, FALSE), 1)</f>
        <v>4.2020802844468051E-3</v>
      </c>
      <c r="AB8" s="7">
        <f>$B8 * IFERROR(VLOOKUP("buildings|SO2|Asthma symptoms wheeze", US_national_yearly!$D:$AM, 36, FALSE) / VLOOKUP("buildings|SO2|Asthma symptoms wheeze", US_national_yearly!$D:$AM, 10, FALSE), 1)</f>
        <v>4.2020802844468051E-3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1.2366778098626206E-4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1.2439821026803867E-4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1.2512863954981527E-4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1.2585906883159188E-4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1.2658949811336845E-4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1.2738557400664163E-4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1.2818164989991481E-4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1.2896507640215311E-4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1.2974850290439148E-4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1.3053192940662978E-4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1.3131535590886812E-4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1.3209878241110645E-4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1.3267081344675149E-4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1.3324284448239652E-4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1.3381487551804153E-4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1.3438690655368657E-4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1.349589375893316E-4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1.3550437589648359E-4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1.3604981420363562E-4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1.365952525107876E-4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1.3714069081793961E-4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1.3768612912509165E-4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1.3820443782923557E-4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1.3872274653337953E-4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1.3924105523752348E-4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1.397593639416674E-4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1.4027767264581138E-4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9.7191013890855554E-4</v>
      </c>
      <c r="C13" s="7">
        <f>$B13 * IFERROR(VLOOKUP("buildings|SO2|Non-fatal heart attacks", US_national_yearly!$D:$AM, 11, FALSE) / VLOOKUP("buildings|SO2|Non-fatal heart attacks", US_national_yearly!$D:$AM, 10, FALSE), 1)</f>
        <v>1.0004511149398719E-3</v>
      </c>
      <c r="D13" s="7">
        <f>$B13 * IFERROR(VLOOKUP("buildings|SO2|Non-fatal heart attacks", US_national_yearly!$D:$AM, 12, FALSE) / VLOOKUP("buildings|SO2|Non-fatal heart attacks", US_national_yearly!$D:$AM, 10, FALSE), 1)</f>
        <v>1.0289920909711881E-3</v>
      </c>
      <c r="E13" s="7">
        <f>$B13 * IFERROR(VLOOKUP("buildings|SO2|Non-fatal heart attacks", US_national_yearly!$D:$AM, 13, FALSE) / VLOOKUP("buildings|SO2|Non-fatal heart attacks", US_national_yearly!$D:$AM, 10, FALSE), 1)</f>
        <v>1.0575330670025041E-3</v>
      </c>
      <c r="F13" s="7">
        <f>$B13 * IFERROR(VLOOKUP("buildings|SO2|Non-fatal heart attacks", US_national_yearly!$D:$AM, 14, FALSE) / VLOOKUP("buildings|SO2|Non-fatal heart attacks", US_national_yearly!$D:$AM, 10, FALSE), 1)</f>
        <v>1.0860740430338205E-3</v>
      </c>
      <c r="G13" s="7">
        <f>$B13 * IFERROR(VLOOKUP("buildings|SO2|Non-fatal heart attacks", US_national_yearly!$D:$AM, 15, FALSE) / VLOOKUP("buildings|SO2|Non-fatal heart attacks", US_national_yearly!$D:$AM, 10, FALSE), 1)</f>
        <v>1.1129927865283036E-3</v>
      </c>
      <c r="H13" s="7">
        <f>$B13 * IFERROR(VLOOKUP("buildings|SO2|Non-fatal heart attacks", US_national_yearly!$D:$AM, 16, FALSE) / VLOOKUP("buildings|SO2|Non-fatal heart attacks", US_national_yearly!$D:$AM, 10, FALSE), 1)</f>
        <v>1.1399115300227867E-3</v>
      </c>
      <c r="I13" s="7">
        <f>$B13 * IFERROR(VLOOKUP("buildings|SO2|Non-fatal heart attacks", US_national_yearly!$D:$AM, 17, FALSE) / VLOOKUP("buildings|SO2|Non-fatal heart attacks", US_national_yearly!$D:$AM, 10, FALSE), 1)</f>
        <v>1.1615793342600526E-3</v>
      </c>
      <c r="J13" s="7">
        <f>$B13 * IFERROR(VLOOKUP("buildings|SO2|Non-fatal heart attacks", US_national_yearly!$D:$AM, 18, FALSE) / VLOOKUP("buildings|SO2|Non-fatal heart attacks", US_national_yearly!$D:$AM, 10, FALSE), 1)</f>
        <v>1.1832471384973188E-3</v>
      </c>
      <c r="K13" s="7">
        <f>$B13 * IFERROR(VLOOKUP("buildings|SO2|Non-fatal heart attacks", US_national_yearly!$D:$AM, 19, FALSE) / VLOOKUP("buildings|SO2|Non-fatal heart attacks", US_national_yearly!$D:$AM, 10, FALSE), 1)</f>
        <v>1.2049149427345847E-3</v>
      </c>
      <c r="L13" s="7">
        <f>$B13 * IFERROR(VLOOKUP("buildings|SO2|Non-fatal heart attacks", US_national_yearly!$D:$AM, 20, FALSE) / VLOOKUP("buildings|SO2|Non-fatal heart attacks", US_national_yearly!$D:$AM, 10, FALSE), 1)</f>
        <v>1.2265827469718511E-3</v>
      </c>
      <c r="M13" s="7">
        <f>$B13 * IFERROR(VLOOKUP("buildings|SO2|Non-fatal heart attacks", US_national_yearly!$D:$AM, 21, FALSE) / VLOOKUP("buildings|SO2|Non-fatal heart attacks", US_national_yearly!$D:$AM, 10, FALSE), 1)</f>
        <v>1.2482505512091172E-3</v>
      </c>
      <c r="N13" s="7">
        <f>$B13 * IFERROR(VLOOKUP("buildings|SO2|Non-fatal heart attacks", US_national_yearly!$D:$AM, 22, FALSE) / VLOOKUP("buildings|SO2|Non-fatal heart attacks", US_national_yearly!$D:$AM, 10, FALSE), 1)</f>
        <v>1.2623139634050915E-3</v>
      </c>
      <c r="O13" s="7">
        <f>$B13 * IFERROR(VLOOKUP("buildings|SO2|Non-fatal heart attacks", US_national_yearly!$D:$AM, 23, FALSE) / VLOOKUP("buildings|SO2|Non-fatal heart attacks", US_national_yearly!$D:$AM, 10, FALSE), 1)</f>
        <v>1.2763773756010661E-3</v>
      </c>
      <c r="P13" s="7">
        <f>$B13 * IFERROR(VLOOKUP("buildings|SO2|Non-fatal heart attacks", US_national_yearly!$D:$AM, 24, FALSE) / VLOOKUP("buildings|SO2|Non-fatal heart attacks", US_national_yearly!$D:$AM, 10, FALSE), 1)</f>
        <v>1.2904407877970402E-3</v>
      </c>
      <c r="Q13" s="7">
        <f>$B13 * IFERROR(VLOOKUP("buildings|SO2|Non-fatal heart attacks", US_national_yearly!$D:$AM, 25, FALSE) / VLOOKUP("buildings|SO2|Non-fatal heart attacks", US_national_yearly!$D:$AM, 10, FALSE), 1)</f>
        <v>1.3045041999930145E-3</v>
      </c>
      <c r="R13" s="7">
        <f>$B13 * IFERROR(VLOOKUP("buildings|SO2|Non-fatal heart attacks", US_national_yearly!$D:$AM, 26, FALSE) / VLOOKUP("buildings|SO2|Non-fatal heart attacks", US_national_yearly!$D:$AM, 10, FALSE), 1)</f>
        <v>1.318567612188989E-3</v>
      </c>
      <c r="S13" s="7">
        <f>$B13 * IFERROR(VLOOKUP("buildings|SO2|Non-fatal heart attacks", US_national_yearly!$D:$AM, 27, FALSE) / VLOOKUP("buildings|SO2|Non-fatal heart attacks", US_national_yearly!$D:$AM, 10, FALSE), 1)</f>
        <v>1.325911503010622E-3</v>
      </c>
      <c r="T13" s="7">
        <f>$B13 * IFERROR(VLOOKUP("buildings|SO2|Non-fatal heart attacks", US_national_yearly!$D:$AM, 28, FALSE) / VLOOKUP("buildings|SO2|Non-fatal heart attacks", US_national_yearly!$D:$AM, 10, FALSE), 1)</f>
        <v>1.333255393832255E-3</v>
      </c>
      <c r="U13" s="7">
        <f>$B13 * IFERROR(VLOOKUP("buildings|SO2|Non-fatal heart attacks", US_national_yearly!$D:$AM, 29, FALSE) / VLOOKUP("buildings|SO2|Non-fatal heart attacks", US_national_yearly!$D:$AM, 10, FALSE), 1)</f>
        <v>1.3405992846538875E-3</v>
      </c>
      <c r="V13" s="7">
        <f>$B13 * IFERROR(VLOOKUP("buildings|SO2|Non-fatal heart attacks", US_national_yearly!$D:$AM, 30, FALSE) / VLOOKUP("buildings|SO2|Non-fatal heart attacks", US_national_yearly!$D:$AM, 10, FALSE), 1)</f>
        <v>1.3479431754755203E-3</v>
      </c>
      <c r="W13" s="7">
        <f>$B13 * IFERROR(VLOOKUP("buildings|SO2|Non-fatal heart attacks", US_national_yearly!$D:$AM, 31, FALSE) / VLOOKUP("buildings|SO2|Non-fatal heart attacks", US_national_yearly!$D:$AM, 10, FALSE), 1)</f>
        <v>1.355287066297153E-3</v>
      </c>
      <c r="X13" s="7">
        <f>$B13 * IFERROR(VLOOKUP("buildings|SO2|Non-fatal heart attacks", US_national_yearly!$D:$AM, 32, FALSE) / VLOOKUP("buildings|SO2|Non-fatal heart attacks", US_national_yearly!$D:$AM, 10, FALSE), 1)</f>
        <v>1.3608337119406792E-3</v>
      </c>
      <c r="Y13" s="7">
        <f>$B13 * IFERROR(VLOOKUP("buildings|SO2|Non-fatal heart attacks", US_national_yearly!$D:$AM, 33, FALSE) / VLOOKUP("buildings|SO2|Non-fatal heart attacks", US_national_yearly!$D:$AM, 10, FALSE), 1)</f>
        <v>1.3663803575842057E-3</v>
      </c>
      <c r="Z13" s="7">
        <f>$B13 * IFERROR(VLOOKUP("buildings|SO2|Non-fatal heart attacks", US_national_yearly!$D:$AM, 34, FALSE) / VLOOKUP("buildings|SO2|Non-fatal heart attacks", US_national_yearly!$D:$AM, 10, FALSE), 1)</f>
        <v>1.3719270032277314E-3</v>
      </c>
      <c r="AA13" s="7">
        <f>$B13 * IFERROR(VLOOKUP("buildings|SO2|Non-fatal heart attacks", US_national_yearly!$D:$AM, 35, FALSE) / VLOOKUP("buildings|SO2|Non-fatal heart attacks", US_national_yearly!$D:$AM, 10, FALSE), 1)</f>
        <v>1.3774736488712577E-3</v>
      </c>
      <c r="AB13" s="7">
        <f>$B13 * IFERROR(VLOOKUP("buildings|SO2|Non-fatal heart attacks", US_national_yearly!$D:$AM, 36, FALSE) / VLOOKUP("buildings|SO2|Non-fatal heart attacks", US_national_yearly!$D:$AM, 10, FALSE), 1)</f>
        <v>1.3830202945147837E-3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0.28617401427048317</v>
      </c>
      <c r="C14" s="7">
        <f>$B14 * IFERROR(VLOOKUP("buildings|SO2|Minor restricted activity days", US_national_yearly!$D:$AM, 11, FALSE) / VLOOKUP("buildings|SO2|Minor restricted activity days", US_national_yearly!$D:$AM, 10, FALSE), 1)</f>
        <v>0.28689844871245318</v>
      </c>
      <c r="D14" s="7">
        <f>$B14 * IFERROR(VLOOKUP("buildings|SO2|Minor restricted activity days", US_national_yearly!$D:$AM, 12, FALSE) / VLOOKUP("buildings|SO2|Minor restricted activity days", US_national_yearly!$D:$AM, 10, FALSE), 1)</f>
        <v>0.2876228831544233</v>
      </c>
      <c r="E14" s="7">
        <f>$B14 * IFERROR(VLOOKUP("buildings|SO2|Minor restricted activity days", US_national_yearly!$D:$AM, 13, FALSE) / VLOOKUP("buildings|SO2|Minor restricted activity days", US_national_yearly!$D:$AM, 10, FALSE), 1)</f>
        <v>0.28834731759639343</v>
      </c>
      <c r="F14" s="7">
        <f>$B14 * IFERROR(VLOOKUP("buildings|SO2|Minor restricted activity days", US_national_yearly!$D:$AM, 14, FALSE) / VLOOKUP("buildings|SO2|Minor restricted activity days", US_national_yearly!$D:$AM, 10, FALSE), 1)</f>
        <v>0.28907175203836344</v>
      </c>
      <c r="G14" s="7">
        <f>$B14 * IFERROR(VLOOKUP("buildings|SO2|Minor restricted activity days", US_national_yearly!$D:$AM, 15, FALSE) / VLOOKUP("buildings|SO2|Minor restricted activity days", US_national_yearly!$D:$AM, 10, FALSE), 1)</f>
        <v>0.29013695770627029</v>
      </c>
      <c r="H14" s="7">
        <f>$B14 * IFERROR(VLOOKUP("buildings|SO2|Minor restricted activity days", US_national_yearly!$D:$AM, 16, FALSE) / VLOOKUP("buildings|SO2|Minor restricted activity days", US_national_yearly!$D:$AM, 10, FALSE), 1)</f>
        <v>0.2912021633741772</v>
      </c>
      <c r="I14" s="7">
        <f>$B14 * IFERROR(VLOOKUP("buildings|SO2|Minor restricted activity days", US_national_yearly!$D:$AM, 17, FALSE) / VLOOKUP("buildings|SO2|Minor restricted activity days", US_national_yearly!$D:$AM, 10, FALSE), 1)</f>
        <v>0.29301631582420462</v>
      </c>
      <c r="J14" s="7">
        <f>$B14 * IFERROR(VLOOKUP("buildings|SO2|Minor restricted activity days", US_national_yearly!$D:$AM, 18, FALSE) / VLOOKUP("buildings|SO2|Minor restricted activity days", US_national_yearly!$D:$AM, 10, FALSE), 1)</f>
        <v>0.29483046827423209</v>
      </c>
      <c r="K14" s="7">
        <f>$B14 * IFERROR(VLOOKUP("buildings|SO2|Minor restricted activity days", US_national_yearly!$D:$AM, 19, FALSE) / VLOOKUP("buildings|SO2|Minor restricted activity days", US_national_yearly!$D:$AM, 10, FALSE), 1)</f>
        <v>0.29664462072425951</v>
      </c>
      <c r="L14" s="7">
        <f>$B14 * IFERROR(VLOOKUP("buildings|SO2|Minor restricted activity days", US_national_yearly!$D:$AM, 20, FALSE) / VLOOKUP("buildings|SO2|Minor restricted activity days", US_national_yearly!$D:$AM, 10, FALSE), 1)</f>
        <v>0.29845877317428693</v>
      </c>
      <c r="M14" s="7">
        <f>$B14 * IFERROR(VLOOKUP("buildings|SO2|Minor restricted activity days", US_national_yearly!$D:$AM, 21, FALSE) / VLOOKUP("buildings|SO2|Minor restricted activity days", US_national_yearly!$D:$AM, 10, FALSE), 1)</f>
        <v>0.30027292562431435</v>
      </c>
      <c r="N14" s="7">
        <f>$B14 * IFERROR(VLOOKUP("buildings|SO2|Minor restricted activity days", US_national_yearly!$D:$AM, 22, FALSE) / VLOOKUP("buildings|SO2|Minor restricted activity days", US_national_yearly!$D:$AM, 10, FALSE), 1)</f>
        <v>0.30275368376748879</v>
      </c>
      <c r="O14" s="7">
        <f>$B14 * IFERROR(VLOOKUP("buildings|SO2|Minor restricted activity days", US_national_yearly!$D:$AM, 23, FALSE) / VLOOKUP("buildings|SO2|Minor restricted activity days", US_national_yearly!$D:$AM, 10, FALSE), 1)</f>
        <v>0.30523444191066323</v>
      </c>
      <c r="P14" s="7">
        <f>$B14 * IFERROR(VLOOKUP("buildings|SO2|Minor restricted activity days", US_national_yearly!$D:$AM, 24, FALSE) / VLOOKUP("buildings|SO2|Minor restricted activity days", US_national_yearly!$D:$AM, 10, FALSE), 1)</f>
        <v>0.30771520005383762</v>
      </c>
      <c r="Q14" s="7">
        <f>$B14 * IFERROR(VLOOKUP("buildings|SO2|Minor restricted activity days", US_national_yearly!$D:$AM, 25, FALSE) / VLOOKUP("buildings|SO2|Minor restricted activity days", US_national_yearly!$D:$AM, 10, FALSE), 1)</f>
        <v>0.31019595819701207</v>
      </c>
      <c r="R14" s="7">
        <f>$B14 * IFERROR(VLOOKUP("buildings|SO2|Minor restricted activity days", US_national_yearly!$D:$AM, 26, FALSE) / VLOOKUP("buildings|SO2|Minor restricted activity days", US_national_yearly!$D:$AM, 10, FALSE), 1)</f>
        <v>0.31267671634018651</v>
      </c>
      <c r="S14" s="7">
        <f>$B14 * IFERROR(VLOOKUP("buildings|SO2|Minor restricted activity days", US_national_yearly!$D:$AM, 27, FALSE) / VLOOKUP("buildings|SO2|Minor restricted activity days", US_national_yearly!$D:$AM, 10, FALSE), 1)</f>
        <v>0.31520568821203065</v>
      </c>
      <c r="T14" s="7">
        <f>$B14 * IFERROR(VLOOKUP("buildings|SO2|Minor restricted activity days", US_national_yearly!$D:$AM, 28, FALSE) / VLOOKUP("buildings|SO2|Minor restricted activity days", US_national_yearly!$D:$AM, 10, FALSE), 1)</f>
        <v>0.31773466008387474</v>
      </c>
      <c r="U14" s="7">
        <f>$B14 * IFERROR(VLOOKUP("buildings|SO2|Minor restricted activity days", US_national_yearly!$D:$AM, 29, FALSE) / VLOOKUP("buildings|SO2|Minor restricted activity days", US_national_yearly!$D:$AM, 10, FALSE), 1)</f>
        <v>0.32026363195571889</v>
      </c>
      <c r="V14" s="7">
        <f>$B14 * IFERROR(VLOOKUP("buildings|SO2|Minor restricted activity days", US_national_yearly!$D:$AM, 30, FALSE) / VLOOKUP("buildings|SO2|Minor restricted activity days", US_national_yearly!$D:$AM, 10, FALSE), 1)</f>
        <v>0.32279260382756303</v>
      </c>
      <c r="W14" s="7">
        <f>$B14 * IFERROR(VLOOKUP("buildings|SO2|Minor restricted activity days", US_national_yearly!$D:$AM, 31, FALSE) / VLOOKUP("buildings|SO2|Minor restricted activity days", US_national_yearly!$D:$AM, 10, FALSE), 1)</f>
        <v>0.32532157569940717</v>
      </c>
      <c r="X14" s="7">
        <f>$B14 * IFERROR(VLOOKUP("buildings|SO2|Minor restricted activity days", US_national_yearly!$D:$AM, 32, FALSE) / VLOOKUP("buildings|SO2|Minor restricted activity days", US_national_yearly!$D:$AM, 10, FALSE), 1)</f>
        <v>0.327545660106628</v>
      </c>
      <c r="Y14" s="7">
        <f>$B14 * IFERROR(VLOOKUP("buildings|SO2|Minor restricted activity days", US_national_yearly!$D:$AM, 33, FALSE) / VLOOKUP("buildings|SO2|Minor restricted activity days", US_national_yearly!$D:$AM, 10, FALSE), 1)</f>
        <v>0.32976974451384888</v>
      </c>
      <c r="Z14" s="7">
        <f>$B14 * IFERROR(VLOOKUP("buildings|SO2|Minor restricted activity days", US_national_yearly!$D:$AM, 34, FALSE) / VLOOKUP("buildings|SO2|Minor restricted activity days", US_national_yearly!$D:$AM, 10, FALSE), 1)</f>
        <v>0.33199382892106971</v>
      </c>
      <c r="AA14" s="7">
        <f>$B14 * IFERROR(VLOOKUP("buildings|SO2|Minor restricted activity days", US_national_yearly!$D:$AM, 35, FALSE) / VLOOKUP("buildings|SO2|Minor restricted activity days", US_national_yearly!$D:$AM, 10, FALSE), 1)</f>
        <v>0.33421791332829059</v>
      </c>
      <c r="AB14" s="7">
        <f>$B14 * IFERROR(VLOOKUP("buildings|SO2|Minor restricted activity days", US_national_yearly!$D:$AM, 36, FALSE) / VLOOKUP("buildings|SO2|Minor restricted activity days", US_national_yearly!$D:$AM, 10, FALSE), 1)</f>
        <v>0.33644199773551137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4.7806776523082087E-2</v>
      </c>
      <c r="C15" s="7">
        <f>$B15 * IFERROR(VLOOKUP("buildings|SO2|Work loss days", US_national_yearly!$D:$AM, 11, FALSE) / VLOOKUP("buildings|SO2|Work loss days", US_national_yearly!$D:$AM, 10, FALSE), 1)</f>
        <v>4.7962099961456707E-2</v>
      </c>
      <c r="D15" s="7">
        <f>$B15 * IFERROR(VLOOKUP("buildings|SO2|Work loss days", US_national_yearly!$D:$AM, 12, FALSE) / VLOOKUP("buildings|SO2|Work loss days", US_national_yearly!$D:$AM, 10, FALSE), 1)</f>
        <v>4.8117423399831327E-2</v>
      </c>
      <c r="E15" s="7">
        <f>$B15 * IFERROR(VLOOKUP("buildings|SO2|Work loss days", US_national_yearly!$D:$AM, 13, FALSE) / VLOOKUP("buildings|SO2|Work loss days", US_national_yearly!$D:$AM, 10, FALSE), 1)</f>
        <v>4.8272746838205947E-2</v>
      </c>
      <c r="F15" s="7">
        <f>$B15 * IFERROR(VLOOKUP("buildings|SO2|Work loss days", US_national_yearly!$D:$AM, 14, FALSE) / VLOOKUP("buildings|SO2|Work loss days", US_national_yearly!$D:$AM, 10, FALSE), 1)</f>
        <v>4.8428070276580561E-2</v>
      </c>
      <c r="G15" s="7">
        <f>$B15 * IFERROR(VLOOKUP("buildings|SO2|Work loss days", US_national_yearly!$D:$AM, 15, FALSE) / VLOOKUP("buildings|SO2|Work loss days", US_national_yearly!$D:$AM, 10, FALSE), 1)</f>
        <v>4.8630931282482699E-2</v>
      </c>
      <c r="H15" s="7">
        <f>$B15 * IFERROR(VLOOKUP("buildings|SO2|Work loss days", US_national_yearly!$D:$AM, 16, FALSE) / VLOOKUP("buildings|SO2|Work loss days", US_national_yearly!$D:$AM, 10, FALSE), 1)</f>
        <v>4.8833792288384852E-2</v>
      </c>
      <c r="I15" s="7">
        <f>$B15 * IFERROR(VLOOKUP("buildings|SO2|Work loss days", US_national_yearly!$D:$AM, 17, FALSE) / VLOOKUP("buildings|SO2|Work loss days", US_national_yearly!$D:$AM, 10, FALSE), 1)</f>
        <v>4.913038643358373E-2</v>
      </c>
      <c r="J15" s="7">
        <f>$B15 * IFERROR(VLOOKUP("buildings|SO2|Work loss days", US_national_yearly!$D:$AM, 18, FALSE) / VLOOKUP("buildings|SO2|Work loss days", US_national_yearly!$D:$AM, 10, FALSE), 1)</f>
        <v>4.9426980578782601E-2</v>
      </c>
      <c r="K15" s="7">
        <f>$B15 * IFERROR(VLOOKUP("buildings|SO2|Work loss days", US_national_yearly!$D:$AM, 19, FALSE) / VLOOKUP("buildings|SO2|Work loss days", US_national_yearly!$D:$AM, 10, FALSE), 1)</f>
        <v>4.9723574723981485E-2</v>
      </c>
      <c r="L15" s="7">
        <f>$B15 * IFERROR(VLOOKUP("buildings|SO2|Work loss days", US_national_yearly!$D:$AM, 20, FALSE) / VLOOKUP("buildings|SO2|Work loss days", US_national_yearly!$D:$AM, 10, FALSE), 1)</f>
        <v>5.0020168869180349E-2</v>
      </c>
      <c r="M15" s="7">
        <f>$B15 * IFERROR(VLOOKUP("buildings|SO2|Work loss days", US_national_yearly!$D:$AM, 21, FALSE) / VLOOKUP("buildings|SO2|Work loss days", US_national_yearly!$D:$AM, 10, FALSE), 1)</f>
        <v>5.031676301437922E-2</v>
      </c>
      <c r="N15" s="7">
        <f>$B15 * IFERROR(VLOOKUP("buildings|SO2|Work loss days", US_national_yearly!$D:$AM, 22, FALSE) / VLOOKUP("buildings|SO2|Work loss days", US_national_yearly!$D:$AM, 10, FALSE), 1)</f>
        <v>5.0688687213865338E-2</v>
      </c>
      <c r="O15" s="7">
        <f>$B15 * IFERROR(VLOOKUP("buildings|SO2|Work loss days", US_national_yearly!$D:$AM, 23, FALSE) / VLOOKUP("buildings|SO2|Work loss days", US_national_yearly!$D:$AM, 10, FALSE), 1)</f>
        <v>5.1060611413351442E-2</v>
      </c>
      <c r="P15" s="7">
        <f>$B15 * IFERROR(VLOOKUP("buildings|SO2|Work loss days", US_national_yearly!$D:$AM, 24, FALSE) / VLOOKUP("buildings|SO2|Work loss days", US_national_yearly!$D:$AM, 10, FALSE), 1)</f>
        <v>5.1432535612837553E-2</v>
      </c>
      <c r="Q15" s="7">
        <f>$B15 * IFERROR(VLOOKUP("buildings|SO2|Work loss days", US_national_yearly!$D:$AM, 25, FALSE) / VLOOKUP("buildings|SO2|Work loss days", US_national_yearly!$D:$AM, 10, FALSE), 1)</f>
        <v>5.1804459812323664E-2</v>
      </c>
      <c r="R15" s="7">
        <f>$B15 * IFERROR(VLOOKUP("buildings|SO2|Work loss days", US_national_yearly!$D:$AM, 26, FALSE) / VLOOKUP("buildings|SO2|Work loss days", US_national_yearly!$D:$AM, 10, FALSE), 1)</f>
        <v>5.2176384011809761E-2</v>
      </c>
      <c r="S15" s="7">
        <f>$B15 * IFERROR(VLOOKUP("buildings|SO2|Work loss days", US_national_yearly!$D:$AM, 27, FALSE) / VLOOKUP("buildings|SO2|Work loss days", US_national_yearly!$D:$AM, 10, FALSE), 1)</f>
        <v>5.2591855921159385E-2</v>
      </c>
      <c r="T15" s="7">
        <f>$B15 * IFERROR(VLOOKUP("buildings|SO2|Work loss days", US_national_yearly!$D:$AM, 28, FALSE) / VLOOKUP("buildings|SO2|Work loss days", US_national_yearly!$D:$AM, 10, FALSE), 1)</f>
        <v>5.3007327830509002E-2</v>
      </c>
      <c r="U15" s="7">
        <f>$B15 * IFERROR(VLOOKUP("buildings|SO2|Work loss days", US_national_yearly!$D:$AM, 29, FALSE) / VLOOKUP("buildings|SO2|Work loss days", US_national_yearly!$D:$AM, 10, FALSE), 1)</f>
        <v>5.3422799739858626E-2</v>
      </c>
      <c r="V15" s="7">
        <f>$B15 * IFERROR(VLOOKUP("buildings|SO2|Work loss days", US_national_yearly!$D:$AM, 30, FALSE) / VLOOKUP("buildings|SO2|Work loss days", US_national_yearly!$D:$AM, 10, FALSE), 1)</f>
        <v>5.3838271649208236E-2</v>
      </c>
      <c r="W15" s="7">
        <f>$B15 * IFERROR(VLOOKUP("buildings|SO2|Work loss days", US_national_yearly!$D:$AM, 31, FALSE) / VLOOKUP("buildings|SO2|Work loss days", US_national_yearly!$D:$AM, 10, FALSE), 1)</f>
        <v>5.425374355855786E-2</v>
      </c>
      <c r="X15" s="7">
        <f>$B15 * IFERROR(VLOOKUP("buildings|SO2|Work loss days", US_national_yearly!$D:$AM, 32, FALSE) / VLOOKUP("buildings|SO2|Work loss days", US_national_yearly!$D:$AM, 10, FALSE), 1)</f>
        <v>5.4626788359838897E-2</v>
      </c>
      <c r="Y15" s="7">
        <f>$B15 * IFERROR(VLOOKUP("buildings|SO2|Work loss days", US_national_yearly!$D:$AM, 33, FALSE) / VLOOKUP("buildings|SO2|Work loss days", US_national_yearly!$D:$AM, 10, FALSE), 1)</f>
        <v>5.4999833161119935E-2</v>
      </c>
      <c r="Z15" s="7">
        <f>$B15 * IFERROR(VLOOKUP("buildings|SO2|Work loss days", US_national_yearly!$D:$AM, 34, FALSE) / VLOOKUP("buildings|SO2|Work loss days", US_national_yearly!$D:$AM, 10, FALSE), 1)</f>
        <v>5.5372877962400958E-2</v>
      </c>
      <c r="AA15" s="7">
        <f>$B15 * IFERROR(VLOOKUP("buildings|SO2|Work loss days", US_national_yearly!$D:$AM, 35, FALSE) / VLOOKUP("buildings|SO2|Work loss days", US_national_yearly!$D:$AM, 10, FALSE), 1)</f>
        <v>5.5745922763681996E-2</v>
      </c>
      <c r="AB15" s="7">
        <f>$B15 * IFERROR(VLOOKUP("buildings|SO2|Work loss days", US_national_yearly!$D:$AM, 36, FALSE) / VLOOKUP("buildings|SO2|Work loss days", US_national_yearly!$D:$AM, 10, FALSE), 1)</f>
        <v>5.6118967564963027E-2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1.2757082257805981E-4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1.3142975812378607E-4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1.3528869366951233E-4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1.3914762921523862E-4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1.4300656476096487E-4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1.4670319386852148E-4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1.5039982297607803E-4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1.5356782667449092E-4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1.5673583037290373E-4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1.5990383407131663E-4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1.6307183776972947E-4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1.6623984146814228E-4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1.6836709246130892E-4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1.7049434345447556E-4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1.7262159444764218E-4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1.7474884544080879E-4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1.7687609643397541E-4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1.7799477279369948E-4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1.7911344915342352E-4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1.8023212551314757E-4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1.8135080187287161E-4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1.8246947823259566E-4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1.8322067192298272E-4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1.8397186561336972E-4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1.8472305930375676E-4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1.8547425299414382E-4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1.8622544668453082E-4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7.4140786647163247E-3</v>
      </c>
      <c r="C2" s="7">
        <f>$B2 * IFERROR(VLOOKUP("industry|PM25|Premature mortality", US_national_yearly!$D:$AM, 11, FALSE) / VLOOKUP("industry|PM25|Premature mortality", US_national_yearly!$D:$AM, 10, FALSE), 1)</f>
        <v>7.5064081725186122E-3</v>
      </c>
      <c r="D2" s="7">
        <f>$B2 * IFERROR(VLOOKUP("industry|PM25|Premature mortality", US_national_yearly!$D:$AM, 12, FALSE) / VLOOKUP("industry|PM25|Premature mortality", US_national_yearly!$D:$AM, 10, FALSE), 1)</f>
        <v>7.5987376803208989E-3</v>
      </c>
      <c r="E2" s="7">
        <f>$B2 * IFERROR(VLOOKUP("industry|PM25|Premature mortality", US_national_yearly!$D:$AM, 13, FALSE) / VLOOKUP("industry|PM25|Premature mortality", US_national_yearly!$D:$AM, 10, FALSE), 1)</f>
        <v>7.6910671881231865E-3</v>
      </c>
      <c r="F2" s="7">
        <f>$B2 * IFERROR(VLOOKUP("industry|PM25|Premature mortality", US_national_yearly!$D:$AM, 14, FALSE) / VLOOKUP("industry|PM25|Premature mortality", US_national_yearly!$D:$AM, 10, FALSE), 1)</f>
        <v>7.7833966959254732E-3</v>
      </c>
      <c r="G2" s="7">
        <f>$B2 * IFERROR(VLOOKUP("industry|PM25|Premature mortality", US_national_yearly!$D:$AM, 15, FALSE) / VLOOKUP("industry|PM25|Premature mortality", US_national_yearly!$D:$AM, 10, FALSE), 1)</f>
        <v>7.9630223192516357E-3</v>
      </c>
      <c r="H2" s="7">
        <f>$B2 * IFERROR(VLOOKUP("industry|PM25|Premature mortality", US_national_yearly!$D:$AM, 16, FALSE) / VLOOKUP("industry|PM25|Premature mortality", US_national_yearly!$D:$AM, 10, FALSE), 1)</f>
        <v>8.1426479425777982E-3</v>
      </c>
      <c r="I2" s="7">
        <f>$B2 * IFERROR(VLOOKUP("industry|PM25|Premature mortality", US_national_yearly!$D:$AM, 17, FALSE) / VLOOKUP("industry|PM25|Premature mortality", US_national_yearly!$D:$AM, 10, FALSE), 1)</f>
        <v>8.2612541445263102E-3</v>
      </c>
      <c r="J2" s="7">
        <f>$B2 * IFERROR(VLOOKUP("industry|PM25|Premature mortality", US_national_yearly!$D:$AM, 18, FALSE) / VLOOKUP("industry|PM25|Premature mortality", US_national_yearly!$D:$AM, 10, FALSE), 1)</f>
        <v>8.3798603464748222E-3</v>
      </c>
      <c r="K2" s="7">
        <f>$B2 * IFERROR(VLOOKUP("industry|PM25|Premature mortality", US_national_yearly!$D:$AM, 19, FALSE) / VLOOKUP("industry|PM25|Premature mortality", US_national_yearly!$D:$AM, 10, FALSE), 1)</f>
        <v>8.4984665484233342E-3</v>
      </c>
      <c r="L2" s="7">
        <f>$B2 * IFERROR(VLOOKUP("industry|PM25|Premature mortality", US_national_yearly!$D:$AM, 20, FALSE) / VLOOKUP("industry|PM25|Premature mortality", US_national_yearly!$D:$AM, 10, FALSE), 1)</f>
        <v>8.6170727503718444E-3</v>
      </c>
      <c r="M2" s="7">
        <f>$B2 * IFERROR(VLOOKUP("industry|PM25|Premature mortality", US_national_yearly!$D:$AM, 21, FALSE) / VLOOKUP("industry|PM25|Premature mortality", US_national_yearly!$D:$AM, 10, FALSE), 1)</f>
        <v>8.7356789523203582E-3</v>
      </c>
      <c r="N2" s="7">
        <f>$B2 * IFERROR(VLOOKUP("industry|PM25|Premature mortality", US_national_yearly!$D:$AM, 22, FALSE) / VLOOKUP("industry|PM25|Premature mortality", US_national_yearly!$D:$AM, 10, FALSE), 1)</f>
        <v>8.828083324096743E-3</v>
      </c>
      <c r="O2" s="7">
        <f>$B2 * IFERROR(VLOOKUP("industry|PM25|Premature mortality", US_national_yearly!$D:$AM, 23, FALSE) / VLOOKUP("industry|PM25|Premature mortality", US_national_yearly!$D:$AM, 10, FALSE), 1)</f>
        <v>8.920487695873126E-3</v>
      </c>
      <c r="P2" s="7">
        <f>$B2 * IFERROR(VLOOKUP("industry|PM25|Premature mortality", US_national_yearly!$D:$AM, 24, FALSE) / VLOOKUP("industry|PM25|Premature mortality", US_national_yearly!$D:$AM, 10, FALSE), 1)</f>
        <v>9.0128920676495108E-3</v>
      </c>
      <c r="Q2" s="7">
        <f>$B2 * IFERROR(VLOOKUP("industry|PM25|Premature mortality", US_national_yearly!$D:$AM, 25, FALSE) / VLOOKUP("industry|PM25|Premature mortality", US_national_yearly!$D:$AM, 10, FALSE), 1)</f>
        <v>9.1052964394258973E-3</v>
      </c>
      <c r="R2" s="7">
        <f>$B2 * IFERROR(VLOOKUP("industry|PM25|Premature mortality", US_national_yearly!$D:$AM, 26, FALSE) / VLOOKUP("industry|PM25|Premature mortality", US_national_yearly!$D:$AM, 10, FALSE), 1)</f>
        <v>9.1977008112022803E-3</v>
      </c>
      <c r="S2" s="7">
        <f>$B2 * IFERROR(VLOOKUP("industry|PM25|Premature mortality", US_national_yearly!$D:$AM, 27, FALSE) / VLOOKUP("industry|PM25|Premature mortality", US_national_yearly!$D:$AM, 10, FALSE), 1)</f>
        <v>9.2475957447089394E-3</v>
      </c>
      <c r="T2" s="7">
        <f>$B2 * IFERROR(VLOOKUP("industry|PM25|Premature mortality", US_national_yearly!$D:$AM, 28, FALSE) / VLOOKUP("industry|PM25|Premature mortality", US_national_yearly!$D:$AM, 10, FALSE), 1)</f>
        <v>9.2974906782155968E-3</v>
      </c>
      <c r="U2" s="7">
        <f>$B2 * IFERROR(VLOOKUP("industry|PM25|Premature mortality", US_national_yearly!$D:$AM, 29, FALSE) / VLOOKUP("industry|PM25|Premature mortality", US_national_yearly!$D:$AM, 10, FALSE), 1)</f>
        <v>9.3473856117222594E-3</v>
      </c>
      <c r="V2" s="7">
        <f>$B2 * IFERROR(VLOOKUP("industry|PM25|Premature mortality", US_national_yearly!$D:$AM, 30, FALSE) / VLOOKUP("industry|PM25|Premature mortality", US_national_yearly!$D:$AM, 10, FALSE), 1)</f>
        <v>9.3972805452289185E-3</v>
      </c>
      <c r="W2" s="7">
        <f>$B2 * IFERROR(VLOOKUP("industry|PM25|Premature mortality", US_national_yearly!$D:$AM, 31, FALSE) / VLOOKUP("industry|PM25|Premature mortality", US_national_yearly!$D:$AM, 10, FALSE), 1)</f>
        <v>9.4471754787355776E-3</v>
      </c>
      <c r="X2" s="7">
        <f>$B2 * IFERROR(VLOOKUP("industry|PM25|Premature mortality", US_national_yearly!$D:$AM, 32, FALSE) / VLOOKUP("industry|PM25|Premature mortality", US_national_yearly!$D:$AM, 10, FALSE), 1)</f>
        <v>9.4574770336552112E-3</v>
      </c>
      <c r="Y2" s="7">
        <f>$B2 * IFERROR(VLOOKUP("industry|PM25|Premature mortality", US_national_yearly!$D:$AM, 33, FALSE) / VLOOKUP("industry|PM25|Premature mortality", US_national_yearly!$D:$AM, 10, FALSE), 1)</f>
        <v>9.4677785885748499E-3</v>
      </c>
      <c r="Z2" s="7">
        <f>$B2 * IFERROR(VLOOKUP("industry|PM25|Premature mortality", US_national_yearly!$D:$AM, 34, FALSE) / VLOOKUP("industry|PM25|Premature mortality", US_national_yearly!$D:$AM, 10, FALSE), 1)</f>
        <v>9.4780801434944835E-3</v>
      </c>
      <c r="AA2" s="7">
        <f>$B2 * IFERROR(VLOOKUP("industry|PM25|Premature mortality", US_national_yearly!$D:$AM, 35, FALSE) / VLOOKUP("industry|PM25|Premature mortality", US_national_yearly!$D:$AM, 10, FALSE), 1)</f>
        <v>9.4883816984141205E-3</v>
      </c>
      <c r="AB2" s="7">
        <f>$B2 * IFERROR(VLOOKUP("industry|PM25|Premature mortality", US_national_yearly!$D:$AM, 36, FALSE) / VLOOKUP("industry|PM25|Premature mortality", US_national_yearly!$D:$AM, 10, FALSE), 1)</f>
        <v>9.4986832533337558E-3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1.2718157586765649E-5</v>
      </c>
      <c r="C3" s="7">
        <f>$B3 * IFERROR(VLOOKUP("industry|PM25|Infant mortality", US_national_yearly!$D:$AM, 11, FALSE) / VLOOKUP("industry|PM25|Infant mortality", US_national_yearly!$D:$AM, 10, FALSE), 1)</f>
        <v>1.2607422511018522E-5</v>
      </c>
      <c r="D3" s="7">
        <f>$B3 * IFERROR(VLOOKUP("industry|PM25|Infant mortality", US_national_yearly!$D:$AM, 12, FALSE) / VLOOKUP("industry|PM25|Infant mortality", US_national_yearly!$D:$AM, 10, FALSE), 1)</f>
        <v>1.2496687435271393E-5</v>
      </c>
      <c r="E3" s="7">
        <f>$B3 * IFERROR(VLOOKUP("industry|PM25|Infant mortality", US_national_yearly!$D:$AM, 13, FALSE) / VLOOKUP("industry|PM25|Infant mortality", US_national_yearly!$D:$AM, 10, FALSE), 1)</f>
        <v>1.2385952359524263E-5</v>
      </c>
      <c r="F3" s="7">
        <f>$B3 * IFERROR(VLOOKUP("industry|PM25|Infant mortality", US_national_yearly!$D:$AM, 14, FALSE) / VLOOKUP("industry|PM25|Infant mortality", US_national_yearly!$D:$AM, 10, FALSE), 1)</f>
        <v>1.2275217283777136E-5</v>
      </c>
      <c r="G3" s="7">
        <f>$B3 * IFERROR(VLOOKUP("industry|PM25|Infant mortality", US_national_yearly!$D:$AM, 15, FALSE) / VLOOKUP("industry|PM25|Infant mortality", US_national_yearly!$D:$AM, 10, FALSE), 1)</f>
        <v>8.1560840325480195E-6</v>
      </c>
      <c r="H3" s="7">
        <f>$B3 * IFERROR(VLOOKUP("industry|PM25|Infant mortality", US_national_yearly!$D:$AM, 16, FALSE) / VLOOKUP("industry|PM25|Infant mortality", US_national_yearly!$D:$AM, 10, FALSE), 1)</f>
        <v>4.0369507813189034E-6</v>
      </c>
      <c r="I3" s="7">
        <f>$B3 * IFERROR(VLOOKUP("industry|PM25|Infant mortality", US_national_yearly!$D:$AM, 17, FALSE) / VLOOKUP("industry|PM25|Infant mortality", US_national_yearly!$D:$AM, 10, FALSE), 1)</f>
        <v>4.0100808921706692E-6</v>
      </c>
      <c r="J3" s="7">
        <f>$B3 * IFERROR(VLOOKUP("industry|PM25|Infant mortality", US_national_yearly!$D:$AM, 18, FALSE) / VLOOKUP("industry|PM25|Infant mortality", US_national_yearly!$D:$AM, 10, FALSE), 1)</f>
        <v>3.983211003022435E-6</v>
      </c>
      <c r="K3" s="7">
        <f>$B3 * IFERROR(VLOOKUP("industry|PM25|Infant mortality", US_national_yearly!$D:$AM, 19, FALSE) / VLOOKUP("industry|PM25|Infant mortality", US_national_yearly!$D:$AM, 10, FALSE), 1)</f>
        <v>3.9563411138741999E-6</v>
      </c>
      <c r="L3" s="7">
        <f>$B3 * IFERROR(VLOOKUP("industry|PM25|Infant mortality", US_national_yearly!$D:$AM, 20, FALSE) / VLOOKUP("industry|PM25|Infant mortality", US_national_yearly!$D:$AM, 10, FALSE), 1)</f>
        <v>3.9294712247259649E-6</v>
      </c>
      <c r="M3" s="7">
        <f>$B3 * IFERROR(VLOOKUP("industry|PM25|Infant mortality", US_national_yearly!$D:$AM, 21, FALSE) / VLOOKUP("industry|PM25|Infant mortality", US_national_yearly!$D:$AM, 10, FALSE), 1)</f>
        <v>3.9026013355777315E-6</v>
      </c>
      <c r="N3" s="7">
        <f>$B3 * IFERROR(VLOOKUP("industry|PM25|Infant mortality", US_national_yearly!$D:$AM, 22, FALSE) / VLOOKUP("industry|PM25|Infant mortality", US_national_yearly!$D:$AM, 10, FALSE), 1)</f>
        <v>3.8854557297346039E-6</v>
      </c>
      <c r="O3" s="7">
        <f>$B3 * IFERROR(VLOOKUP("industry|PM25|Infant mortality", US_national_yearly!$D:$AM, 23, FALSE) / VLOOKUP("industry|PM25|Infant mortality", US_national_yearly!$D:$AM, 10, FALSE), 1)</f>
        <v>3.8683101238914779E-6</v>
      </c>
      <c r="P3" s="7">
        <f>$B3 * IFERROR(VLOOKUP("industry|PM25|Infant mortality", US_national_yearly!$D:$AM, 24, FALSE) / VLOOKUP("industry|PM25|Infant mortality", US_national_yearly!$D:$AM, 10, FALSE), 1)</f>
        <v>3.8511645180483519E-6</v>
      </c>
      <c r="Q3" s="7">
        <f>$B3 * IFERROR(VLOOKUP("industry|PM25|Infant mortality", US_national_yearly!$D:$AM, 25, FALSE) / VLOOKUP("industry|PM25|Infant mortality", US_national_yearly!$D:$AM, 10, FALSE), 1)</f>
        <v>3.8340189122052251E-6</v>
      </c>
      <c r="R3" s="7">
        <f>$B3 * IFERROR(VLOOKUP("industry|PM25|Infant mortality", US_national_yearly!$D:$AM, 26, FALSE) / VLOOKUP("industry|PM25|Infant mortality", US_national_yearly!$D:$AM, 10, FALSE), 1)</f>
        <v>3.8168733063620992E-6</v>
      </c>
      <c r="S3" s="7">
        <f>$B3 * IFERROR(VLOOKUP("industry|PM25|Infant mortality", US_national_yearly!$D:$AM, 27, FALSE) / VLOOKUP("industry|PM25|Infant mortality", US_national_yearly!$D:$AM, 10, FALSE), 1)</f>
        <v>3.7957857592581424E-6</v>
      </c>
      <c r="T3" s="7">
        <f>$B3 * IFERROR(VLOOKUP("industry|PM25|Infant mortality", US_national_yearly!$D:$AM, 28, FALSE) / VLOOKUP("industry|PM25|Infant mortality", US_national_yearly!$D:$AM, 10, FALSE), 1)</f>
        <v>3.7746982121541862E-6</v>
      </c>
      <c r="U3" s="7">
        <f>$B3 * IFERROR(VLOOKUP("industry|PM25|Infant mortality", US_national_yearly!$D:$AM, 29, FALSE) / VLOOKUP("industry|PM25|Infant mortality", US_national_yearly!$D:$AM, 10, FALSE), 1)</f>
        <v>3.7536106650502295E-6</v>
      </c>
      <c r="V3" s="7">
        <f>$B3 * IFERROR(VLOOKUP("industry|PM25|Infant mortality", US_national_yearly!$D:$AM, 30, FALSE) / VLOOKUP("industry|PM25|Infant mortality", US_national_yearly!$D:$AM, 10, FALSE), 1)</f>
        <v>3.7325231179462736E-6</v>
      </c>
      <c r="W3" s="7">
        <f>$B3 * IFERROR(VLOOKUP("industry|PM25|Infant mortality", US_national_yearly!$D:$AM, 31, FALSE) / VLOOKUP("industry|PM25|Infant mortality", US_national_yearly!$D:$AM, 10, FALSE), 1)</f>
        <v>3.7114355708423173E-6</v>
      </c>
      <c r="X3" s="7">
        <f>$B3 * IFERROR(VLOOKUP("industry|PM25|Infant mortality", US_national_yearly!$D:$AM, 32, FALSE) / VLOOKUP("industry|PM25|Infant mortality", US_national_yearly!$D:$AM, 10, FALSE), 1)</f>
        <v>3.6889008844188881E-6</v>
      </c>
      <c r="Y3" s="7">
        <f>$B3 * IFERROR(VLOOKUP("industry|PM25|Infant mortality", US_national_yearly!$D:$AM, 33, FALSE) / VLOOKUP("industry|PM25|Infant mortality", US_national_yearly!$D:$AM, 10, FALSE), 1)</f>
        <v>3.6663661979954584E-6</v>
      </c>
      <c r="Z3" s="7">
        <f>$B3 * IFERROR(VLOOKUP("industry|PM25|Infant mortality", US_national_yearly!$D:$AM, 34, FALSE) / VLOOKUP("industry|PM25|Infant mortality", US_national_yearly!$D:$AM, 10, FALSE), 1)</f>
        <v>3.6438315115720291E-6</v>
      </c>
      <c r="AA3" s="7">
        <f>$B3 * IFERROR(VLOOKUP("industry|PM25|Infant mortality", US_national_yearly!$D:$AM, 35, FALSE) / VLOOKUP("industry|PM25|Infant mortality", US_national_yearly!$D:$AM, 10, FALSE), 1)</f>
        <v>3.6212968251485994E-6</v>
      </c>
      <c r="AB3" s="7">
        <f>$B3 * IFERROR(VLOOKUP("industry|PM25|Infant mortality", US_national_yearly!$D:$AM, 36, FALSE) / VLOOKUP("industry|PM25|Infant mortality", US_national_yearly!$D:$AM, 10, FALSE), 1)</f>
        <v>3.5987621387251702E-6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1.2779349153903607E-2</v>
      </c>
      <c r="C6" s="7">
        <f>$B6 * IFERROR(VLOOKUP("industry|PM25|Asthma symptoms cough", US_national_yearly!$D:$AM, 11, FALSE) / VLOOKUP("industry|PM25|Asthma symptoms cough", US_national_yearly!$D:$AM, 10, FALSE), 1)</f>
        <v>1.2779349153903607E-2</v>
      </c>
      <c r="D6" s="7">
        <f>$B6 * IFERROR(VLOOKUP("industry|PM25|Asthma symptoms cough", US_national_yearly!$D:$AM, 12, FALSE) / VLOOKUP("industry|PM25|Asthma symptoms cough", US_national_yearly!$D:$AM, 10, FALSE), 1)</f>
        <v>1.2779349153903607E-2</v>
      </c>
      <c r="E6" s="7">
        <f>$B6 * IFERROR(VLOOKUP("industry|PM25|Asthma symptoms cough", US_national_yearly!$D:$AM, 13, FALSE) / VLOOKUP("industry|PM25|Asthma symptoms cough", US_national_yearly!$D:$AM, 10, FALSE), 1)</f>
        <v>1.2779349153903607E-2</v>
      </c>
      <c r="F6" s="7">
        <f>$B6 * IFERROR(VLOOKUP("industry|PM25|Asthma symptoms cough", US_national_yearly!$D:$AM, 14, FALSE) / VLOOKUP("industry|PM25|Asthma symptoms cough", US_national_yearly!$D:$AM, 10, FALSE), 1)</f>
        <v>1.2779349153903607E-2</v>
      </c>
      <c r="G6" s="7">
        <f>$B6 * IFERROR(VLOOKUP("industry|PM25|Asthma symptoms cough", US_national_yearly!$D:$AM, 15, FALSE) / VLOOKUP("industry|PM25|Asthma symptoms cough", US_national_yearly!$D:$AM, 10, FALSE), 1)</f>
        <v>1.2779349153903607E-2</v>
      </c>
      <c r="H6" s="7">
        <f>$B6 * IFERROR(VLOOKUP("industry|PM25|Asthma symptoms cough", US_national_yearly!$D:$AM, 16, FALSE) / VLOOKUP("industry|PM25|Asthma symptoms cough", US_national_yearly!$D:$AM, 10, FALSE), 1)</f>
        <v>1.2779349153903607E-2</v>
      </c>
      <c r="I6" s="7">
        <f>$B6 * IFERROR(VLOOKUP("industry|PM25|Asthma symptoms cough", US_national_yearly!$D:$AM, 17, FALSE) / VLOOKUP("industry|PM25|Asthma symptoms cough", US_national_yearly!$D:$AM, 10, FALSE), 1)</f>
        <v>1.2779349153903607E-2</v>
      </c>
      <c r="J6" s="7">
        <f>$B6 * IFERROR(VLOOKUP("industry|PM25|Asthma symptoms cough", US_national_yearly!$D:$AM, 18, FALSE) / VLOOKUP("industry|PM25|Asthma symptoms cough", US_national_yearly!$D:$AM, 10, FALSE), 1)</f>
        <v>1.2779349153903607E-2</v>
      </c>
      <c r="K6" s="7">
        <f>$B6 * IFERROR(VLOOKUP("industry|PM25|Asthma symptoms cough", US_national_yearly!$D:$AM, 19, FALSE) / VLOOKUP("industry|PM25|Asthma symptoms cough", US_national_yearly!$D:$AM, 10, FALSE), 1)</f>
        <v>1.2779349153903607E-2</v>
      </c>
      <c r="L6" s="7">
        <f>$B6 * IFERROR(VLOOKUP("industry|PM25|Asthma symptoms cough", US_national_yearly!$D:$AM, 20, FALSE) / VLOOKUP("industry|PM25|Asthma symptoms cough", US_national_yearly!$D:$AM, 10, FALSE), 1)</f>
        <v>1.2779349153903607E-2</v>
      </c>
      <c r="M6" s="7">
        <f>$B6 * IFERROR(VLOOKUP("industry|PM25|Asthma symptoms cough", US_national_yearly!$D:$AM, 21, FALSE) / VLOOKUP("industry|PM25|Asthma symptoms cough", US_national_yearly!$D:$AM, 10, FALSE), 1)</f>
        <v>1.2779349153903607E-2</v>
      </c>
      <c r="N6" s="7">
        <f>$B6 * IFERROR(VLOOKUP("industry|PM25|Asthma symptoms cough", US_national_yearly!$D:$AM, 22, FALSE) / VLOOKUP("industry|PM25|Asthma symptoms cough", US_national_yearly!$D:$AM, 10, FALSE), 1)</f>
        <v>1.2779349153903607E-2</v>
      </c>
      <c r="O6" s="7">
        <f>$B6 * IFERROR(VLOOKUP("industry|PM25|Asthma symptoms cough", US_national_yearly!$D:$AM, 23, FALSE) / VLOOKUP("industry|PM25|Asthma symptoms cough", US_national_yearly!$D:$AM, 10, FALSE), 1)</f>
        <v>1.2779349153903607E-2</v>
      </c>
      <c r="P6" s="7">
        <f>$B6 * IFERROR(VLOOKUP("industry|PM25|Asthma symptoms cough", US_national_yearly!$D:$AM, 24, FALSE) / VLOOKUP("industry|PM25|Asthma symptoms cough", US_national_yearly!$D:$AM, 10, FALSE), 1)</f>
        <v>1.2779349153903607E-2</v>
      </c>
      <c r="Q6" s="7">
        <f>$B6 * IFERROR(VLOOKUP("industry|PM25|Asthma symptoms cough", US_national_yearly!$D:$AM, 25, FALSE) / VLOOKUP("industry|PM25|Asthma symptoms cough", US_national_yearly!$D:$AM, 10, FALSE), 1)</f>
        <v>1.2779349153903607E-2</v>
      </c>
      <c r="R6" s="7">
        <f>$B6 * IFERROR(VLOOKUP("industry|PM25|Asthma symptoms cough", US_national_yearly!$D:$AM, 26, FALSE) / VLOOKUP("industry|PM25|Asthma symptoms cough", US_national_yearly!$D:$AM, 10, FALSE), 1)</f>
        <v>1.2779349153903607E-2</v>
      </c>
      <c r="S6" s="7">
        <f>$B6 * IFERROR(VLOOKUP("industry|PM25|Asthma symptoms cough", US_national_yearly!$D:$AM, 27, FALSE) / VLOOKUP("industry|PM25|Asthma symptoms cough", US_national_yearly!$D:$AM, 10, FALSE), 1)</f>
        <v>1.2779349153903607E-2</v>
      </c>
      <c r="T6" s="7">
        <f>$B6 * IFERROR(VLOOKUP("industry|PM25|Asthma symptoms cough", US_national_yearly!$D:$AM, 28, FALSE) / VLOOKUP("industry|PM25|Asthma symptoms cough", US_national_yearly!$D:$AM, 10, FALSE), 1)</f>
        <v>1.2779349153903607E-2</v>
      </c>
      <c r="U6" s="7">
        <f>$B6 * IFERROR(VLOOKUP("industry|PM25|Asthma symptoms cough", US_national_yearly!$D:$AM, 29, FALSE) / VLOOKUP("industry|PM25|Asthma symptoms cough", US_national_yearly!$D:$AM, 10, FALSE), 1)</f>
        <v>1.2779349153903607E-2</v>
      </c>
      <c r="V6" s="7">
        <f>$B6 * IFERROR(VLOOKUP("industry|PM25|Asthma symptoms cough", US_national_yearly!$D:$AM, 30, FALSE) / VLOOKUP("industry|PM25|Asthma symptoms cough", US_national_yearly!$D:$AM, 10, FALSE), 1)</f>
        <v>1.2779349153903607E-2</v>
      </c>
      <c r="W6" s="7">
        <f>$B6 * IFERROR(VLOOKUP("industry|PM25|Asthma symptoms cough", US_national_yearly!$D:$AM, 31, FALSE) / VLOOKUP("industry|PM25|Asthma symptoms cough", US_national_yearly!$D:$AM, 10, FALSE), 1)</f>
        <v>1.2779349153903607E-2</v>
      </c>
      <c r="X6" s="7">
        <f>$B6 * IFERROR(VLOOKUP("industry|PM25|Asthma symptoms cough", US_national_yearly!$D:$AM, 32, FALSE) / VLOOKUP("industry|PM25|Asthma symptoms cough", US_national_yearly!$D:$AM, 10, FALSE), 1)</f>
        <v>1.2779349153903607E-2</v>
      </c>
      <c r="Y6" s="7">
        <f>$B6 * IFERROR(VLOOKUP("industry|PM25|Asthma symptoms cough", US_national_yearly!$D:$AM, 33, FALSE) / VLOOKUP("industry|PM25|Asthma symptoms cough", US_national_yearly!$D:$AM, 10, FALSE), 1)</f>
        <v>1.2779349153903607E-2</v>
      </c>
      <c r="Z6" s="7">
        <f>$B6 * IFERROR(VLOOKUP("industry|PM25|Asthma symptoms cough", US_national_yearly!$D:$AM, 34, FALSE) / VLOOKUP("industry|PM25|Asthma symptoms cough", US_national_yearly!$D:$AM, 10, FALSE), 1)</f>
        <v>1.2779349153903607E-2</v>
      </c>
      <c r="AA6" s="7">
        <f>$B6 * IFERROR(VLOOKUP("industry|PM25|Asthma symptoms cough", US_national_yearly!$D:$AM, 35, FALSE) / VLOOKUP("industry|PM25|Asthma symptoms cough", US_national_yearly!$D:$AM, 10, FALSE), 1)</f>
        <v>1.2779349153903607E-2</v>
      </c>
      <c r="AB6" s="7">
        <f>$B6 * IFERROR(VLOOKUP("industry|PM25|Asthma symptoms cough", US_national_yearly!$D:$AM, 36, FALSE) / VLOOKUP("industry|PM25|Asthma symptoms cough", US_national_yearly!$D:$AM, 10, FALSE), 1)</f>
        <v>1.2779349153903607E-2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1.720884346203308E-2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1.720884346203308E-2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1.720884346203308E-2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1.720884346203308E-2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1.720884346203308E-2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1.720884346203308E-2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1.720884346203308E-2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1.720884346203308E-2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1.720884346203308E-2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1.720884346203308E-2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1.720884346203308E-2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1.720884346203308E-2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1.720884346203308E-2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1.720884346203308E-2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1.720884346203308E-2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1.720884346203308E-2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1.720884346203308E-2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1.720884346203308E-2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1.720884346203308E-2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1.720884346203308E-2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1.720884346203308E-2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1.720884346203308E-2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1.720884346203308E-2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1.720884346203308E-2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1.720884346203308E-2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1.720884346203308E-2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1.720884346203308E-2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2.6293638786213921E-2</v>
      </c>
      <c r="C8" s="7">
        <f>$B8 * IFERROR(VLOOKUP("industry|PM25|Asthma symptoms wheeze", US_national_yearly!$D:$AM, 11, FALSE) / VLOOKUP("industry|PM25|Asthma symptoms wheeze", US_national_yearly!$D:$AM, 10, FALSE), 1)</f>
        <v>2.6293638786213921E-2</v>
      </c>
      <c r="D8" s="7">
        <f>$B8 * IFERROR(VLOOKUP("industry|PM25|Asthma symptoms wheeze", US_national_yearly!$D:$AM, 12, FALSE) / VLOOKUP("industry|PM25|Asthma symptoms wheeze", US_national_yearly!$D:$AM, 10, FALSE), 1)</f>
        <v>2.6293638786213921E-2</v>
      </c>
      <c r="E8" s="7">
        <f>$B8 * IFERROR(VLOOKUP("industry|PM25|Asthma symptoms wheeze", US_national_yearly!$D:$AM, 13, FALSE) / VLOOKUP("industry|PM25|Asthma symptoms wheeze", US_national_yearly!$D:$AM, 10, FALSE), 1)</f>
        <v>2.6293638786213921E-2</v>
      </c>
      <c r="F8" s="7">
        <f>$B8 * IFERROR(VLOOKUP("industry|PM25|Asthma symptoms wheeze", US_national_yearly!$D:$AM, 14, FALSE) / VLOOKUP("industry|PM25|Asthma symptoms wheeze", US_national_yearly!$D:$AM, 10, FALSE), 1)</f>
        <v>2.6293638786213921E-2</v>
      </c>
      <c r="G8" s="7">
        <f>$B8 * IFERROR(VLOOKUP("industry|PM25|Asthma symptoms wheeze", US_national_yearly!$D:$AM, 15, FALSE) / VLOOKUP("industry|PM25|Asthma symptoms wheeze", US_national_yearly!$D:$AM, 10, FALSE), 1)</f>
        <v>2.6293638786213921E-2</v>
      </c>
      <c r="H8" s="7">
        <f>$B8 * IFERROR(VLOOKUP("industry|PM25|Asthma symptoms wheeze", US_national_yearly!$D:$AM, 16, FALSE) / VLOOKUP("industry|PM25|Asthma symptoms wheeze", US_national_yearly!$D:$AM, 10, FALSE), 1)</f>
        <v>2.6293638786213921E-2</v>
      </c>
      <c r="I8" s="7">
        <f>$B8 * IFERROR(VLOOKUP("industry|PM25|Asthma symptoms wheeze", US_national_yearly!$D:$AM, 17, FALSE) / VLOOKUP("industry|PM25|Asthma symptoms wheeze", US_national_yearly!$D:$AM, 10, FALSE), 1)</f>
        <v>2.6293638786213921E-2</v>
      </c>
      <c r="J8" s="7">
        <f>$B8 * IFERROR(VLOOKUP("industry|PM25|Asthma symptoms wheeze", US_national_yearly!$D:$AM, 18, FALSE) / VLOOKUP("industry|PM25|Asthma symptoms wheeze", US_national_yearly!$D:$AM, 10, FALSE), 1)</f>
        <v>2.6293638786213921E-2</v>
      </c>
      <c r="K8" s="7">
        <f>$B8 * IFERROR(VLOOKUP("industry|PM25|Asthma symptoms wheeze", US_national_yearly!$D:$AM, 19, FALSE) / VLOOKUP("industry|PM25|Asthma symptoms wheeze", US_national_yearly!$D:$AM, 10, FALSE), 1)</f>
        <v>2.6293638786213921E-2</v>
      </c>
      <c r="L8" s="7">
        <f>$B8 * IFERROR(VLOOKUP("industry|PM25|Asthma symptoms wheeze", US_national_yearly!$D:$AM, 20, FALSE) / VLOOKUP("industry|PM25|Asthma symptoms wheeze", US_national_yearly!$D:$AM, 10, FALSE), 1)</f>
        <v>2.6293638786213921E-2</v>
      </c>
      <c r="M8" s="7">
        <f>$B8 * IFERROR(VLOOKUP("industry|PM25|Asthma symptoms wheeze", US_national_yearly!$D:$AM, 21, FALSE) / VLOOKUP("industry|PM25|Asthma symptoms wheeze", US_national_yearly!$D:$AM, 10, FALSE), 1)</f>
        <v>2.6293638786213921E-2</v>
      </c>
      <c r="N8" s="7">
        <f>$B8 * IFERROR(VLOOKUP("industry|PM25|Asthma symptoms wheeze", US_national_yearly!$D:$AM, 22, FALSE) / VLOOKUP("industry|PM25|Asthma symptoms wheeze", US_national_yearly!$D:$AM, 10, FALSE), 1)</f>
        <v>2.6293638786213921E-2</v>
      </c>
      <c r="O8" s="7">
        <f>$B8 * IFERROR(VLOOKUP("industry|PM25|Asthma symptoms wheeze", US_national_yearly!$D:$AM, 23, FALSE) / VLOOKUP("industry|PM25|Asthma symptoms wheeze", US_national_yearly!$D:$AM, 10, FALSE), 1)</f>
        <v>2.6293638786213921E-2</v>
      </c>
      <c r="P8" s="7">
        <f>$B8 * IFERROR(VLOOKUP("industry|PM25|Asthma symptoms wheeze", US_national_yearly!$D:$AM, 24, FALSE) / VLOOKUP("industry|PM25|Asthma symptoms wheeze", US_national_yearly!$D:$AM, 10, FALSE), 1)</f>
        <v>2.6293638786213921E-2</v>
      </c>
      <c r="Q8" s="7">
        <f>$B8 * IFERROR(VLOOKUP("industry|PM25|Asthma symptoms wheeze", US_national_yearly!$D:$AM, 25, FALSE) / VLOOKUP("industry|PM25|Asthma symptoms wheeze", US_national_yearly!$D:$AM, 10, FALSE), 1)</f>
        <v>2.6293638786213921E-2</v>
      </c>
      <c r="R8" s="7">
        <f>$B8 * IFERROR(VLOOKUP("industry|PM25|Asthma symptoms wheeze", US_national_yearly!$D:$AM, 26, FALSE) / VLOOKUP("industry|PM25|Asthma symptoms wheeze", US_national_yearly!$D:$AM, 10, FALSE), 1)</f>
        <v>2.6293638786213921E-2</v>
      </c>
      <c r="S8" s="7">
        <f>$B8 * IFERROR(VLOOKUP("industry|PM25|Asthma symptoms wheeze", US_national_yearly!$D:$AM, 27, FALSE) / VLOOKUP("industry|PM25|Asthma symptoms wheeze", US_national_yearly!$D:$AM, 10, FALSE), 1)</f>
        <v>2.6293638786213921E-2</v>
      </c>
      <c r="T8" s="7">
        <f>$B8 * IFERROR(VLOOKUP("industry|PM25|Asthma symptoms wheeze", US_national_yearly!$D:$AM, 28, FALSE) / VLOOKUP("industry|PM25|Asthma symptoms wheeze", US_national_yearly!$D:$AM, 10, FALSE), 1)</f>
        <v>2.6293638786213921E-2</v>
      </c>
      <c r="U8" s="7">
        <f>$B8 * IFERROR(VLOOKUP("industry|PM25|Asthma symptoms wheeze", US_national_yearly!$D:$AM, 29, FALSE) / VLOOKUP("industry|PM25|Asthma symptoms wheeze", US_national_yearly!$D:$AM, 10, FALSE), 1)</f>
        <v>2.6293638786213921E-2</v>
      </c>
      <c r="V8" s="7">
        <f>$B8 * IFERROR(VLOOKUP("industry|PM25|Asthma symptoms wheeze", US_national_yearly!$D:$AM, 30, FALSE) / VLOOKUP("industry|PM25|Asthma symptoms wheeze", US_national_yearly!$D:$AM, 10, FALSE), 1)</f>
        <v>2.6293638786213921E-2</v>
      </c>
      <c r="W8" s="7">
        <f>$B8 * IFERROR(VLOOKUP("industry|PM25|Asthma symptoms wheeze", US_national_yearly!$D:$AM, 31, FALSE) / VLOOKUP("industry|PM25|Asthma symptoms wheeze", US_national_yearly!$D:$AM, 10, FALSE), 1)</f>
        <v>2.6293638786213921E-2</v>
      </c>
      <c r="X8" s="7">
        <f>$B8 * IFERROR(VLOOKUP("industry|PM25|Asthma symptoms wheeze", US_national_yearly!$D:$AM, 32, FALSE) / VLOOKUP("industry|PM25|Asthma symptoms wheeze", US_national_yearly!$D:$AM, 10, FALSE), 1)</f>
        <v>2.6293638786213921E-2</v>
      </c>
      <c r="Y8" s="7">
        <f>$B8 * IFERROR(VLOOKUP("industry|PM25|Asthma symptoms wheeze", US_national_yearly!$D:$AM, 33, FALSE) / VLOOKUP("industry|PM25|Asthma symptoms wheeze", US_national_yearly!$D:$AM, 10, FALSE), 1)</f>
        <v>2.6293638786213921E-2</v>
      </c>
      <c r="Z8" s="7">
        <f>$B8 * IFERROR(VLOOKUP("industry|PM25|Asthma symptoms wheeze", US_national_yearly!$D:$AM, 34, FALSE) / VLOOKUP("industry|PM25|Asthma symptoms wheeze", US_national_yearly!$D:$AM, 10, FALSE), 1)</f>
        <v>2.6293638786213921E-2</v>
      </c>
      <c r="AA8" s="7">
        <f>$B8 * IFERROR(VLOOKUP("industry|PM25|Asthma symptoms wheeze", US_national_yearly!$D:$AM, 35, FALSE) / VLOOKUP("industry|PM25|Asthma symptoms wheeze", US_national_yearly!$D:$AM, 10, FALSE), 1)</f>
        <v>2.6293638786213921E-2</v>
      </c>
      <c r="AB8" s="7">
        <f>$B8 * IFERROR(VLOOKUP("industry|PM25|Asthma symptoms wheeze", US_national_yearly!$D:$AM, 36, FALSE) / VLOOKUP("industry|PM25|Asthma symptoms wheeze", US_national_yearly!$D:$AM, 10, FALSE), 1)</f>
        <v>2.6293638786213921E-2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7.805223019907465E-4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7.8495376704723911E-4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7.8938523210373172E-4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7.9381669716022433E-4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7.9824816221671716E-4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8.0303941181354254E-4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8.0783066141036804E-4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8.1237576442305985E-4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8.1692086743575165E-4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8.2146597044844335E-4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8.2601107346113515E-4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8.3055617647382685E-4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8.337708005155492E-4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8.3698542455727144E-4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8.4020004859899379E-4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8.4341467264071593E-4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8.4662929668243828E-4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8.4966125549102887E-4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8.5269321429961935E-4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8.5572517310821006E-4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8.5875713191680065E-4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8.6178909072539135E-4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8.6470842625296245E-4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8.6762776178053367E-4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8.7054709730810499E-4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8.7346643283567641E-4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8.7638576836324752E-4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6.3603025119146478E-3</v>
      </c>
      <c r="C13" s="7">
        <f>$B13 * IFERROR(VLOOKUP("industry|PM25|Non-fatal heart attacks", US_national_yearly!$D:$AM, 11, FALSE) / VLOOKUP("industry|PM25|Non-fatal heart attacks", US_national_yearly!$D:$AM, 10, FALSE), 1)</f>
        <v>6.5454525857454055E-3</v>
      </c>
      <c r="D13" s="7">
        <f>$B13 * IFERROR(VLOOKUP("industry|PM25|Non-fatal heart attacks", US_national_yearly!$D:$AM, 12, FALSE) / VLOOKUP("industry|PM25|Non-fatal heart attacks", US_national_yearly!$D:$AM, 10, FALSE), 1)</f>
        <v>6.7306026595761624E-3</v>
      </c>
      <c r="E13" s="7">
        <f>$B13 * IFERROR(VLOOKUP("industry|PM25|Non-fatal heart attacks", US_national_yearly!$D:$AM, 13, FALSE) / VLOOKUP("industry|PM25|Non-fatal heart attacks", US_national_yearly!$D:$AM, 10, FALSE), 1)</f>
        <v>6.9157527334069201E-3</v>
      </c>
      <c r="F13" s="7">
        <f>$B13 * IFERROR(VLOOKUP("industry|PM25|Non-fatal heart attacks", US_national_yearly!$D:$AM, 14, FALSE) / VLOOKUP("industry|PM25|Non-fatal heart attacks", US_national_yearly!$D:$AM, 10, FALSE), 1)</f>
        <v>7.1009028072376778E-3</v>
      </c>
      <c r="G13" s="7">
        <f>$B13 * IFERROR(VLOOKUP("industry|PM25|Non-fatal heart attacks", US_national_yearly!$D:$AM, 15, FALSE) / VLOOKUP("industry|PM25|Non-fatal heart attacks", US_national_yearly!$D:$AM, 10, FALSE), 1)</f>
        <v>7.2756974954333231E-3</v>
      </c>
      <c r="H13" s="7">
        <f>$B13 * IFERROR(VLOOKUP("industry|PM25|Non-fatal heart attacks", US_national_yearly!$D:$AM, 16, FALSE) / VLOOKUP("industry|PM25|Non-fatal heart attacks", US_national_yearly!$D:$AM, 10, FALSE), 1)</f>
        <v>7.4504921836289701E-3</v>
      </c>
      <c r="I13" s="7">
        <f>$B13 * IFERROR(VLOOKUP("industry|PM25|Non-fatal heart attacks", US_national_yearly!$D:$AM, 17, FALSE) / VLOOKUP("industry|PM25|Non-fatal heart attacks", US_national_yearly!$D:$AM, 10, FALSE), 1)</f>
        <v>7.5916405086165146E-3</v>
      </c>
      <c r="J13" s="7">
        <f>$B13 * IFERROR(VLOOKUP("industry|PM25|Non-fatal heart attacks", US_national_yearly!$D:$AM, 18, FALSE) / VLOOKUP("industry|PM25|Non-fatal heart attacks", US_national_yearly!$D:$AM, 10, FALSE), 1)</f>
        <v>7.7327888336040582E-3</v>
      </c>
      <c r="K13" s="7">
        <f>$B13 * IFERROR(VLOOKUP("industry|PM25|Non-fatal heart attacks", US_national_yearly!$D:$AM, 19, FALSE) / VLOOKUP("industry|PM25|Non-fatal heart attacks", US_national_yearly!$D:$AM, 10, FALSE), 1)</f>
        <v>7.8739371585916009E-3</v>
      </c>
      <c r="L13" s="7">
        <f>$B13 * IFERROR(VLOOKUP("industry|PM25|Non-fatal heart attacks", US_national_yearly!$D:$AM, 20, FALSE) / VLOOKUP("industry|PM25|Non-fatal heart attacks", US_national_yearly!$D:$AM, 10, FALSE), 1)</f>
        <v>8.0150854835791437E-3</v>
      </c>
      <c r="M13" s="7">
        <f>$B13 * IFERROR(VLOOKUP("industry|PM25|Non-fatal heart attacks", US_national_yearly!$D:$AM, 21, FALSE) / VLOOKUP("industry|PM25|Non-fatal heart attacks", US_national_yearly!$D:$AM, 10, FALSE), 1)</f>
        <v>8.1562338085666881E-3</v>
      </c>
      <c r="N13" s="7">
        <f>$B13 * IFERROR(VLOOKUP("industry|PM25|Non-fatal heart attacks", US_national_yearly!$D:$AM, 22, FALSE) / VLOOKUP("industry|PM25|Non-fatal heart attacks", US_national_yearly!$D:$AM, 10, FALSE), 1)</f>
        <v>8.2474940613520616E-3</v>
      </c>
      <c r="O13" s="7">
        <f>$B13 * IFERROR(VLOOKUP("industry|PM25|Non-fatal heart attacks", US_national_yearly!$D:$AM, 23, FALSE) / VLOOKUP("industry|PM25|Non-fatal heart attacks", US_national_yearly!$D:$AM, 10, FALSE), 1)</f>
        <v>8.3387543141374369E-3</v>
      </c>
      <c r="P13" s="7">
        <f>$B13 * IFERROR(VLOOKUP("industry|PM25|Non-fatal heart attacks", US_national_yearly!$D:$AM, 24, FALSE) / VLOOKUP("industry|PM25|Non-fatal heart attacks", US_national_yearly!$D:$AM, 10, FALSE), 1)</f>
        <v>8.4300145669228103E-3</v>
      </c>
      <c r="Q13" s="7">
        <f>$B13 * IFERROR(VLOOKUP("industry|PM25|Non-fatal heart attacks", US_national_yearly!$D:$AM, 25, FALSE) / VLOOKUP("industry|PM25|Non-fatal heart attacks", US_national_yearly!$D:$AM, 10, FALSE), 1)</f>
        <v>8.5212748197081838E-3</v>
      </c>
      <c r="R13" s="7">
        <f>$B13 * IFERROR(VLOOKUP("industry|PM25|Non-fatal heart attacks", US_national_yearly!$D:$AM, 26, FALSE) / VLOOKUP("industry|PM25|Non-fatal heart attacks", US_national_yearly!$D:$AM, 10, FALSE), 1)</f>
        <v>8.6125350724935573E-3</v>
      </c>
      <c r="S13" s="7">
        <f>$B13 * IFERROR(VLOOKUP("industry|PM25|Non-fatal heart attacks", US_national_yearly!$D:$AM, 27, FALSE) / VLOOKUP("industry|PM25|Non-fatal heart attacks", US_national_yearly!$D:$AM, 10, FALSE), 1)</f>
        <v>8.6612775193505766E-3</v>
      </c>
      <c r="T13" s="7">
        <f>$B13 * IFERROR(VLOOKUP("industry|PM25|Non-fatal heart attacks", US_national_yearly!$D:$AM, 28, FALSE) / VLOOKUP("industry|PM25|Non-fatal heart attacks", US_national_yearly!$D:$AM, 10, FALSE), 1)</f>
        <v>8.7100199662075977E-3</v>
      </c>
      <c r="U13" s="7">
        <f>$B13 * IFERROR(VLOOKUP("industry|PM25|Non-fatal heart attacks", US_national_yearly!$D:$AM, 29, FALSE) / VLOOKUP("industry|PM25|Non-fatal heart attacks", US_national_yearly!$D:$AM, 10, FALSE), 1)</f>
        <v>8.7587624130646188E-3</v>
      </c>
      <c r="V13" s="7">
        <f>$B13 * IFERROR(VLOOKUP("industry|PM25|Non-fatal heart attacks", US_national_yearly!$D:$AM, 30, FALSE) / VLOOKUP("industry|PM25|Non-fatal heart attacks", US_national_yearly!$D:$AM, 10, FALSE), 1)</f>
        <v>8.8075048599216364E-3</v>
      </c>
      <c r="W13" s="7">
        <f>$B13 * IFERROR(VLOOKUP("industry|PM25|Non-fatal heart attacks", US_national_yearly!$D:$AM, 31, FALSE) / VLOOKUP("industry|PM25|Non-fatal heart attacks", US_national_yearly!$D:$AM, 10, FALSE), 1)</f>
        <v>8.8562473067786574E-3</v>
      </c>
      <c r="X13" s="7">
        <f>$B13 * IFERROR(VLOOKUP("industry|PM25|Non-fatal heart attacks", US_national_yearly!$D:$AM, 32, FALSE) / VLOOKUP("industry|PM25|Non-fatal heart attacks", US_national_yearly!$D:$AM, 10, FALSE), 1)</f>
        <v>8.8938664127186963E-3</v>
      </c>
      <c r="Y13" s="7">
        <f>$B13 * IFERROR(VLOOKUP("industry|PM25|Non-fatal heart attacks", US_national_yearly!$D:$AM, 33, FALSE) / VLOOKUP("industry|PM25|Non-fatal heart attacks", US_national_yearly!$D:$AM, 10, FALSE), 1)</f>
        <v>8.9314855186587317E-3</v>
      </c>
      <c r="Z13" s="7">
        <f>$B13 * IFERROR(VLOOKUP("industry|PM25|Non-fatal heart attacks", US_national_yearly!$D:$AM, 34, FALSE) / VLOOKUP("industry|PM25|Non-fatal heart attacks", US_national_yearly!$D:$AM, 10, FALSE), 1)</f>
        <v>8.9691046245987706E-3</v>
      </c>
      <c r="AA13" s="7">
        <f>$B13 * IFERROR(VLOOKUP("industry|PM25|Non-fatal heart attacks", US_national_yearly!$D:$AM, 35, FALSE) / VLOOKUP("industry|PM25|Non-fatal heart attacks", US_national_yearly!$D:$AM, 10, FALSE), 1)</f>
        <v>9.0067237305388077E-3</v>
      </c>
      <c r="AB13" s="7">
        <f>$B13 * IFERROR(VLOOKUP("industry|PM25|Non-fatal heart attacks", US_national_yearly!$D:$AM, 36, FALSE) / VLOOKUP("industry|PM25|Non-fatal heart attacks", US_national_yearly!$D:$AM, 10, FALSE), 1)</f>
        <v>9.0443428364788449E-3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1.7766431027332508</v>
      </c>
      <c r="C14" s="7">
        <f>$B14 * IFERROR(VLOOKUP("industry|PM25|Minor restricted activity days", US_national_yearly!$D:$AM, 11, FALSE) / VLOOKUP("industry|PM25|Minor restricted activity days", US_national_yearly!$D:$AM, 10, FALSE), 1)</f>
        <v>1.7809943961807126</v>
      </c>
      <c r="D14" s="7">
        <f>$B14 * IFERROR(VLOOKUP("industry|PM25|Minor restricted activity days", US_national_yearly!$D:$AM, 12, FALSE) / VLOOKUP("industry|PM25|Minor restricted activity days", US_national_yearly!$D:$AM, 10, FALSE), 1)</f>
        <v>1.7853456896281752</v>
      </c>
      <c r="E14" s="7">
        <f>$B14 * IFERROR(VLOOKUP("industry|PM25|Minor restricted activity days", US_national_yearly!$D:$AM, 13, FALSE) / VLOOKUP("industry|PM25|Minor restricted activity days", US_national_yearly!$D:$AM, 10, FALSE), 1)</f>
        <v>1.7896969830756371</v>
      </c>
      <c r="F14" s="7">
        <f>$B14 * IFERROR(VLOOKUP("industry|PM25|Minor restricted activity days", US_national_yearly!$D:$AM, 14, FALSE) / VLOOKUP("industry|PM25|Minor restricted activity days", US_national_yearly!$D:$AM, 10, FALSE), 1)</f>
        <v>1.7940482765230992</v>
      </c>
      <c r="G14" s="7">
        <f>$B14 * IFERROR(VLOOKUP("industry|PM25|Minor restricted activity days", US_national_yearly!$D:$AM, 15, FALSE) / VLOOKUP("industry|PM25|Minor restricted activity days", US_national_yearly!$D:$AM, 10, FALSE), 1)</f>
        <v>1.8004352680940416</v>
      </c>
      <c r="H14" s="7">
        <f>$B14 * IFERROR(VLOOKUP("industry|PM25|Minor restricted activity days", US_national_yearly!$D:$AM, 16, FALSE) / VLOOKUP("industry|PM25|Minor restricted activity days", US_national_yearly!$D:$AM, 10, FALSE), 1)</f>
        <v>1.8068222596649837</v>
      </c>
      <c r="I14" s="7">
        <f>$B14 * IFERROR(VLOOKUP("industry|PM25|Minor restricted activity days", US_national_yearly!$D:$AM, 17, FALSE) / VLOOKUP("industry|PM25|Minor restricted activity days", US_national_yearly!$D:$AM, 10, FALSE), 1)</f>
        <v>1.8176721160734011</v>
      </c>
      <c r="J14" s="7">
        <f>$B14 * IFERROR(VLOOKUP("industry|PM25|Minor restricted activity days", US_national_yearly!$D:$AM, 18, FALSE) / VLOOKUP("industry|PM25|Minor restricted activity days", US_national_yearly!$D:$AM, 10, FALSE), 1)</f>
        <v>1.8285219724818187</v>
      </c>
      <c r="K14" s="7">
        <f>$B14 * IFERROR(VLOOKUP("industry|PM25|Minor restricted activity days", US_national_yearly!$D:$AM, 19, FALSE) / VLOOKUP("industry|PM25|Minor restricted activity days", US_national_yearly!$D:$AM, 10, FALSE), 1)</f>
        <v>1.8393718288902354</v>
      </c>
      <c r="L14" s="7">
        <f>$B14 * IFERROR(VLOOKUP("industry|PM25|Minor restricted activity days", US_national_yearly!$D:$AM, 20, FALSE) / VLOOKUP("industry|PM25|Minor restricted activity days", US_national_yearly!$D:$AM, 10, FALSE), 1)</f>
        <v>1.8502216852986528</v>
      </c>
      <c r="M14" s="7">
        <f>$B14 * IFERROR(VLOOKUP("industry|PM25|Minor restricted activity days", US_national_yearly!$D:$AM, 21, FALSE) / VLOOKUP("industry|PM25|Minor restricted activity days", US_national_yearly!$D:$AM, 10, FALSE), 1)</f>
        <v>1.86107154170707</v>
      </c>
      <c r="N14" s="7">
        <f>$B14 * IFERROR(VLOOKUP("industry|PM25|Minor restricted activity days", US_national_yearly!$D:$AM, 22, FALSE) / VLOOKUP("industry|PM25|Minor restricted activity days", US_national_yearly!$D:$AM, 10, FALSE), 1)</f>
        <v>1.8758935168858819</v>
      </c>
      <c r="O14" s="7">
        <f>$B14 * IFERROR(VLOOKUP("industry|PM25|Minor restricted activity days", US_national_yearly!$D:$AM, 23, FALSE) / VLOOKUP("industry|PM25|Minor restricted activity days", US_national_yearly!$D:$AM, 10, FALSE), 1)</f>
        <v>1.8907154920646954</v>
      </c>
      <c r="P14" s="7">
        <f>$B14 * IFERROR(VLOOKUP("industry|PM25|Minor restricted activity days", US_national_yearly!$D:$AM, 24, FALSE) / VLOOKUP("industry|PM25|Minor restricted activity days", US_national_yearly!$D:$AM, 10, FALSE), 1)</f>
        <v>1.9055374672435073</v>
      </c>
      <c r="Q14" s="7">
        <f>$B14 * IFERROR(VLOOKUP("industry|PM25|Minor restricted activity days", US_national_yearly!$D:$AM, 25, FALSE) / VLOOKUP("industry|PM25|Minor restricted activity days", US_national_yearly!$D:$AM, 10, FALSE), 1)</f>
        <v>1.9203594424223212</v>
      </c>
      <c r="R14" s="7">
        <f>$B14 * IFERROR(VLOOKUP("industry|PM25|Minor restricted activity days", US_national_yearly!$D:$AM, 26, FALSE) / VLOOKUP("industry|PM25|Minor restricted activity days", US_national_yearly!$D:$AM, 10, FALSE), 1)</f>
        <v>1.9351814176011333</v>
      </c>
      <c r="S14" s="7">
        <f>$B14 * IFERROR(VLOOKUP("industry|PM25|Minor restricted activity days", US_national_yearly!$D:$AM, 27, FALSE) / VLOOKUP("industry|PM25|Minor restricted activity days", US_national_yearly!$D:$AM, 10, FALSE), 1)</f>
        <v>1.9501456895384921</v>
      </c>
      <c r="T14" s="7">
        <f>$B14 * IFERROR(VLOOKUP("industry|PM25|Minor restricted activity days", US_national_yearly!$D:$AM, 28, FALSE) / VLOOKUP("industry|PM25|Minor restricted activity days", US_national_yearly!$D:$AM, 10, FALSE), 1)</f>
        <v>1.9651099614758516</v>
      </c>
      <c r="U14" s="7">
        <f>$B14 * IFERROR(VLOOKUP("industry|PM25|Minor restricted activity days", US_national_yearly!$D:$AM, 29, FALSE) / VLOOKUP("industry|PM25|Minor restricted activity days", US_national_yearly!$D:$AM, 10, FALSE), 1)</f>
        <v>1.9800742334132106</v>
      </c>
      <c r="V14" s="7">
        <f>$B14 * IFERROR(VLOOKUP("industry|PM25|Minor restricted activity days", US_national_yearly!$D:$AM, 30, FALSE) / VLOOKUP("industry|PM25|Minor restricted activity days", US_national_yearly!$D:$AM, 10, FALSE), 1)</f>
        <v>1.9950385053505697</v>
      </c>
      <c r="W14" s="7">
        <f>$B14 * IFERROR(VLOOKUP("industry|PM25|Minor restricted activity days", US_national_yearly!$D:$AM, 31, FALSE) / VLOOKUP("industry|PM25|Minor restricted activity days", US_national_yearly!$D:$AM, 10, FALSE), 1)</f>
        <v>2.0100027772879292</v>
      </c>
      <c r="X14" s="7">
        <f>$B14 * IFERROR(VLOOKUP("industry|PM25|Minor restricted activity days", US_national_yearly!$D:$AM, 32, FALSE) / VLOOKUP("industry|PM25|Minor restricted activity days", US_national_yearly!$D:$AM, 10, FALSE), 1)</f>
        <v>2.0230061815652736</v>
      </c>
      <c r="Y14" s="7">
        <f>$B14 * IFERROR(VLOOKUP("industry|PM25|Minor restricted activity days", US_national_yearly!$D:$AM, 33, FALSE) / VLOOKUP("industry|PM25|Minor restricted activity days", US_national_yearly!$D:$AM, 10, FALSE), 1)</f>
        <v>2.0360095858426188</v>
      </c>
      <c r="Z14" s="7">
        <f>$B14 * IFERROR(VLOOKUP("industry|PM25|Minor restricted activity days", US_national_yearly!$D:$AM, 34, FALSE) / VLOOKUP("industry|PM25|Minor restricted activity days", US_national_yearly!$D:$AM, 10, FALSE), 1)</f>
        <v>2.0490129901199636</v>
      </c>
      <c r="AA14" s="7">
        <f>$B14 * IFERROR(VLOOKUP("industry|PM25|Minor restricted activity days", US_national_yearly!$D:$AM, 35, FALSE) / VLOOKUP("industry|PM25|Minor restricted activity days", US_national_yearly!$D:$AM, 10, FALSE), 1)</f>
        <v>2.0620163943973089</v>
      </c>
      <c r="AB14" s="7">
        <f>$B14 * IFERROR(VLOOKUP("industry|PM25|Minor restricted activity days", US_national_yearly!$D:$AM, 36, FALSE) / VLOOKUP("industry|PM25|Minor restricted activity days", US_national_yearly!$D:$AM, 10, FALSE), 1)</f>
        <v>2.0750197986746541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0.29629870770155847</v>
      </c>
      <c r="C15" s="7">
        <f>$B15 * IFERROR(VLOOKUP("industry|PM25|Work loss days", US_national_yearly!$D:$AM, 11, FALSE) / VLOOKUP("industry|PM25|Work loss days", US_national_yearly!$D:$AM, 10, FALSE), 1)</f>
        <v>0.29721735265922095</v>
      </c>
      <c r="D15" s="7">
        <f>$B15 * IFERROR(VLOOKUP("industry|PM25|Work loss days", US_national_yearly!$D:$AM, 12, FALSE) / VLOOKUP("industry|PM25|Work loss days", US_national_yearly!$D:$AM, 10, FALSE), 1)</f>
        <v>0.29813599761688342</v>
      </c>
      <c r="E15" s="7">
        <f>$B15 * IFERROR(VLOOKUP("industry|PM25|Work loss days", US_national_yearly!$D:$AM, 13, FALSE) / VLOOKUP("industry|PM25|Work loss days", US_national_yearly!$D:$AM, 10, FALSE), 1)</f>
        <v>0.29905464257454589</v>
      </c>
      <c r="F15" s="7">
        <f>$B15 * IFERROR(VLOOKUP("industry|PM25|Work loss days", US_national_yearly!$D:$AM, 14, FALSE) / VLOOKUP("industry|PM25|Work loss days", US_national_yearly!$D:$AM, 10, FALSE), 1)</f>
        <v>0.29997328753220837</v>
      </c>
      <c r="G15" s="7">
        <f>$B15 * IFERROR(VLOOKUP("industry|PM25|Work loss days", US_national_yearly!$D:$AM, 15, FALSE) / VLOOKUP("industry|PM25|Work loss days", US_national_yearly!$D:$AM, 10, FALSE), 1)</f>
        <v>0.30117261874716089</v>
      </c>
      <c r="H15" s="7">
        <f>$B15 * IFERROR(VLOOKUP("industry|PM25|Work loss days", US_national_yearly!$D:$AM, 16, FALSE) / VLOOKUP("industry|PM25|Work loss days", US_national_yearly!$D:$AM, 10, FALSE), 1)</f>
        <v>0.30237194996211342</v>
      </c>
      <c r="I15" s="7">
        <f>$B15 * IFERROR(VLOOKUP("industry|PM25|Work loss days", US_national_yearly!$D:$AM, 17, FALSE) / VLOOKUP("industry|PM25|Work loss days", US_national_yearly!$D:$AM, 10, FALSE), 1)</f>
        <v>0.30412815256453452</v>
      </c>
      <c r="J15" s="7">
        <f>$B15 * IFERROR(VLOOKUP("industry|PM25|Work loss days", US_national_yearly!$D:$AM, 18, FALSE) / VLOOKUP("industry|PM25|Work loss days", US_national_yearly!$D:$AM, 10, FALSE), 1)</f>
        <v>0.30588435516695561</v>
      </c>
      <c r="K15" s="7">
        <f>$B15 * IFERROR(VLOOKUP("industry|PM25|Work loss days", US_national_yearly!$D:$AM, 19, FALSE) / VLOOKUP("industry|PM25|Work loss days", US_national_yearly!$D:$AM, 10, FALSE), 1)</f>
        <v>0.30764055776937665</v>
      </c>
      <c r="L15" s="7">
        <f>$B15 * IFERROR(VLOOKUP("industry|PM25|Work loss days", US_national_yearly!$D:$AM, 20, FALSE) / VLOOKUP("industry|PM25|Work loss days", US_national_yearly!$D:$AM, 10, FALSE), 1)</f>
        <v>0.30939676037179775</v>
      </c>
      <c r="M15" s="7">
        <f>$B15 * IFERROR(VLOOKUP("industry|PM25|Work loss days", US_national_yearly!$D:$AM, 21, FALSE) / VLOOKUP("industry|PM25|Work loss days", US_national_yearly!$D:$AM, 10, FALSE), 1)</f>
        <v>0.31115296297421891</v>
      </c>
      <c r="N15" s="7">
        <f>$B15 * IFERROR(VLOOKUP("industry|PM25|Work loss days", US_national_yearly!$D:$AM, 22, FALSE) / VLOOKUP("industry|PM25|Work loss days", US_national_yearly!$D:$AM, 10, FALSE), 1)</f>
        <v>0.31336906014303312</v>
      </c>
      <c r="O15" s="7">
        <f>$B15 * IFERROR(VLOOKUP("industry|PM25|Work loss days", US_national_yearly!$D:$AM, 23, FALSE) / VLOOKUP("industry|PM25|Work loss days", US_national_yearly!$D:$AM, 10, FALSE), 1)</f>
        <v>0.31558515731184739</v>
      </c>
      <c r="P15" s="7">
        <f>$B15 * IFERROR(VLOOKUP("industry|PM25|Work loss days", US_national_yearly!$D:$AM, 24, FALSE) / VLOOKUP("industry|PM25|Work loss days", US_national_yearly!$D:$AM, 10, FALSE), 1)</f>
        <v>0.3178012544806616</v>
      </c>
      <c r="Q15" s="7">
        <f>$B15 * IFERROR(VLOOKUP("industry|PM25|Work loss days", US_national_yearly!$D:$AM, 25, FALSE) / VLOOKUP("industry|PM25|Work loss days", US_national_yearly!$D:$AM, 10, FALSE), 1)</f>
        <v>0.32001735164947587</v>
      </c>
      <c r="R15" s="7">
        <f>$B15 * IFERROR(VLOOKUP("industry|PM25|Work loss days", US_national_yearly!$D:$AM, 26, FALSE) / VLOOKUP("industry|PM25|Work loss days", US_national_yearly!$D:$AM, 10, FALSE), 1)</f>
        <v>0.32223344881829002</v>
      </c>
      <c r="S15" s="7">
        <f>$B15 * IFERROR(VLOOKUP("industry|PM25|Work loss days", US_national_yearly!$D:$AM, 27, FALSE) / VLOOKUP("industry|PM25|Work loss days", US_national_yearly!$D:$AM, 10, FALSE), 1)</f>
        <v>0.32469078640578797</v>
      </c>
      <c r="T15" s="7">
        <f>$B15 * IFERROR(VLOOKUP("industry|PM25|Work loss days", US_national_yearly!$D:$AM, 28, FALSE) / VLOOKUP("industry|PM25|Work loss days", US_national_yearly!$D:$AM, 10, FALSE), 1)</f>
        <v>0.3271481239932858</v>
      </c>
      <c r="U15" s="7">
        <f>$B15 * IFERROR(VLOOKUP("industry|PM25|Work loss days", US_national_yearly!$D:$AM, 29, FALSE) / VLOOKUP("industry|PM25|Work loss days", US_national_yearly!$D:$AM, 10, FALSE), 1)</f>
        <v>0.32960546158078369</v>
      </c>
      <c r="V15" s="7">
        <f>$B15 * IFERROR(VLOOKUP("industry|PM25|Work loss days", US_national_yearly!$D:$AM, 30, FALSE) / VLOOKUP("industry|PM25|Work loss days", US_national_yearly!$D:$AM, 10, FALSE), 1)</f>
        <v>0.33206279916828152</v>
      </c>
      <c r="W15" s="7">
        <f>$B15 * IFERROR(VLOOKUP("industry|PM25|Work loss days", US_national_yearly!$D:$AM, 31, FALSE) / VLOOKUP("industry|PM25|Work loss days", US_national_yearly!$D:$AM, 10, FALSE), 1)</f>
        <v>0.33452013675577946</v>
      </c>
      <c r="X15" s="7">
        <f>$B15 * IFERROR(VLOOKUP("industry|PM25|Work loss days", US_national_yearly!$D:$AM, 32, FALSE) / VLOOKUP("industry|PM25|Work loss days", US_national_yearly!$D:$AM, 10, FALSE), 1)</f>
        <v>0.33670380431768554</v>
      </c>
      <c r="Y15" s="7">
        <f>$B15 * IFERROR(VLOOKUP("industry|PM25|Work loss days", US_national_yearly!$D:$AM, 33, FALSE) / VLOOKUP("industry|PM25|Work loss days", US_national_yearly!$D:$AM, 10, FALSE), 1)</f>
        <v>0.33888747187959173</v>
      </c>
      <c r="Z15" s="7">
        <f>$B15 * IFERROR(VLOOKUP("industry|PM25|Work loss days", US_national_yearly!$D:$AM, 34, FALSE) / VLOOKUP("industry|PM25|Work loss days", US_national_yearly!$D:$AM, 10, FALSE), 1)</f>
        <v>0.34107113944149792</v>
      </c>
      <c r="AA15" s="7">
        <f>$B15 * IFERROR(VLOOKUP("industry|PM25|Work loss days", US_national_yearly!$D:$AM, 35, FALSE) / VLOOKUP("industry|PM25|Work loss days", US_national_yearly!$D:$AM, 10, FALSE), 1)</f>
        <v>0.34325480700340405</v>
      </c>
      <c r="AB15" s="7">
        <f>$B15 * IFERROR(VLOOKUP("industry|PM25|Work loss days", US_national_yearly!$D:$AM, 36, FALSE) / VLOOKUP("industry|PM25|Work loss days", US_national_yearly!$D:$AM, 10, FALSE), 1)</f>
        <v>0.34543847456531024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8.249417984473197E-4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8.4961633652598512E-4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8.7429087460465054E-4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8.9896541268331596E-4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9.2363995076198116E-4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9.4728871700141117E-4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9.7093748324084096E-4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9.912420215024316E-4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1.0115465597640219E-3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1.0318510980256129E-3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1.0521556362872034E-3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1.0724601745487939E-3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1.086023682658647E-3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1.0995871907684995E-3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1.1131506988783524E-3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1.126714206988205E-3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1.1402777150980579E-3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1.147544713820914E-3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1.1548117125437702E-3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1.1620787112666265E-3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1.1693457099894826E-3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1.1766127087123389E-3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1.1816029171725815E-3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1.1865931256328237E-3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1.1915833340930661E-3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1.1965735425533085E-3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1.2015637510135509E-3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8.5018473727550506E-5</v>
      </c>
      <c r="C2" s="7">
        <f>$B2 * IFERROR(VLOOKUP("industry|NOx|Premature mortality", US_national_yearly!$D:$AM, 11, FALSE) / VLOOKUP("industry|NOx|Premature mortality", US_national_yearly!$D:$AM, 10, FALSE), 1)</f>
        <v>8.6275619583040319E-5</v>
      </c>
      <c r="D2" s="7">
        <f>$B2 * IFERROR(VLOOKUP("industry|NOx|Premature mortality", US_national_yearly!$D:$AM, 12, FALSE) / VLOOKUP("industry|NOx|Premature mortality", US_national_yearly!$D:$AM, 10, FALSE), 1)</f>
        <v>8.7532765438530161E-5</v>
      </c>
      <c r="E2" s="7">
        <f>$B2 * IFERROR(VLOOKUP("industry|NOx|Premature mortality", US_national_yearly!$D:$AM, 13, FALSE) / VLOOKUP("industry|NOx|Premature mortality", US_national_yearly!$D:$AM, 10, FALSE), 1)</f>
        <v>8.8789911294019988E-5</v>
      </c>
      <c r="F2" s="7">
        <f>$B2 * IFERROR(VLOOKUP("industry|NOx|Premature mortality", US_national_yearly!$D:$AM, 14, FALSE) / VLOOKUP("industry|NOx|Premature mortality", US_national_yearly!$D:$AM, 10, FALSE), 1)</f>
        <v>9.0047057149509829E-5</v>
      </c>
      <c r="G2" s="7">
        <f>$B2 * IFERROR(VLOOKUP("industry|NOx|Premature mortality", US_national_yearly!$D:$AM, 15, FALSE) / VLOOKUP("industry|NOx|Premature mortality", US_national_yearly!$D:$AM, 10, FALSE), 1)</f>
        <v>9.2301590447514526E-5</v>
      </c>
      <c r="H2" s="7">
        <f>$B2 * IFERROR(VLOOKUP("industry|NOx|Premature mortality", US_national_yearly!$D:$AM, 16, FALSE) / VLOOKUP("industry|NOx|Premature mortality", US_national_yearly!$D:$AM, 10, FALSE), 1)</f>
        <v>9.455612374551921E-5</v>
      </c>
      <c r="I2" s="7">
        <f>$B2 * IFERROR(VLOOKUP("industry|NOx|Premature mortality", US_national_yearly!$D:$AM, 17, FALSE) / VLOOKUP("industry|NOx|Premature mortality", US_national_yearly!$D:$AM, 10, FALSE), 1)</f>
        <v>9.6018715357548508E-5</v>
      </c>
      <c r="J2" s="7">
        <f>$B2 * IFERROR(VLOOKUP("industry|NOx|Premature mortality", US_national_yearly!$D:$AM, 18, FALSE) / VLOOKUP("industry|NOx|Premature mortality", US_national_yearly!$D:$AM, 10, FALSE), 1)</f>
        <v>9.7481306969577806E-5</v>
      </c>
      <c r="K2" s="7">
        <f>$B2 * IFERROR(VLOOKUP("industry|NOx|Premature mortality", US_national_yearly!$D:$AM, 19, FALSE) / VLOOKUP("industry|NOx|Premature mortality", US_national_yearly!$D:$AM, 10, FALSE), 1)</f>
        <v>9.8943898581607117E-5</v>
      </c>
      <c r="L2" s="7">
        <f>$B2 * IFERROR(VLOOKUP("industry|NOx|Premature mortality", US_national_yearly!$D:$AM, 20, FALSE) / VLOOKUP("industry|NOx|Premature mortality", US_national_yearly!$D:$AM, 10, FALSE), 1)</f>
        <v>1.004064901936364E-4</v>
      </c>
      <c r="M2" s="7">
        <f>$B2 * IFERROR(VLOOKUP("industry|NOx|Premature mortality", US_national_yearly!$D:$AM, 21, FALSE) / VLOOKUP("industry|NOx|Premature mortality", US_national_yearly!$D:$AM, 10, FALSE), 1)</f>
        <v>1.018690818056657E-4</v>
      </c>
      <c r="N2" s="7">
        <f>$B2 * IFERROR(VLOOKUP("industry|NOx|Premature mortality", US_national_yearly!$D:$AM, 22, FALSE) / VLOOKUP("industry|NOx|Premature mortality", US_national_yearly!$D:$AM, 10, FALSE), 1)</f>
        <v>1.0295744081924868E-4</v>
      </c>
      <c r="O2" s="7">
        <f>$B2 * IFERROR(VLOOKUP("industry|NOx|Premature mortality", US_national_yearly!$D:$AM, 23, FALSE) / VLOOKUP("industry|NOx|Premature mortality", US_national_yearly!$D:$AM, 10, FALSE), 1)</f>
        <v>1.0404579983283165E-4</v>
      </c>
      <c r="P2" s="7">
        <f>$B2 * IFERROR(VLOOKUP("industry|NOx|Premature mortality", US_national_yearly!$D:$AM, 24, FALSE) / VLOOKUP("industry|NOx|Premature mortality", US_national_yearly!$D:$AM, 10, FALSE), 1)</f>
        <v>1.0513415884641461E-4</v>
      </c>
      <c r="Q2" s="7">
        <f>$B2 * IFERROR(VLOOKUP("industry|NOx|Premature mortality", US_national_yearly!$D:$AM, 25, FALSE) / VLOOKUP("industry|NOx|Premature mortality", US_national_yearly!$D:$AM, 10, FALSE), 1)</f>
        <v>1.0622251785999757E-4</v>
      </c>
      <c r="R2" s="7">
        <f>$B2 * IFERROR(VLOOKUP("industry|NOx|Premature mortality", US_national_yearly!$D:$AM, 26, FALSE) / VLOOKUP("industry|NOx|Premature mortality", US_national_yearly!$D:$AM, 10, FALSE), 1)</f>
        <v>1.0731087687358054E-4</v>
      </c>
      <c r="S2" s="7">
        <f>$B2 * IFERROR(VLOOKUP("industry|NOx|Premature mortality", US_national_yearly!$D:$AM, 27, FALSE) / VLOOKUP("industry|NOx|Premature mortality", US_national_yearly!$D:$AM, 10, FALSE), 1)</f>
        <v>1.0781768253939566E-4</v>
      </c>
      <c r="T2" s="7">
        <f>$B2 * IFERROR(VLOOKUP("industry|NOx|Premature mortality", US_national_yearly!$D:$AM, 28, FALSE) / VLOOKUP("industry|NOx|Premature mortality", US_national_yearly!$D:$AM, 10, FALSE), 1)</f>
        <v>1.0832448820521077E-4</v>
      </c>
      <c r="U2" s="7">
        <f>$B2 * IFERROR(VLOOKUP("industry|NOx|Premature mortality", US_national_yearly!$D:$AM, 29, FALSE) / VLOOKUP("industry|NOx|Premature mortality", US_national_yearly!$D:$AM, 10, FALSE), 1)</f>
        <v>1.0883129387102588E-4</v>
      </c>
      <c r="V2" s="7">
        <f>$B2 * IFERROR(VLOOKUP("industry|NOx|Premature mortality", US_national_yearly!$D:$AM, 30, FALSE) / VLOOKUP("industry|NOx|Premature mortality", US_national_yearly!$D:$AM, 10, FALSE), 1)</f>
        <v>1.09338099536841E-4</v>
      </c>
      <c r="W2" s="7">
        <f>$B2 * IFERROR(VLOOKUP("industry|NOx|Premature mortality", US_national_yearly!$D:$AM, 31, FALSE) / VLOOKUP("industry|NOx|Premature mortality", US_national_yearly!$D:$AM, 10, FALSE), 1)</f>
        <v>1.0984490520265609E-4</v>
      </c>
      <c r="X2" s="7">
        <f>$B2 * IFERROR(VLOOKUP("industry|NOx|Premature mortality", US_national_yearly!$D:$AM, 32, FALSE) / VLOOKUP("industry|NOx|Premature mortality", US_national_yearly!$D:$AM, 10, FALSE), 1)</f>
        <v>1.0988363691249153E-4</v>
      </c>
      <c r="Y2" s="7">
        <f>$B2 * IFERROR(VLOOKUP("industry|NOx|Premature mortality", US_national_yearly!$D:$AM, 33, FALSE) / VLOOKUP("industry|NOx|Premature mortality", US_national_yearly!$D:$AM, 10, FALSE), 1)</f>
        <v>1.0992236862232697E-4</v>
      </c>
      <c r="Z2" s="7">
        <f>$B2 * IFERROR(VLOOKUP("industry|NOx|Premature mortality", US_national_yearly!$D:$AM, 34, FALSE) / VLOOKUP("industry|NOx|Premature mortality", US_national_yearly!$D:$AM, 10, FALSE), 1)</f>
        <v>1.099611003321624E-4</v>
      </c>
      <c r="AA2" s="7">
        <f>$B2 * IFERROR(VLOOKUP("industry|NOx|Premature mortality", US_national_yearly!$D:$AM, 35, FALSE) / VLOOKUP("industry|NOx|Premature mortality", US_national_yearly!$D:$AM, 10, FALSE), 1)</f>
        <v>1.0999983204199784E-4</v>
      </c>
      <c r="AB2" s="7">
        <f>$B2 * IFERROR(VLOOKUP("industry|NOx|Premature mortality", US_national_yearly!$D:$AM, 36, FALSE) / VLOOKUP("industry|NOx|Premature mortality", US_national_yearly!$D:$AM, 10, FALSE), 1)</f>
        <v>1.1003856375183328E-4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1.4300589286268917E-7</v>
      </c>
      <c r="C3" s="7">
        <f>$B3 * IFERROR(VLOOKUP("industry|NOx|Infant mortality", US_national_yearly!$D:$AM, 11, FALSE) / VLOOKUP("industry|NOx|Infant mortality", US_national_yearly!$D:$AM, 10, FALSE), 1)</f>
        <v>1.4163634939197869E-7</v>
      </c>
      <c r="D3" s="7">
        <f>$B3 * IFERROR(VLOOKUP("industry|NOx|Infant mortality", US_national_yearly!$D:$AM, 12, FALSE) / VLOOKUP("industry|NOx|Infant mortality", US_national_yearly!$D:$AM, 10, FALSE), 1)</f>
        <v>1.4026680592126819E-7</v>
      </c>
      <c r="E3" s="7">
        <f>$B3 * IFERROR(VLOOKUP("industry|NOx|Infant mortality", US_national_yearly!$D:$AM, 13, FALSE) / VLOOKUP("industry|NOx|Infant mortality", US_national_yearly!$D:$AM, 10, FALSE), 1)</f>
        <v>1.3889726245055771E-7</v>
      </c>
      <c r="F3" s="7">
        <f>$B3 * IFERROR(VLOOKUP("industry|NOx|Infant mortality", US_national_yearly!$D:$AM, 14, FALSE) / VLOOKUP("industry|NOx|Infant mortality", US_national_yearly!$D:$AM, 10, FALSE), 1)</f>
        <v>1.3752771897984723E-7</v>
      </c>
      <c r="G3" s="7">
        <f>$B3 * IFERROR(VLOOKUP("industry|NOx|Infant mortality", US_national_yearly!$D:$AM, 15, FALSE) / VLOOKUP("industry|NOx|Infant mortality", US_national_yearly!$D:$AM, 10, FALSE), 1)</f>
        <v>9.1220518067768478E-8</v>
      </c>
      <c r="H3" s="7">
        <f>$B3 * IFERROR(VLOOKUP("industry|NOx|Infant mortality", US_national_yearly!$D:$AM, 16, FALSE) / VLOOKUP("industry|NOx|Infant mortality", US_national_yearly!$D:$AM, 10, FALSE), 1)</f>
        <v>4.4913317155689736E-8</v>
      </c>
      <c r="I3" s="7">
        <f>$B3 * IFERROR(VLOOKUP("industry|NOx|Infant mortality", US_national_yearly!$D:$AM, 17, FALSE) / VLOOKUP("industry|NOx|Infant mortality", US_national_yearly!$D:$AM, 10, FALSE), 1)</f>
        <v>4.4589511530907636E-8</v>
      </c>
      <c r="J3" s="7">
        <f>$B3 * IFERROR(VLOOKUP("industry|NOx|Infant mortality", US_national_yearly!$D:$AM, 18, FALSE) / VLOOKUP("industry|NOx|Infant mortality", US_national_yearly!$D:$AM, 10, FALSE), 1)</f>
        <v>4.4265705906125535E-8</v>
      </c>
      <c r="K3" s="7">
        <f>$B3 * IFERROR(VLOOKUP("industry|NOx|Infant mortality", US_national_yearly!$D:$AM, 19, FALSE) / VLOOKUP("industry|NOx|Infant mortality", US_national_yearly!$D:$AM, 10, FALSE), 1)</f>
        <v>4.3941900281343435E-8</v>
      </c>
      <c r="L3" s="7">
        <f>$B3 * IFERROR(VLOOKUP("industry|NOx|Infant mortality", US_national_yearly!$D:$AM, 20, FALSE) / VLOOKUP("industry|NOx|Infant mortality", US_national_yearly!$D:$AM, 10, FALSE), 1)</f>
        <v>4.3618094656561321E-8</v>
      </c>
      <c r="M3" s="7">
        <f>$B3 * IFERROR(VLOOKUP("industry|NOx|Infant mortality", US_national_yearly!$D:$AM, 21, FALSE) / VLOOKUP("industry|NOx|Infant mortality", US_national_yearly!$D:$AM, 10, FALSE), 1)</f>
        <v>4.3294289031779214E-8</v>
      </c>
      <c r="N3" s="7">
        <f>$B3 * IFERROR(VLOOKUP("industry|NOx|Infant mortality", US_national_yearly!$D:$AM, 22, FALSE) / VLOOKUP("industry|NOx|Infant mortality", US_national_yearly!$D:$AM, 10, FALSE), 1)</f>
        <v>4.3076123407688926E-8</v>
      </c>
      <c r="O3" s="7">
        <f>$B3 * IFERROR(VLOOKUP("industry|NOx|Infant mortality", US_national_yearly!$D:$AM, 23, FALSE) / VLOOKUP("industry|NOx|Infant mortality", US_national_yearly!$D:$AM, 10, FALSE), 1)</f>
        <v>4.2857957783598625E-8</v>
      </c>
      <c r="P3" s="7">
        <f>$B3 * IFERROR(VLOOKUP("industry|NOx|Infant mortality", US_national_yearly!$D:$AM, 24, FALSE) / VLOOKUP("industry|NOx|Infant mortality", US_national_yearly!$D:$AM, 10, FALSE), 1)</f>
        <v>4.2639792159508331E-8</v>
      </c>
      <c r="Q3" s="7">
        <f>$B3 * IFERROR(VLOOKUP("industry|NOx|Infant mortality", US_national_yearly!$D:$AM, 25, FALSE) / VLOOKUP("industry|NOx|Infant mortality", US_national_yearly!$D:$AM, 10, FALSE), 1)</f>
        <v>4.2421626535418037E-8</v>
      </c>
      <c r="R3" s="7">
        <f>$B3 * IFERROR(VLOOKUP("industry|NOx|Infant mortality", US_national_yearly!$D:$AM, 26, FALSE) / VLOOKUP("industry|NOx|Infant mortality", US_national_yearly!$D:$AM, 10, FALSE), 1)</f>
        <v>4.2203460911327743E-8</v>
      </c>
      <c r="S3" s="7">
        <f>$B3 * IFERROR(VLOOKUP("industry|NOx|Infant mortality", US_national_yearly!$D:$AM, 27, FALSE) / VLOOKUP("industry|NOx|Infant mortality", US_national_yearly!$D:$AM, 10, FALSE), 1)</f>
        <v>4.1944393133102047E-8</v>
      </c>
      <c r="T3" s="7">
        <f>$B3 * IFERROR(VLOOKUP("industry|NOx|Infant mortality", US_national_yearly!$D:$AM, 28, FALSE) / VLOOKUP("industry|NOx|Infant mortality", US_national_yearly!$D:$AM, 10, FALSE), 1)</f>
        <v>4.1685325354876345E-8</v>
      </c>
      <c r="U3" s="7">
        <f>$B3 * IFERROR(VLOOKUP("industry|NOx|Infant mortality", US_national_yearly!$D:$AM, 29, FALSE) / VLOOKUP("industry|NOx|Infant mortality", US_national_yearly!$D:$AM, 10, FALSE), 1)</f>
        <v>4.1426257576650643E-8</v>
      </c>
      <c r="V3" s="7">
        <f>$B3 * IFERROR(VLOOKUP("industry|NOx|Infant mortality", US_national_yearly!$D:$AM, 30, FALSE) / VLOOKUP("industry|NOx|Infant mortality", US_national_yearly!$D:$AM, 10, FALSE), 1)</f>
        <v>4.1167189798424947E-8</v>
      </c>
      <c r="W3" s="7">
        <f>$B3 * IFERROR(VLOOKUP("industry|NOx|Infant mortality", US_national_yearly!$D:$AM, 31, FALSE) / VLOOKUP("industry|NOx|Infant mortality", US_national_yearly!$D:$AM, 10, FALSE), 1)</f>
        <v>4.0908122020199252E-8</v>
      </c>
      <c r="X3" s="7">
        <f>$B3 * IFERROR(VLOOKUP("industry|NOx|Infant mortality", US_national_yearly!$D:$AM, 32, FALSE) / VLOOKUP("industry|NOx|Infant mortality", US_national_yearly!$D:$AM, 10, FALSE), 1)</f>
        <v>4.0636072166986832E-8</v>
      </c>
      <c r="Y3" s="7">
        <f>$B3 * IFERROR(VLOOKUP("industry|NOx|Infant mortality", US_national_yearly!$D:$AM, 33, FALSE) / VLOOKUP("industry|NOx|Infant mortality", US_national_yearly!$D:$AM, 10, FALSE), 1)</f>
        <v>4.0364022313774419E-8</v>
      </c>
      <c r="Z3" s="7">
        <f>$B3 * IFERROR(VLOOKUP("industry|NOx|Infant mortality", US_national_yearly!$D:$AM, 34, FALSE) / VLOOKUP("industry|NOx|Infant mortality", US_national_yearly!$D:$AM, 10, FALSE), 1)</f>
        <v>4.0091972460562012E-8</v>
      </c>
      <c r="AA3" s="7">
        <f>$B3 * IFERROR(VLOOKUP("industry|NOx|Infant mortality", US_national_yearly!$D:$AM, 35, FALSE) / VLOOKUP("industry|NOx|Infant mortality", US_national_yearly!$D:$AM, 10, FALSE), 1)</f>
        <v>3.9819922607349599E-8</v>
      </c>
      <c r="AB3" s="7">
        <f>$B3 * IFERROR(VLOOKUP("industry|NOx|Infant mortality", US_national_yearly!$D:$AM, 36, FALSE) / VLOOKUP("industry|NOx|Infant mortality", US_national_yearly!$D:$AM, 10, FALSE), 1)</f>
        <v>3.9547872754137186E-8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1.4247621241987761E-4</v>
      </c>
      <c r="C6" s="7">
        <f>$B6 * IFERROR(VLOOKUP("industry|NOx|Asthma symptoms cough", US_national_yearly!$D:$AM, 11, FALSE) / VLOOKUP("industry|NOx|Asthma symptoms cough", US_national_yearly!$D:$AM, 10, FALSE), 1)</f>
        <v>1.4442533535052995E-4</v>
      </c>
      <c r="D6" s="7">
        <f>$B6 * IFERROR(VLOOKUP("industry|NOx|Asthma symptoms cough", US_national_yearly!$D:$AM, 12, FALSE) / VLOOKUP("industry|NOx|Asthma symptoms cough", US_national_yearly!$D:$AM, 10, FALSE), 1)</f>
        <v>1.4637445828118229E-4</v>
      </c>
      <c r="E6" s="7">
        <f>$B6 * IFERROR(VLOOKUP("industry|NOx|Asthma symptoms cough", US_national_yearly!$D:$AM, 13, FALSE) / VLOOKUP("industry|NOx|Asthma symptoms cough", US_national_yearly!$D:$AM, 10, FALSE), 1)</f>
        <v>1.4832358121183464E-4</v>
      </c>
      <c r="F6" s="7">
        <f>$B6 * IFERROR(VLOOKUP("industry|NOx|Asthma symptoms cough", US_national_yearly!$D:$AM, 14, FALSE) / VLOOKUP("industry|NOx|Asthma symptoms cough", US_national_yearly!$D:$AM, 10, FALSE), 1)</f>
        <v>1.5027270414248701E-4</v>
      </c>
      <c r="G6" s="7">
        <f>$B6 * IFERROR(VLOOKUP("industry|NOx|Asthma symptoms cough", US_national_yearly!$D:$AM, 15, FALSE) / VLOOKUP("industry|NOx|Asthma symptoms cough", US_national_yearly!$D:$AM, 10, FALSE), 1)</f>
        <v>1.5183559835091169E-4</v>
      </c>
      <c r="H6" s="7">
        <f>$B6 * IFERROR(VLOOKUP("industry|NOx|Asthma symptoms cough", US_national_yearly!$D:$AM, 16, FALSE) / VLOOKUP("industry|NOx|Asthma symptoms cough", US_national_yearly!$D:$AM, 10, FALSE), 1)</f>
        <v>1.5339849255933643E-4</v>
      </c>
      <c r="I6" s="7">
        <f>$B6 * IFERROR(VLOOKUP("industry|NOx|Asthma symptoms cough", US_national_yearly!$D:$AM, 17, FALSE) / VLOOKUP("industry|NOx|Asthma symptoms cough", US_national_yearly!$D:$AM, 10, FALSE), 1)</f>
        <v>1.5394239359902993E-4</v>
      </c>
      <c r="J6" s="7">
        <f>$B6 * IFERROR(VLOOKUP("industry|NOx|Asthma symptoms cough", US_national_yearly!$D:$AM, 18, FALSE) / VLOOKUP("industry|NOx|Asthma symptoms cough", US_national_yearly!$D:$AM, 10, FALSE), 1)</f>
        <v>1.5448629463872345E-4</v>
      </c>
      <c r="K6" s="7">
        <f>$B6 * IFERROR(VLOOKUP("industry|NOx|Asthma symptoms cough", US_national_yearly!$D:$AM, 19, FALSE) / VLOOKUP("industry|NOx|Asthma symptoms cough", US_national_yearly!$D:$AM, 10, FALSE), 1)</f>
        <v>1.5503019567841692E-4</v>
      </c>
      <c r="L6" s="7">
        <f>$B6 * IFERROR(VLOOKUP("industry|NOx|Asthma symptoms cough", US_national_yearly!$D:$AM, 20, FALSE) / VLOOKUP("industry|NOx|Asthma symptoms cough", US_national_yearly!$D:$AM, 10, FALSE), 1)</f>
        <v>1.5557409671811045E-4</v>
      </c>
      <c r="M6" s="7">
        <f>$B6 * IFERROR(VLOOKUP("industry|NOx|Asthma symptoms cough", US_national_yearly!$D:$AM, 21, FALSE) / VLOOKUP("industry|NOx|Asthma symptoms cough", US_national_yearly!$D:$AM, 10, FALSE), 1)</f>
        <v>1.5611799775780397E-4</v>
      </c>
      <c r="N6" s="7">
        <f>$B6 * IFERROR(VLOOKUP("industry|NOx|Asthma symptoms cough", US_national_yearly!$D:$AM, 22, FALSE) / VLOOKUP("industry|NOx|Asthma symptoms cough", US_national_yearly!$D:$AM, 10, FALSE), 1)</f>
        <v>1.5673887564239064E-4</v>
      </c>
      <c r="O6" s="7">
        <f>$B6 * IFERROR(VLOOKUP("industry|NOx|Asthma symptoms cough", US_national_yearly!$D:$AM, 23, FALSE) / VLOOKUP("industry|NOx|Asthma symptoms cough", US_national_yearly!$D:$AM, 10, FALSE), 1)</f>
        <v>1.5735975352697729E-4</v>
      </c>
      <c r="P6" s="7">
        <f>$B6 * IFERROR(VLOOKUP("industry|NOx|Asthma symptoms cough", US_national_yearly!$D:$AM, 24, FALSE) / VLOOKUP("industry|NOx|Asthma symptoms cough", US_national_yearly!$D:$AM, 10, FALSE), 1)</f>
        <v>1.5798063141156396E-4</v>
      </c>
      <c r="Q6" s="7">
        <f>$B6 * IFERROR(VLOOKUP("industry|NOx|Asthma symptoms cough", US_national_yearly!$D:$AM, 25, FALSE) / VLOOKUP("industry|NOx|Asthma symptoms cough", US_national_yearly!$D:$AM, 10, FALSE), 1)</f>
        <v>1.586015092961506E-4</v>
      </c>
      <c r="R6" s="7">
        <f>$B6 * IFERROR(VLOOKUP("industry|NOx|Asthma symptoms cough", US_national_yearly!$D:$AM, 26, FALSE) / VLOOKUP("industry|NOx|Asthma symptoms cough", US_national_yearly!$D:$AM, 10, FALSE), 1)</f>
        <v>1.5922238718073727E-4</v>
      </c>
      <c r="S6" s="7">
        <f>$B6 * IFERROR(VLOOKUP("industry|NOx|Asthma symptoms cough", US_national_yearly!$D:$AM, 27, FALSE) / VLOOKUP("industry|NOx|Asthma symptoms cough", US_national_yearly!$D:$AM, 10, FALSE), 1)</f>
        <v>1.6002329218048529E-4</v>
      </c>
      <c r="T6" s="7">
        <f>$B6 * IFERROR(VLOOKUP("industry|NOx|Asthma symptoms cough", US_national_yearly!$D:$AM, 28, FALSE) / VLOOKUP("industry|NOx|Asthma symptoms cough", US_national_yearly!$D:$AM, 10, FALSE), 1)</f>
        <v>1.6082419718023327E-4</v>
      </c>
      <c r="U6" s="7">
        <f>$B6 * IFERROR(VLOOKUP("industry|NOx|Asthma symptoms cough", US_national_yearly!$D:$AM, 29, FALSE) / VLOOKUP("industry|NOx|Asthma symptoms cough", US_national_yearly!$D:$AM, 10, FALSE), 1)</f>
        <v>1.6162510217998128E-4</v>
      </c>
      <c r="V6" s="7">
        <f>$B6 * IFERROR(VLOOKUP("industry|NOx|Asthma symptoms cough", US_national_yearly!$D:$AM, 30, FALSE) / VLOOKUP("industry|NOx|Asthma symptoms cough", US_national_yearly!$D:$AM, 10, FALSE), 1)</f>
        <v>1.6242600717972924E-4</v>
      </c>
      <c r="W6" s="7">
        <f>$B6 * IFERROR(VLOOKUP("industry|NOx|Asthma symptoms cough", US_national_yearly!$D:$AM, 31, FALSE) / VLOOKUP("industry|NOx|Asthma symptoms cough", US_national_yearly!$D:$AM, 10, FALSE), 1)</f>
        <v>1.6322691217947728E-4</v>
      </c>
      <c r="X6" s="7">
        <f>$B6 * IFERROR(VLOOKUP("industry|NOx|Asthma symptoms cough", US_national_yearly!$D:$AM, 32, FALSE) / VLOOKUP("industry|NOx|Asthma symptoms cough", US_national_yearly!$D:$AM, 10, FALSE), 1)</f>
        <v>1.6396941270273091E-4</v>
      </c>
      <c r="Y6" s="7">
        <f>$B6 * IFERROR(VLOOKUP("industry|NOx|Asthma symptoms cough", US_national_yearly!$D:$AM, 33, FALSE) / VLOOKUP("industry|NOx|Asthma symptoms cough", US_national_yearly!$D:$AM, 10, FALSE), 1)</f>
        <v>1.6471191322598447E-4</v>
      </c>
      <c r="Z6" s="7">
        <f>$B6 * IFERROR(VLOOKUP("industry|NOx|Asthma symptoms cough", US_national_yearly!$D:$AM, 34, FALSE) / VLOOKUP("industry|NOx|Asthma symptoms cough", US_national_yearly!$D:$AM, 10, FALSE), 1)</f>
        <v>1.654544137492381E-4</v>
      </c>
      <c r="AA6" s="7">
        <f>$B6 * IFERROR(VLOOKUP("industry|NOx|Asthma symptoms cough", US_national_yearly!$D:$AM, 35, FALSE) / VLOOKUP("industry|NOx|Asthma symptoms cough", US_national_yearly!$D:$AM, 10, FALSE), 1)</f>
        <v>1.6619691427249166E-4</v>
      </c>
      <c r="AB6" s="7">
        <f>$B6 * IFERROR(VLOOKUP("industry|NOx|Asthma symptoms cough", US_national_yearly!$D:$AM, 36, FALSE) / VLOOKUP("industry|NOx|Asthma symptoms cough", US_national_yearly!$D:$AM, 10, FALSE), 1)</f>
        <v>1.6693941479574529E-4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1.9186496107106104E-4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1.9448973883619055E-4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1.9711451660132007E-4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1.9973929436644961E-4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2.0236407213157918E-4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2.044687366945632E-4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2.0657340125754728E-4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2.0730584317651873E-4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2.080382850954902E-4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2.0877072701446165E-4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2.095031689334332E-4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2.1023561085240468E-4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2.1107171329992489E-4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2.1190781574744513E-4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2.1274391819496539E-4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2.1358002064248566E-4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2.1441612309000587E-4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2.1549465825756309E-4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2.1657319342512034E-4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2.1765172859267753E-4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2.1873026376023478E-4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2.1980879892779194E-4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2.2080868396478481E-4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2.2180856900177765E-4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2.2280845403877046E-4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2.2380833907576327E-4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2.2480822411275608E-4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2.9313690352149411E-4</v>
      </c>
      <c r="C8" s="7">
        <f>$B8 * IFERROR(VLOOKUP("industry|NOx|Asthma symptoms wheeze", US_national_yearly!$D:$AM, 11, FALSE) / VLOOKUP("industry|NOx|Asthma symptoms wheeze", US_national_yearly!$D:$AM, 10, FALSE), 1)</f>
        <v>2.9714711583101236E-4</v>
      </c>
      <c r="D8" s="7">
        <f>$B8 * IFERROR(VLOOKUP("industry|NOx|Asthma symptoms wheeze", US_national_yearly!$D:$AM, 12, FALSE) / VLOOKUP("industry|NOx|Asthma symptoms wheeze", US_national_yearly!$D:$AM, 10, FALSE), 1)</f>
        <v>3.0115732814053062E-4</v>
      </c>
      <c r="E8" s="7">
        <f>$B8 * IFERROR(VLOOKUP("industry|NOx|Asthma symptoms wheeze", US_national_yearly!$D:$AM, 13, FALSE) / VLOOKUP("industry|NOx|Asthma symptoms wheeze", US_national_yearly!$D:$AM, 10, FALSE), 1)</f>
        <v>3.0516754045004888E-4</v>
      </c>
      <c r="F8" s="7">
        <f>$B8 * IFERROR(VLOOKUP("industry|NOx|Asthma symptoms wheeze", US_national_yearly!$D:$AM, 14, FALSE) / VLOOKUP("industry|NOx|Asthma symptoms wheeze", US_national_yearly!$D:$AM, 10, FALSE), 1)</f>
        <v>3.0917775275956708E-4</v>
      </c>
      <c r="G8" s="7">
        <f>$B8 * IFERROR(VLOOKUP("industry|NOx|Asthma symptoms wheeze", US_national_yearly!$D:$AM, 15, FALSE) / VLOOKUP("industry|NOx|Asthma symptoms wheeze", US_national_yearly!$D:$AM, 10, FALSE), 1)</f>
        <v>3.1239332089850899E-4</v>
      </c>
      <c r="H8" s="7">
        <f>$B8 * IFERROR(VLOOKUP("industry|NOx|Asthma symptoms wheeze", US_national_yearly!$D:$AM, 16, FALSE) / VLOOKUP("industry|NOx|Asthma symptoms wheeze", US_national_yearly!$D:$AM, 10, FALSE), 1)</f>
        <v>3.1560888903745074E-4</v>
      </c>
      <c r="I8" s="7">
        <f>$B8 * IFERROR(VLOOKUP("industry|NOx|Asthma symptoms wheeze", US_national_yearly!$D:$AM, 17, FALSE) / VLOOKUP("industry|NOx|Asthma symptoms wheeze", US_national_yearly!$D:$AM, 10, FALSE), 1)</f>
        <v>3.1672793525696995E-4</v>
      </c>
      <c r="J8" s="7">
        <f>$B8 * IFERROR(VLOOKUP("industry|NOx|Asthma symptoms wheeze", US_national_yearly!$D:$AM, 18, FALSE) / VLOOKUP("industry|NOx|Asthma symptoms wheeze", US_national_yearly!$D:$AM, 10, FALSE), 1)</f>
        <v>3.1784698147648916E-4</v>
      </c>
      <c r="K8" s="7">
        <f>$B8 * IFERROR(VLOOKUP("industry|NOx|Asthma symptoms wheeze", US_national_yearly!$D:$AM, 19, FALSE) / VLOOKUP("industry|NOx|Asthma symptoms wheeze", US_national_yearly!$D:$AM, 10, FALSE), 1)</f>
        <v>3.1896602769600836E-4</v>
      </c>
      <c r="L8" s="7">
        <f>$B8 * IFERROR(VLOOKUP("industry|NOx|Asthma symptoms wheeze", US_national_yearly!$D:$AM, 20, FALSE) / VLOOKUP("industry|NOx|Asthma symptoms wheeze", US_national_yearly!$D:$AM, 10, FALSE), 1)</f>
        <v>3.2008507391552752E-4</v>
      </c>
      <c r="M8" s="7">
        <f>$B8 * IFERROR(VLOOKUP("industry|NOx|Asthma symptoms wheeze", US_national_yearly!$D:$AM, 21, FALSE) / VLOOKUP("industry|NOx|Asthma symptoms wheeze", US_national_yearly!$D:$AM, 10, FALSE), 1)</f>
        <v>3.2120412013504672E-4</v>
      </c>
      <c r="N8" s="7">
        <f>$B8 * IFERROR(VLOOKUP("industry|NOx|Asthma symptoms wheeze", US_national_yearly!$D:$AM, 22, FALSE) / VLOOKUP("industry|NOx|Asthma symptoms wheeze", US_national_yearly!$D:$AM, 10, FALSE), 1)</f>
        <v>3.2248154194283783E-4</v>
      </c>
      <c r="O8" s="7">
        <f>$B8 * IFERROR(VLOOKUP("industry|NOx|Asthma symptoms wheeze", US_national_yearly!$D:$AM, 23, FALSE) / VLOOKUP("industry|NOx|Asthma symptoms wheeze", US_national_yearly!$D:$AM, 10, FALSE), 1)</f>
        <v>3.2375896375062889E-4</v>
      </c>
      <c r="P8" s="7">
        <f>$B8 * IFERROR(VLOOKUP("industry|NOx|Asthma symptoms wheeze", US_national_yearly!$D:$AM, 24, FALSE) / VLOOKUP("industry|NOx|Asthma symptoms wheeze", US_national_yearly!$D:$AM, 10, FALSE), 1)</f>
        <v>3.2503638555841989E-4</v>
      </c>
      <c r="Q8" s="7">
        <f>$B8 * IFERROR(VLOOKUP("industry|NOx|Asthma symptoms wheeze", US_national_yearly!$D:$AM, 25, FALSE) / VLOOKUP("industry|NOx|Asthma symptoms wheeze", US_national_yearly!$D:$AM, 10, FALSE), 1)</f>
        <v>3.26313807366211E-4</v>
      </c>
      <c r="R8" s="7">
        <f>$B8 * IFERROR(VLOOKUP("industry|NOx|Asthma symptoms wheeze", US_national_yearly!$D:$AM, 26, FALSE) / VLOOKUP("industry|NOx|Asthma symptoms wheeze", US_national_yearly!$D:$AM, 10, FALSE), 1)</f>
        <v>3.2759122917400206E-4</v>
      </c>
      <c r="S8" s="7">
        <f>$B8 * IFERROR(VLOOKUP("industry|NOx|Asthma symptoms wheeze", US_national_yearly!$D:$AM, 27, FALSE) / VLOOKUP("industry|NOx|Asthma symptoms wheeze", US_national_yearly!$D:$AM, 10, FALSE), 1)</f>
        <v>3.2923904678468479E-4</v>
      </c>
      <c r="T8" s="7">
        <f>$B8 * IFERROR(VLOOKUP("industry|NOx|Asthma symptoms wheeze", US_national_yearly!$D:$AM, 28, FALSE) / VLOOKUP("industry|NOx|Asthma symptoms wheeze", US_national_yearly!$D:$AM, 10, FALSE), 1)</f>
        <v>3.3088686439536747E-4</v>
      </c>
      <c r="U8" s="7">
        <f>$B8 * IFERROR(VLOOKUP("industry|NOx|Asthma symptoms wheeze", US_national_yearly!$D:$AM, 29, FALSE) / VLOOKUP("industry|NOx|Asthma symptoms wheeze", US_national_yearly!$D:$AM, 10, FALSE), 1)</f>
        <v>3.3253468200605016E-4</v>
      </c>
      <c r="V8" s="7">
        <f>$B8 * IFERROR(VLOOKUP("industry|NOx|Asthma symptoms wheeze", US_national_yearly!$D:$AM, 30, FALSE) / VLOOKUP("industry|NOx|Asthma symptoms wheeze", US_national_yearly!$D:$AM, 10, FALSE), 1)</f>
        <v>3.3418249961673284E-4</v>
      </c>
      <c r="W8" s="7">
        <f>$B8 * IFERROR(VLOOKUP("industry|NOx|Asthma symptoms wheeze", US_national_yearly!$D:$AM, 31, FALSE) / VLOOKUP("industry|NOx|Asthma symptoms wheeze", US_national_yearly!$D:$AM, 10, FALSE), 1)</f>
        <v>3.3583031722741547E-4</v>
      </c>
      <c r="X8" s="7">
        <f>$B8 * IFERROR(VLOOKUP("industry|NOx|Asthma symptoms wheeze", US_national_yearly!$D:$AM, 32, FALSE) / VLOOKUP("industry|NOx|Asthma symptoms wheeze", US_national_yearly!$D:$AM, 10, FALSE), 1)</f>
        <v>3.3735797086739097E-4</v>
      </c>
      <c r="Y8" s="7">
        <f>$B8 * IFERROR(VLOOKUP("industry|NOx|Asthma symptoms wheeze", US_national_yearly!$D:$AM, 33, FALSE) / VLOOKUP("industry|NOx|Asthma symptoms wheeze", US_national_yearly!$D:$AM, 10, FALSE), 1)</f>
        <v>3.3888562450736637E-4</v>
      </c>
      <c r="Z8" s="7">
        <f>$B8 * IFERROR(VLOOKUP("industry|NOx|Asthma symptoms wheeze", US_national_yearly!$D:$AM, 34, FALSE) / VLOOKUP("industry|NOx|Asthma symptoms wheeze", US_national_yearly!$D:$AM, 10, FALSE), 1)</f>
        <v>3.4041327814734182E-4</v>
      </c>
      <c r="AA8" s="7">
        <f>$B8 * IFERROR(VLOOKUP("industry|NOx|Asthma symptoms wheeze", US_national_yearly!$D:$AM, 35, FALSE) / VLOOKUP("industry|NOx|Asthma symptoms wheeze", US_national_yearly!$D:$AM, 10, FALSE), 1)</f>
        <v>3.4194093178731717E-4</v>
      </c>
      <c r="AB8" s="7">
        <f>$B8 * IFERROR(VLOOKUP("industry|NOx|Asthma symptoms wheeze", US_national_yearly!$D:$AM, 36, FALSE) / VLOOKUP("industry|NOx|Asthma symptoms wheeze", US_national_yearly!$D:$AM, 10, FALSE), 1)</f>
        <v>3.4346858542729284E-4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8.2400496866682394E-6</v>
      </c>
      <c r="C12" s="7">
        <f>$B12 * IFERROR(VLOOKUP("industry|NOx|Respiratory hospital admissions", US_national_yearly!$D:$AM, 11, FALSE) / VLOOKUP("industry|NOx|Respiratory hospital admissions", US_national_yearly!$D:$AM, 10, FALSE), 1)</f>
        <v>8.4470670341960759E-6</v>
      </c>
      <c r="D12" s="7">
        <f>$B12 * IFERROR(VLOOKUP("industry|NOx|Respiratory hospital admissions", US_national_yearly!$D:$AM, 12, FALSE) / VLOOKUP("industry|NOx|Respiratory hospital admissions", US_national_yearly!$D:$AM, 10, FALSE), 1)</f>
        <v>8.654084381723914E-6</v>
      </c>
      <c r="E12" s="7">
        <f>$B12 * IFERROR(VLOOKUP("industry|NOx|Respiratory hospital admissions", US_national_yearly!$D:$AM, 13, FALSE) / VLOOKUP("industry|NOx|Respiratory hospital admissions", US_national_yearly!$D:$AM, 10, FALSE), 1)</f>
        <v>8.8611017292517522E-6</v>
      </c>
      <c r="F12" s="7">
        <f>$B12 * IFERROR(VLOOKUP("industry|NOx|Respiratory hospital admissions", US_national_yearly!$D:$AM, 14, FALSE) / VLOOKUP("industry|NOx|Respiratory hospital admissions", US_national_yearly!$D:$AM, 10, FALSE), 1)</f>
        <v>9.0681190767795869E-6</v>
      </c>
      <c r="G12" s="7">
        <f>$B12 * IFERROR(VLOOKUP("industry|NOx|Respiratory hospital admissions", US_national_yearly!$D:$AM, 15, FALSE) / VLOOKUP("industry|NOx|Respiratory hospital admissions", US_national_yearly!$D:$AM, 10, FALSE), 1)</f>
        <v>9.2661403751812758E-6</v>
      </c>
      <c r="H12" s="7">
        <f>$B12 * IFERROR(VLOOKUP("industry|NOx|Respiratory hospital admissions", US_national_yearly!$D:$AM, 16, FALSE) / VLOOKUP("industry|NOx|Respiratory hospital admissions", US_national_yearly!$D:$AM, 10, FALSE), 1)</f>
        <v>9.4641616735829663E-6</v>
      </c>
      <c r="I12" s="7">
        <f>$B12 * IFERROR(VLOOKUP("industry|NOx|Respiratory hospital admissions", US_national_yearly!$D:$AM, 17, FALSE) / VLOOKUP("industry|NOx|Respiratory hospital admissions", US_national_yearly!$D:$AM, 10, FALSE), 1)</f>
        <v>9.6328036989038019E-6</v>
      </c>
      <c r="J12" s="7">
        <f>$B12 * IFERROR(VLOOKUP("industry|NOx|Respiratory hospital admissions", US_national_yearly!$D:$AM, 18, FALSE) / VLOOKUP("industry|NOx|Respiratory hospital admissions", US_national_yearly!$D:$AM, 10, FALSE), 1)</f>
        <v>9.8014457242246375E-6</v>
      </c>
      <c r="K12" s="7">
        <f>$B12 * IFERROR(VLOOKUP("industry|NOx|Respiratory hospital admissions", US_national_yearly!$D:$AM, 19, FALSE) / VLOOKUP("industry|NOx|Respiratory hospital admissions", US_national_yearly!$D:$AM, 10, FALSE), 1)</f>
        <v>9.9700877495454765E-6</v>
      </c>
      <c r="L12" s="7">
        <f>$B12 * IFERROR(VLOOKUP("industry|NOx|Respiratory hospital admissions", US_national_yearly!$D:$AM, 20, FALSE) / VLOOKUP("industry|NOx|Respiratory hospital admissions", US_national_yearly!$D:$AM, 10, FALSE), 1)</f>
        <v>1.0138729774866314E-5</v>
      </c>
      <c r="M12" s="7">
        <f>$B12 * IFERROR(VLOOKUP("industry|NOx|Respiratory hospital admissions", US_national_yearly!$D:$AM, 21, FALSE) / VLOOKUP("industry|NOx|Respiratory hospital admissions", US_national_yearly!$D:$AM, 10, FALSE), 1)</f>
        <v>1.0307371800187149E-5</v>
      </c>
      <c r="N12" s="7">
        <f>$B12 * IFERROR(VLOOKUP("industry|NOx|Respiratory hospital admissions", US_national_yearly!$D:$AM, 22, FALSE) / VLOOKUP("industry|NOx|Respiratory hospital admissions", US_national_yearly!$D:$AM, 10, FALSE), 1)</f>
        <v>1.0420398550586072E-5</v>
      </c>
      <c r="O12" s="7">
        <f>$B12 * IFERROR(VLOOKUP("industry|NOx|Respiratory hospital admissions", US_national_yearly!$D:$AM, 23, FALSE) / VLOOKUP("industry|NOx|Respiratory hospital admissions", US_national_yearly!$D:$AM, 10, FALSE), 1)</f>
        <v>1.0533425300984992E-5</v>
      </c>
      <c r="P12" s="7">
        <f>$B12 * IFERROR(VLOOKUP("industry|NOx|Respiratory hospital admissions", US_national_yearly!$D:$AM, 24, FALSE) / VLOOKUP("industry|NOx|Respiratory hospital admissions", US_national_yearly!$D:$AM, 10, FALSE), 1)</f>
        <v>1.0646452051383915E-5</v>
      </c>
      <c r="Q12" s="7">
        <f>$B12 * IFERROR(VLOOKUP("industry|NOx|Respiratory hospital admissions", US_national_yearly!$D:$AM, 25, FALSE) / VLOOKUP("industry|NOx|Respiratory hospital admissions", US_national_yearly!$D:$AM, 10, FALSE), 1)</f>
        <v>1.0759478801782835E-5</v>
      </c>
      <c r="R12" s="7">
        <f>$B12 * IFERROR(VLOOKUP("industry|NOx|Respiratory hospital admissions", US_national_yearly!$D:$AM, 26, FALSE) / VLOOKUP("industry|NOx|Respiratory hospital admissions", US_national_yearly!$D:$AM, 10, FALSE), 1)</f>
        <v>1.0872505552181757E-5</v>
      </c>
      <c r="S12" s="7">
        <f>$B12 * IFERROR(VLOOKUP("industry|NOx|Respiratory hospital admissions", US_national_yearly!$D:$AM, 27, FALSE) / VLOOKUP("industry|NOx|Respiratory hospital admissions", US_national_yearly!$D:$AM, 10, FALSE), 1)</f>
        <v>1.0933869257080008E-5</v>
      </c>
      <c r="T12" s="7">
        <f>$B12 * IFERROR(VLOOKUP("industry|NOx|Respiratory hospital admissions", US_national_yearly!$D:$AM, 28, FALSE) / VLOOKUP("industry|NOx|Respiratory hospital admissions", US_national_yearly!$D:$AM, 10, FALSE), 1)</f>
        <v>1.0995232961978259E-5</v>
      </c>
      <c r="U12" s="7">
        <f>$B12 * IFERROR(VLOOKUP("industry|NOx|Respiratory hospital admissions", US_national_yearly!$D:$AM, 29, FALSE) / VLOOKUP("industry|NOx|Respiratory hospital admissions", US_national_yearly!$D:$AM, 10, FALSE), 1)</f>
        <v>1.1056596666876509E-5</v>
      </c>
      <c r="V12" s="7">
        <f>$B12 * IFERROR(VLOOKUP("industry|NOx|Respiratory hospital admissions", US_national_yearly!$D:$AM, 30, FALSE) / VLOOKUP("industry|NOx|Respiratory hospital admissions", US_national_yearly!$D:$AM, 10, FALSE), 1)</f>
        <v>1.1117960371774759E-5</v>
      </c>
      <c r="W12" s="7">
        <f>$B12 * IFERROR(VLOOKUP("industry|NOx|Respiratory hospital admissions", US_national_yearly!$D:$AM, 31, FALSE) / VLOOKUP("industry|NOx|Respiratory hospital admissions", US_national_yearly!$D:$AM, 10, FALSE), 1)</f>
        <v>1.1179324076673011E-5</v>
      </c>
      <c r="X12" s="7">
        <f>$B12 * IFERROR(VLOOKUP("industry|NOx|Respiratory hospital admissions", US_national_yearly!$D:$AM, 32, FALSE) / VLOOKUP("industry|NOx|Respiratory hospital admissions", US_national_yearly!$D:$AM, 10, FALSE), 1)</f>
        <v>1.1222110631804667E-5</v>
      </c>
      <c r="Y12" s="7">
        <f>$B12 * IFERROR(VLOOKUP("industry|NOx|Respiratory hospital admissions", US_national_yearly!$D:$AM, 33, FALSE) / VLOOKUP("industry|NOx|Respiratory hospital admissions", US_national_yearly!$D:$AM, 10, FALSE), 1)</f>
        <v>1.1264897186936324E-5</v>
      </c>
      <c r="Z12" s="7">
        <f>$B12 * IFERROR(VLOOKUP("industry|NOx|Respiratory hospital admissions", US_national_yearly!$D:$AM, 34, FALSE) / VLOOKUP("industry|NOx|Respiratory hospital admissions", US_national_yearly!$D:$AM, 10, FALSE), 1)</f>
        <v>1.1307683742067981E-5</v>
      </c>
      <c r="AA12" s="7">
        <f>$B12 * IFERROR(VLOOKUP("industry|NOx|Respiratory hospital admissions", US_national_yearly!$D:$AM, 35, FALSE) / VLOOKUP("industry|NOx|Respiratory hospital admissions", US_national_yearly!$D:$AM, 10, FALSE), 1)</f>
        <v>1.1350470297199636E-5</v>
      </c>
      <c r="AB12" s="7">
        <f>$B12 * IFERROR(VLOOKUP("industry|NOx|Respiratory hospital admissions", US_national_yearly!$D:$AM, 36, FALSE) / VLOOKUP("industry|NOx|Respiratory hospital admissions", US_national_yearly!$D:$AM, 10, FALSE), 1)</f>
        <v>1.1393256852331294E-5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6.4966864933188562E-5</v>
      </c>
      <c r="C13" s="7">
        <f>$B13 * IFERROR(VLOOKUP("industry|NOx|Non-fatal heart attacks", US_national_yearly!$D:$AM, 11, FALSE) / VLOOKUP("industry|NOx|Non-fatal heart attacks", US_national_yearly!$D:$AM, 10, FALSE), 1)</f>
        <v>6.6823030520780436E-5</v>
      </c>
      <c r="D13" s="7">
        <f>$B13 * IFERROR(VLOOKUP("industry|NOx|Non-fatal heart attacks", US_national_yearly!$D:$AM, 12, FALSE) / VLOOKUP("industry|NOx|Non-fatal heart attacks", US_national_yearly!$D:$AM, 10, FALSE), 1)</f>
        <v>6.8679196108372309E-5</v>
      </c>
      <c r="E13" s="7">
        <f>$B13 * IFERROR(VLOOKUP("industry|NOx|Non-fatal heart attacks", US_national_yearly!$D:$AM, 13, FALSE) / VLOOKUP("industry|NOx|Non-fatal heart attacks", US_national_yearly!$D:$AM, 10, FALSE), 1)</f>
        <v>7.0535361695964183E-5</v>
      </c>
      <c r="F13" s="7">
        <f>$B13 * IFERROR(VLOOKUP("industry|NOx|Non-fatal heart attacks", US_national_yearly!$D:$AM, 14, FALSE) / VLOOKUP("industry|NOx|Non-fatal heart attacks", US_national_yearly!$D:$AM, 10, FALSE), 1)</f>
        <v>7.2391527283556056E-5</v>
      </c>
      <c r="G13" s="7">
        <f>$B13 * IFERROR(VLOOKUP("industry|NOx|Non-fatal heart attacks", US_national_yearly!$D:$AM, 15, FALSE) / VLOOKUP("industry|NOx|Non-fatal heart attacks", US_national_yearly!$D:$AM, 10, FALSE), 1)</f>
        <v>7.4127582818688456E-5</v>
      </c>
      <c r="H13" s="7">
        <f>$B13 * IFERROR(VLOOKUP("industry|NOx|Non-fatal heart attacks", US_national_yearly!$D:$AM, 16, FALSE) / VLOOKUP("industry|NOx|Non-fatal heart attacks", US_national_yearly!$D:$AM, 10, FALSE), 1)</f>
        <v>7.5863638353820841E-5</v>
      </c>
      <c r="I13" s="7">
        <f>$B13 * IFERROR(VLOOKUP("industry|NOx|Non-fatal heart attacks", US_national_yearly!$D:$AM, 17, FALSE) / VLOOKUP("industry|NOx|Non-fatal heart attacks", US_national_yearly!$D:$AM, 10, FALSE), 1)</f>
        <v>7.7236675789400463E-5</v>
      </c>
      <c r="J13" s="7">
        <f>$B13 * IFERROR(VLOOKUP("industry|NOx|Non-fatal heart attacks", US_national_yearly!$D:$AM, 18, FALSE) / VLOOKUP("industry|NOx|Non-fatal heart attacks", US_national_yearly!$D:$AM, 10, FALSE), 1)</f>
        <v>7.8609713224980099E-5</v>
      </c>
      <c r="K13" s="7">
        <f>$B13 * IFERROR(VLOOKUP("industry|NOx|Non-fatal heart attacks", US_national_yearly!$D:$AM, 19, FALSE) / VLOOKUP("industry|NOx|Non-fatal heart attacks", US_national_yearly!$D:$AM, 10, FALSE), 1)</f>
        <v>7.9982750660559693E-5</v>
      </c>
      <c r="L13" s="7">
        <f>$B13 * IFERROR(VLOOKUP("industry|NOx|Non-fatal heart attacks", US_national_yearly!$D:$AM, 20, FALSE) / VLOOKUP("industry|NOx|Non-fatal heart attacks", US_national_yearly!$D:$AM, 10, FALSE), 1)</f>
        <v>8.1355788096139342E-5</v>
      </c>
      <c r="M13" s="7">
        <f>$B13 * IFERROR(VLOOKUP("industry|NOx|Non-fatal heart attacks", US_national_yearly!$D:$AM, 21, FALSE) / VLOOKUP("industry|NOx|Non-fatal heart attacks", US_national_yearly!$D:$AM, 10, FALSE), 1)</f>
        <v>8.2728825531718978E-5</v>
      </c>
      <c r="N13" s="7">
        <f>$B13 * IFERROR(VLOOKUP("industry|NOx|Non-fatal heart attacks", US_national_yearly!$D:$AM, 22, FALSE) / VLOOKUP("industry|NOx|Non-fatal heart attacks", US_national_yearly!$D:$AM, 10, FALSE), 1)</f>
        <v>8.3556014687150568E-5</v>
      </c>
      <c r="O13" s="7">
        <f>$B13 * IFERROR(VLOOKUP("industry|NOx|Non-fatal heart attacks", US_national_yearly!$D:$AM, 23, FALSE) / VLOOKUP("industry|NOx|Non-fatal heart attacks", US_national_yearly!$D:$AM, 10, FALSE), 1)</f>
        <v>8.4383203842582132E-5</v>
      </c>
      <c r="P13" s="7">
        <f>$B13 * IFERROR(VLOOKUP("industry|NOx|Non-fatal heart attacks", US_national_yearly!$D:$AM, 24, FALSE) / VLOOKUP("industry|NOx|Non-fatal heart attacks", US_national_yearly!$D:$AM, 10, FALSE), 1)</f>
        <v>8.5210392998013695E-5</v>
      </c>
      <c r="Q13" s="7">
        <f>$B13 * IFERROR(VLOOKUP("industry|NOx|Non-fatal heart attacks", US_national_yearly!$D:$AM, 25, FALSE) / VLOOKUP("industry|NOx|Non-fatal heart attacks", US_national_yearly!$D:$AM, 10, FALSE), 1)</f>
        <v>8.6037582153445258E-5</v>
      </c>
      <c r="R13" s="7">
        <f>$B13 * IFERROR(VLOOKUP("industry|NOx|Non-fatal heart attacks", US_national_yearly!$D:$AM, 26, FALSE) / VLOOKUP("industry|NOx|Non-fatal heart attacks", US_national_yearly!$D:$AM, 10, FALSE), 1)</f>
        <v>8.6864771308876822E-5</v>
      </c>
      <c r="S13" s="7">
        <f>$B13 * IFERROR(VLOOKUP("industry|NOx|Non-fatal heart attacks", US_national_yearly!$D:$AM, 27, FALSE) / VLOOKUP("industry|NOx|Non-fatal heart attacks", US_national_yearly!$D:$AM, 10, FALSE), 1)</f>
        <v>8.7244302192848605E-5</v>
      </c>
      <c r="T13" s="7">
        <f>$B13 * IFERROR(VLOOKUP("industry|NOx|Non-fatal heart attacks", US_national_yearly!$D:$AM, 28, FALSE) / VLOOKUP("industry|NOx|Non-fatal heart attacks", US_national_yearly!$D:$AM, 10, FALSE), 1)</f>
        <v>8.7623833076820362E-5</v>
      </c>
      <c r="U13" s="7">
        <f>$B13 * IFERROR(VLOOKUP("industry|NOx|Non-fatal heart attacks", US_national_yearly!$D:$AM, 29, FALSE) / VLOOKUP("industry|NOx|Non-fatal heart attacks", US_national_yearly!$D:$AM, 10, FALSE), 1)</f>
        <v>8.8003363960792119E-5</v>
      </c>
      <c r="V13" s="7">
        <f>$B13 * IFERROR(VLOOKUP("industry|NOx|Non-fatal heart attacks", US_national_yearly!$D:$AM, 30, FALSE) / VLOOKUP("industry|NOx|Non-fatal heart attacks", US_national_yearly!$D:$AM, 10, FALSE), 1)</f>
        <v>8.8382894844763889E-5</v>
      </c>
      <c r="W13" s="7">
        <f>$B13 * IFERROR(VLOOKUP("industry|NOx|Non-fatal heart attacks", US_national_yearly!$D:$AM, 31, FALSE) / VLOOKUP("industry|NOx|Non-fatal heart attacks", US_national_yearly!$D:$AM, 10, FALSE), 1)</f>
        <v>8.8762425728735659E-5</v>
      </c>
      <c r="X13" s="7">
        <f>$B13 * IFERROR(VLOOKUP("industry|NOx|Non-fatal heart attacks", US_national_yearly!$D:$AM, 32, FALSE) / VLOOKUP("industry|NOx|Non-fatal heart attacks", US_national_yearly!$D:$AM, 10, FALSE), 1)</f>
        <v>8.9018567496058725E-5</v>
      </c>
      <c r="Y13" s="7">
        <f>$B13 * IFERROR(VLOOKUP("industry|NOx|Non-fatal heart attacks", US_national_yearly!$D:$AM, 33, FALSE) / VLOOKUP("industry|NOx|Non-fatal heart attacks", US_national_yearly!$D:$AM, 10, FALSE), 1)</f>
        <v>8.9274709263381777E-5</v>
      </c>
      <c r="Z13" s="7">
        <f>$B13 * IFERROR(VLOOKUP("industry|NOx|Non-fatal heart attacks", US_national_yearly!$D:$AM, 34, FALSE) / VLOOKUP("industry|NOx|Non-fatal heart attacks", US_national_yearly!$D:$AM, 10, FALSE), 1)</f>
        <v>8.9530851030704842E-5</v>
      </c>
      <c r="AA13" s="7">
        <f>$B13 * IFERROR(VLOOKUP("industry|NOx|Non-fatal heart attacks", US_national_yearly!$D:$AM, 35, FALSE) / VLOOKUP("industry|NOx|Non-fatal heart attacks", US_national_yearly!$D:$AM, 10, FALSE), 1)</f>
        <v>8.9786992798027908E-5</v>
      </c>
      <c r="AB13" s="7">
        <f>$B13 * IFERROR(VLOOKUP("industry|NOx|Non-fatal heart attacks", US_national_yearly!$D:$AM, 36, FALSE) / VLOOKUP("industry|NOx|Non-fatal heart attacks", US_national_yearly!$D:$AM, 10, FALSE), 1)</f>
        <v>9.0043134565350973E-5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1.98539817374675E-2</v>
      </c>
      <c r="C14" s="7">
        <f>$B14 * IFERROR(VLOOKUP("industry|NOx|Minor restricted activity days", US_national_yearly!$D:$AM, 11, FALSE) / VLOOKUP("industry|NOx|Minor restricted activity days", US_national_yearly!$D:$AM, 10, FALSE), 1)</f>
        <v>1.9883396943434453E-2</v>
      </c>
      <c r="D14" s="7">
        <f>$B14 * IFERROR(VLOOKUP("industry|NOx|Minor restricted activity days", US_national_yearly!$D:$AM, 12, FALSE) / VLOOKUP("industry|NOx|Minor restricted activity days", US_national_yearly!$D:$AM, 10, FALSE), 1)</f>
        <v>1.9912812149401403E-2</v>
      </c>
      <c r="E14" s="7">
        <f>$B14 * IFERROR(VLOOKUP("industry|NOx|Minor restricted activity days", US_national_yearly!$D:$AM, 13, FALSE) / VLOOKUP("industry|NOx|Minor restricted activity days", US_national_yearly!$D:$AM, 10, FALSE), 1)</f>
        <v>1.994222735536836E-2</v>
      </c>
      <c r="F14" s="7">
        <f>$B14 * IFERROR(VLOOKUP("industry|NOx|Minor restricted activity days", US_national_yearly!$D:$AM, 14, FALSE) / VLOOKUP("industry|NOx|Minor restricted activity days", US_national_yearly!$D:$AM, 10, FALSE), 1)</f>
        <v>1.9971642561335309E-2</v>
      </c>
      <c r="G14" s="7">
        <f>$B14 * IFERROR(VLOOKUP("industry|NOx|Minor restricted activity days", US_national_yearly!$D:$AM, 15, FALSE) / VLOOKUP("industry|NOx|Minor restricted activity days", US_national_yearly!$D:$AM, 10, FALSE), 1)</f>
        <v>2.0025190192939548E-2</v>
      </c>
      <c r="H14" s="7">
        <f>$B14 * IFERROR(VLOOKUP("industry|NOx|Minor restricted activity days", US_national_yearly!$D:$AM, 16, FALSE) / VLOOKUP("industry|NOx|Minor restricted activity days", US_national_yearly!$D:$AM, 10, FALSE), 1)</f>
        <v>2.007873782454379E-2</v>
      </c>
      <c r="I14" s="7">
        <f>$B14 * IFERROR(VLOOKUP("industry|NOx|Minor restricted activity days", US_national_yearly!$D:$AM, 17, FALSE) / VLOOKUP("industry|NOx|Minor restricted activity days", US_national_yearly!$D:$AM, 10, FALSE), 1)</f>
        <v>2.0184153959730285E-2</v>
      </c>
      <c r="J14" s="7">
        <f>$B14 * IFERROR(VLOOKUP("industry|NOx|Minor restricted activity days", US_national_yearly!$D:$AM, 18, FALSE) / VLOOKUP("industry|NOx|Minor restricted activity days", US_national_yearly!$D:$AM, 10, FALSE), 1)</f>
        <v>2.0289570094916776E-2</v>
      </c>
      <c r="K14" s="7">
        <f>$B14 * IFERROR(VLOOKUP("industry|NOx|Minor restricted activity days", US_national_yearly!$D:$AM, 19, FALSE) / VLOOKUP("industry|NOx|Minor restricted activity days", US_national_yearly!$D:$AM, 10, FALSE), 1)</f>
        <v>2.0394986230103263E-2</v>
      </c>
      <c r="L14" s="7">
        <f>$B14 * IFERROR(VLOOKUP("industry|NOx|Minor restricted activity days", US_national_yearly!$D:$AM, 20, FALSE) / VLOOKUP("industry|NOx|Minor restricted activity days", US_national_yearly!$D:$AM, 10, FALSE), 1)</f>
        <v>2.0500402365289761E-2</v>
      </c>
      <c r="M14" s="7">
        <f>$B14 * IFERROR(VLOOKUP("industry|NOx|Minor restricted activity days", US_national_yearly!$D:$AM, 21, FALSE) / VLOOKUP("industry|NOx|Minor restricted activity days", US_national_yearly!$D:$AM, 10, FALSE), 1)</f>
        <v>2.0605818500476252E-2</v>
      </c>
      <c r="N14" s="7">
        <f>$B14 * IFERROR(VLOOKUP("industry|NOx|Minor restricted activity days", US_national_yearly!$D:$AM, 22, FALSE) / VLOOKUP("industry|NOx|Minor restricted activity days", US_national_yearly!$D:$AM, 10, FALSE), 1)</f>
        <v>2.0757624782431216E-2</v>
      </c>
      <c r="O14" s="7">
        <f>$B14 * IFERROR(VLOOKUP("industry|NOx|Minor restricted activity days", US_national_yearly!$D:$AM, 23, FALSE) / VLOOKUP("industry|NOx|Minor restricted activity days", US_national_yearly!$D:$AM, 10, FALSE), 1)</f>
        <v>2.0909431064386183E-2</v>
      </c>
      <c r="P14" s="7">
        <f>$B14 * IFERROR(VLOOKUP("industry|NOx|Minor restricted activity days", US_national_yearly!$D:$AM, 24, FALSE) / VLOOKUP("industry|NOx|Minor restricted activity days", US_national_yearly!$D:$AM, 10, FALSE), 1)</f>
        <v>2.1061237346341154E-2</v>
      </c>
      <c r="Q14" s="7">
        <f>$B14 * IFERROR(VLOOKUP("industry|NOx|Minor restricted activity days", US_national_yearly!$D:$AM, 25, FALSE) / VLOOKUP("industry|NOx|Minor restricted activity days", US_national_yearly!$D:$AM, 10, FALSE), 1)</f>
        <v>2.1213043628296117E-2</v>
      </c>
      <c r="R14" s="7">
        <f>$B14 * IFERROR(VLOOKUP("industry|NOx|Minor restricted activity days", US_national_yearly!$D:$AM, 26, FALSE) / VLOOKUP("industry|NOx|Minor restricted activity days", US_national_yearly!$D:$AM, 10, FALSE), 1)</f>
        <v>2.1364849910251085E-2</v>
      </c>
      <c r="S14" s="7">
        <f>$B14 * IFERROR(VLOOKUP("industry|NOx|Minor restricted activity days", US_national_yearly!$D:$AM, 27, FALSE) / VLOOKUP("industry|NOx|Minor restricted activity days", US_national_yearly!$D:$AM, 10, FALSE), 1)</f>
        <v>2.1516818721146271E-2</v>
      </c>
      <c r="T14" s="7">
        <f>$B14 * IFERROR(VLOOKUP("industry|NOx|Minor restricted activity days", US_national_yearly!$D:$AM, 28, FALSE) / VLOOKUP("industry|NOx|Minor restricted activity days", US_national_yearly!$D:$AM, 10, FALSE), 1)</f>
        <v>2.1668787532041461E-2</v>
      </c>
      <c r="U14" s="7">
        <f>$B14 * IFERROR(VLOOKUP("industry|NOx|Minor restricted activity days", US_national_yearly!$D:$AM, 29, FALSE) / VLOOKUP("industry|NOx|Minor restricted activity days", US_national_yearly!$D:$AM, 10, FALSE), 1)</f>
        <v>2.1820756342936651E-2</v>
      </c>
      <c r="V14" s="7">
        <f>$B14 * IFERROR(VLOOKUP("industry|NOx|Minor restricted activity days", US_national_yearly!$D:$AM, 30, FALSE) / VLOOKUP("industry|NOx|Minor restricted activity days", US_national_yearly!$D:$AM, 10, FALSE), 1)</f>
        <v>2.1972725153831842E-2</v>
      </c>
      <c r="W14" s="7">
        <f>$B14 * IFERROR(VLOOKUP("industry|NOx|Minor restricted activity days", US_national_yearly!$D:$AM, 31, FALSE) / VLOOKUP("industry|NOx|Minor restricted activity days", US_national_yearly!$D:$AM, 10, FALSE), 1)</f>
        <v>2.2124693964727032E-2</v>
      </c>
      <c r="X14" s="7">
        <f>$B14 * IFERROR(VLOOKUP("industry|NOx|Minor restricted activity days", US_national_yearly!$D:$AM, 32, FALSE) / VLOOKUP("industry|NOx|Minor restricted activity days", US_national_yearly!$D:$AM, 10, FALSE), 1)</f>
        <v>2.2252999013856446E-2</v>
      </c>
      <c r="Y14" s="7">
        <f>$B14 * IFERROR(VLOOKUP("industry|NOx|Minor restricted activity days", US_national_yearly!$D:$AM, 33, FALSE) / VLOOKUP("industry|NOx|Minor restricted activity days", US_national_yearly!$D:$AM, 10, FALSE), 1)</f>
        <v>2.2381304062985857E-2</v>
      </c>
      <c r="Z14" s="7">
        <f>$B14 * IFERROR(VLOOKUP("industry|NOx|Minor restricted activity days", US_national_yearly!$D:$AM, 34, FALSE) / VLOOKUP("industry|NOx|Minor restricted activity days", US_national_yearly!$D:$AM, 10, FALSE), 1)</f>
        <v>2.2509609112115268E-2</v>
      </c>
      <c r="AA14" s="7">
        <f>$B14 * IFERROR(VLOOKUP("industry|NOx|Minor restricted activity days", US_national_yearly!$D:$AM, 35, FALSE) / VLOOKUP("industry|NOx|Minor restricted activity days", US_national_yearly!$D:$AM, 10, FALSE), 1)</f>
        <v>2.2637914161244686E-2</v>
      </c>
      <c r="AB14" s="7">
        <f>$B14 * IFERROR(VLOOKUP("industry|NOx|Minor restricted activity days", US_national_yearly!$D:$AM, 36, FALSE) / VLOOKUP("industry|NOx|Minor restricted activity days", US_national_yearly!$D:$AM, 10, FALSE), 1)</f>
        <v>2.2766219210374101E-2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3.3072972093083344E-3</v>
      </c>
      <c r="C15" s="7">
        <f>$B15 * IFERROR(VLOOKUP("industry|NOx|Work loss days", US_national_yearly!$D:$AM, 11, FALSE) / VLOOKUP("industry|NOx|Work loss days", US_national_yearly!$D:$AM, 10, FALSE), 1)</f>
        <v>3.3144630537083612E-3</v>
      </c>
      <c r="D15" s="7">
        <f>$B15 * IFERROR(VLOOKUP("industry|NOx|Work loss days", US_national_yearly!$D:$AM, 12, FALSE) / VLOOKUP("industry|NOx|Work loss days", US_national_yearly!$D:$AM, 10, FALSE), 1)</f>
        <v>3.3216288981083864E-3</v>
      </c>
      <c r="E15" s="7">
        <f>$B15 * IFERROR(VLOOKUP("industry|NOx|Work loss days", US_national_yearly!$D:$AM, 13, FALSE) / VLOOKUP("industry|NOx|Work loss days", US_national_yearly!$D:$AM, 10, FALSE), 1)</f>
        <v>3.3287947425084128E-3</v>
      </c>
      <c r="F15" s="7">
        <f>$B15 * IFERROR(VLOOKUP("industry|NOx|Work loss days", US_national_yearly!$D:$AM, 14, FALSE) / VLOOKUP("industry|NOx|Work loss days", US_national_yearly!$D:$AM, 10, FALSE), 1)</f>
        <v>3.3359605869084387E-3</v>
      </c>
      <c r="G15" s="7">
        <f>$B15 * IFERROR(VLOOKUP("industry|NOx|Work loss days", US_national_yearly!$D:$AM, 15, FALSE) / VLOOKUP("industry|NOx|Work loss days", US_national_yearly!$D:$AM, 10, FALSE), 1)</f>
        <v>3.3464424200196257E-3</v>
      </c>
      <c r="H15" s="7">
        <f>$B15 * IFERROR(VLOOKUP("industry|NOx|Work loss days", US_national_yearly!$D:$AM, 16, FALSE) / VLOOKUP("industry|NOx|Work loss days", US_national_yearly!$D:$AM, 10, FALSE), 1)</f>
        <v>3.3569242531308126E-3</v>
      </c>
      <c r="I15" s="7">
        <f>$B15 * IFERROR(VLOOKUP("industry|NOx|Work loss days", US_national_yearly!$D:$AM, 17, FALSE) / VLOOKUP("industry|NOx|Work loss days", US_national_yearly!$D:$AM, 10, FALSE), 1)</f>
        <v>3.3739545742194534E-3</v>
      </c>
      <c r="J15" s="7">
        <f>$B15 * IFERROR(VLOOKUP("industry|NOx|Work loss days", US_national_yearly!$D:$AM, 18, FALSE) / VLOOKUP("industry|NOx|Work loss days", US_national_yearly!$D:$AM, 10, FALSE), 1)</f>
        <v>3.3909848953080938E-3</v>
      </c>
      <c r="K15" s="7">
        <f>$B15 * IFERROR(VLOOKUP("industry|NOx|Work loss days", US_national_yearly!$D:$AM, 19, FALSE) / VLOOKUP("industry|NOx|Work loss days", US_national_yearly!$D:$AM, 10, FALSE), 1)</f>
        <v>3.4080152163967346E-3</v>
      </c>
      <c r="L15" s="7">
        <f>$B15 * IFERROR(VLOOKUP("industry|NOx|Work loss days", US_national_yearly!$D:$AM, 20, FALSE) / VLOOKUP("industry|NOx|Work loss days", US_national_yearly!$D:$AM, 10, FALSE), 1)</f>
        <v>3.425045537485375E-3</v>
      </c>
      <c r="M15" s="7">
        <f>$B15 * IFERROR(VLOOKUP("industry|NOx|Work loss days", US_national_yearly!$D:$AM, 21, FALSE) / VLOOKUP("industry|NOx|Work loss days", US_national_yearly!$D:$AM, 10, FALSE), 1)</f>
        <v>3.4420758585740163E-3</v>
      </c>
      <c r="N15" s="7">
        <f>$B15 * IFERROR(VLOOKUP("industry|NOx|Work loss days", US_national_yearly!$D:$AM, 22, FALSE) / VLOOKUP("industry|NOx|Work loss days", US_national_yearly!$D:$AM, 10, FALSE), 1)</f>
        <v>3.4643476564769696E-3</v>
      </c>
      <c r="O15" s="7">
        <f>$B15 * IFERROR(VLOOKUP("industry|NOx|Work loss days", US_national_yearly!$D:$AM, 23, FALSE) / VLOOKUP("industry|NOx|Work loss days", US_national_yearly!$D:$AM, 10, FALSE), 1)</f>
        <v>3.4866194543799241E-3</v>
      </c>
      <c r="P15" s="7">
        <f>$B15 * IFERROR(VLOOKUP("industry|NOx|Work loss days", US_national_yearly!$D:$AM, 24, FALSE) / VLOOKUP("industry|NOx|Work loss days", US_national_yearly!$D:$AM, 10, FALSE), 1)</f>
        <v>3.5088912522828774E-3</v>
      </c>
      <c r="Q15" s="7">
        <f>$B15 * IFERROR(VLOOKUP("industry|NOx|Work loss days", US_national_yearly!$D:$AM, 25, FALSE) / VLOOKUP("industry|NOx|Work loss days", US_national_yearly!$D:$AM, 10, FALSE), 1)</f>
        <v>3.5311630501858311E-3</v>
      </c>
      <c r="R15" s="7">
        <f>$B15 * IFERROR(VLOOKUP("industry|NOx|Work loss days", US_national_yearly!$D:$AM, 26, FALSE) / VLOOKUP("industry|NOx|Work loss days", US_national_yearly!$D:$AM, 10, FALSE), 1)</f>
        <v>3.5534348480887852E-3</v>
      </c>
      <c r="S15" s="7">
        <f>$B15 * IFERROR(VLOOKUP("industry|NOx|Work loss days", US_national_yearly!$D:$AM, 27, FALSE) / VLOOKUP("industry|NOx|Work loss days", US_national_yearly!$D:$AM, 10, FALSE), 1)</f>
        <v>3.5783333690989978E-3</v>
      </c>
      <c r="T15" s="7">
        <f>$B15 * IFERROR(VLOOKUP("industry|NOx|Work loss days", US_national_yearly!$D:$AM, 28, FALSE) / VLOOKUP("industry|NOx|Work loss days", US_national_yearly!$D:$AM, 10, FALSE), 1)</f>
        <v>3.6032318901092109E-3</v>
      </c>
      <c r="U15" s="7">
        <f>$B15 * IFERROR(VLOOKUP("industry|NOx|Work loss days", US_national_yearly!$D:$AM, 29, FALSE) / VLOOKUP("industry|NOx|Work loss days", US_national_yearly!$D:$AM, 10, FALSE), 1)</f>
        <v>3.6281304111194239E-3</v>
      </c>
      <c r="V15" s="7">
        <f>$B15 * IFERROR(VLOOKUP("industry|NOx|Work loss days", US_national_yearly!$D:$AM, 30, FALSE) / VLOOKUP("industry|NOx|Work loss days", US_national_yearly!$D:$AM, 10, FALSE), 1)</f>
        <v>3.6530289321296365E-3</v>
      </c>
      <c r="W15" s="7">
        <f>$B15 * IFERROR(VLOOKUP("industry|NOx|Work loss days", US_national_yearly!$D:$AM, 31, FALSE) / VLOOKUP("industry|NOx|Work loss days", US_national_yearly!$D:$AM, 10, FALSE), 1)</f>
        <v>3.6779274531398495E-3</v>
      </c>
      <c r="X15" s="7">
        <f>$B15 * IFERROR(VLOOKUP("industry|NOx|Work loss days", US_national_yearly!$D:$AM, 32, FALSE) / VLOOKUP("industry|NOx|Work loss days", US_national_yearly!$D:$AM, 10, FALSE), 1)</f>
        <v>3.6995277884520408E-3</v>
      </c>
      <c r="Y15" s="7">
        <f>$B15 * IFERROR(VLOOKUP("industry|NOx|Work loss days", US_national_yearly!$D:$AM, 33, FALSE) / VLOOKUP("industry|NOx|Work loss days", US_national_yearly!$D:$AM, 10, FALSE), 1)</f>
        <v>3.7211281237642321E-3</v>
      </c>
      <c r="Z15" s="7">
        <f>$B15 * IFERROR(VLOOKUP("industry|NOx|Work loss days", US_national_yearly!$D:$AM, 34, FALSE) / VLOOKUP("industry|NOx|Work loss days", US_national_yearly!$D:$AM, 10, FALSE), 1)</f>
        <v>3.7427284590764234E-3</v>
      </c>
      <c r="AA15" s="7">
        <f>$B15 * IFERROR(VLOOKUP("industry|NOx|Work loss days", US_national_yearly!$D:$AM, 35, FALSE) / VLOOKUP("industry|NOx|Work loss days", US_national_yearly!$D:$AM, 10, FALSE), 1)</f>
        <v>3.7643287943886147E-3</v>
      </c>
      <c r="AB15" s="7">
        <f>$B15 * IFERROR(VLOOKUP("industry|NOx|Work loss days", US_national_yearly!$D:$AM, 36, FALSE) / VLOOKUP("industry|NOx|Work loss days", US_national_yearly!$D:$AM, 10, FALSE), 1)</f>
        <v>3.785929129700806E-3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8.9837180633639828E-6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9.2475040225947835E-6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9.5112899818255859E-6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9.7750759410563867E-6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1.0038861900287189E-5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1.0289570446168823E-5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1.0540278992050459E-5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1.0751644436772317E-5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1.0963009881494172E-5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1.1174375326216026E-5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1.1385740770937884E-5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1.1597106215659738E-5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1.1729429681893319E-5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1.1861753148126896E-5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1.1994076614360476E-5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1.2126400080594055E-5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1.2258723546827633E-5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1.2319766964283367E-5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1.23808103817391E-5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1.2441853799194834E-5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1.2502897216650567E-5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1.2563940634106303E-5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1.2598429738352107E-5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1.2632918842597911E-5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1.2667407946843716E-5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1.2701897051089519E-5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1.2736386155335325E-5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1.9565206330121503E-3</v>
      </c>
      <c r="C2" s="7">
        <f>$B2 * IFERROR(VLOOKUP("industry|SO2|Premature mortality", US_national_yearly!$D:$AM, 11, FALSE) / VLOOKUP("industry|SO2|Premature mortality", US_national_yearly!$D:$AM, 10, FALSE), 1)</f>
        <v>1.9813232546995957E-3</v>
      </c>
      <c r="D2" s="7">
        <f>$B2 * IFERROR(VLOOKUP("industry|SO2|Premature mortality", US_national_yearly!$D:$AM, 12, FALSE) / VLOOKUP("industry|SO2|Premature mortality", US_national_yearly!$D:$AM, 10, FALSE), 1)</f>
        <v>2.0061258763870407E-3</v>
      </c>
      <c r="E2" s="7">
        <f>$B2 * IFERROR(VLOOKUP("industry|SO2|Premature mortality", US_national_yearly!$D:$AM, 13, FALSE) / VLOOKUP("industry|SO2|Premature mortality", US_national_yearly!$D:$AM, 10, FALSE), 1)</f>
        <v>2.0309284980744857E-3</v>
      </c>
      <c r="F2" s="7">
        <f>$B2 * IFERROR(VLOOKUP("industry|SO2|Premature mortality", US_national_yearly!$D:$AM, 14, FALSE) / VLOOKUP("industry|SO2|Premature mortality", US_national_yearly!$D:$AM, 10, FALSE), 1)</f>
        <v>2.0557311197619312E-3</v>
      </c>
      <c r="G2" s="7">
        <f>$B2 * IFERROR(VLOOKUP("industry|SO2|Premature mortality", US_national_yearly!$D:$AM, 15, FALSE) / VLOOKUP("industry|SO2|Premature mortality", US_national_yearly!$D:$AM, 10, FALSE), 1)</f>
        <v>2.1035372706349992E-3</v>
      </c>
      <c r="H2" s="7">
        <f>$B2 * IFERROR(VLOOKUP("industry|SO2|Premature mortality", US_national_yearly!$D:$AM, 16, FALSE) / VLOOKUP("industry|SO2|Premature mortality", US_national_yearly!$D:$AM, 10, FALSE), 1)</f>
        <v>2.1513434215080672E-3</v>
      </c>
      <c r="I2" s="7">
        <f>$B2 * IFERROR(VLOOKUP("industry|SO2|Premature mortality", US_national_yearly!$D:$AM, 17, FALSE) / VLOOKUP("industry|SO2|Premature mortality", US_national_yearly!$D:$AM, 10, FALSE), 1)</f>
        <v>2.1829992553801742E-3</v>
      </c>
      <c r="J2" s="7">
        <f>$B2 * IFERROR(VLOOKUP("industry|SO2|Premature mortality", US_national_yearly!$D:$AM, 18, FALSE) / VLOOKUP("industry|SO2|Premature mortality", US_national_yearly!$D:$AM, 10, FALSE), 1)</f>
        <v>2.2146550892522803E-3</v>
      </c>
      <c r="K2" s="7">
        <f>$B2 * IFERROR(VLOOKUP("industry|SO2|Premature mortality", US_national_yearly!$D:$AM, 19, FALSE) / VLOOKUP("industry|SO2|Premature mortality", US_national_yearly!$D:$AM, 10, FALSE), 1)</f>
        <v>2.2463109231243869E-3</v>
      </c>
      <c r="L2" s="7">
        <f>$B2 * IFERROR(VLOOKUP("industry|SO2|Premature mortality", US_national_yearly!$D:$AM, 20, FALSE) / VLOOKUP("industry|SO2|Premature mortality", US_national_yearly!$D:$AM, 10, FALSE), 1)</f>
        <v>2.2779667569964939E-3</v>
      </c>
      <c r="M2" s="7">
        <f>$B2 * IFERROR(VLOOKUP("industry|SO2|Premature mortality", US_national_yearly!$D:$AM, 21, FALSE) / VLOOKUP("industry|SO2|Premature mortality", US_national_yearly!$D:$AM, 10, FALSE), 1)</f>
        <v>2.3096225908686E-3</v>
      </c>
      <c r="N2" s="7">
        <f>$B2 * IFERROR(VLOOKUP("industry|SO2|Premature mortality", US_national_yearly!$D:$AM, 22, FALSE) / VLOOKUP("industry|SO2|Premature mortality", US_national_yearly!$D:$AM, 10, FALSE), 1)</f>
        <v>2.3343849794907443E-3</v>
      </c>
      <c r="O2" s="7">
        <f>$B2 * IFERROR(VLOOKUP("industry|SO2|Premature mortality", US_national_yearly!$D:$AM, 23, FALSE) / VLOOKUP("industry|SO2|Premature mortality", US_national_yearly!$D:$AM, 10, FALSE), 1)</f>
        <v>2.3591473681128889E-3</v>
      </c>
      <c r="P2" s="7">
        <f>$B2 * IFERROR(VLOOKUP("industry|SO2|Premature mortality", US_national_yearly!$D:$AM, 24, FALSE) / VLOOKUP("industry|SO2|Premature mortality", US_national_yearly!$D:$AM, 10, FALSE), 1)</f>
        <v>2.3839097567350332E-3</v>
      </c>
      <c r="Q2" s="7">
        <f>$B2 * IFERROR(VLOOKUP("industry|SO2|Premature mortality", US_national_yearly!$D:$AM, 25, FALSE) / VLOOKUP("industry|SO2|Premature mortality", US_national_yearly!$D:$AM, 10, FALSE), 1)</f>
        <v>2.4086721453571774E-3</v>
      </c>
      <c r="R2" s="7">
        <f>$B2 * IFERROR(VLOOKUP("industry|SO2|Premature mortality", US_national_yearly!$D:$AM, 26, FALSE) / VLOOKUP("industry|SO2|Premature mortality", US_national_yearly!$D:$AM, 10, FALSE), 1)</f>
        <v>2.4334345339793221E-3</v>
      </c>
      <c r="S2" s="7">
        <f>$B2 * IFERROR(VLOOKUP("industry|SO2|Premature mortality", US_national_yearly!$D:$AM, 27, FALSE) / VLOOKUP("industry|SO2|Premature mortality", US_national_yearly!$D:$AM, 10, FALSE), 1)</f>
        <v>2.44680485965836E-3</v>
      </c>
      <c r="T2" s="7">
        <f>$B2 * IFERROR(VLOOKUP("industry|SO2|Premature mortality", US_national_yearly!$D:$AM, 28, FALSE) / VLOOKUP("industry|SO2|Premature mortality", US_national_yearly!$D:$AM, 10, FALSE), 1)</f>
        <v>2.4601751853373988E-3</v>
      </c>
      <c r="U2" s="7">
        <f>$B2 * IFERROR(VLOOKUP("industry|SO2|Premature mortality", US_national_yearly!$D:$AM, 29, FALSE) / VLOOKUP("industry|SO2|Premature mortality", US_national_yearly!$D:$AM, 10, FALSE), 1)</f>
        <v>2.4735455110164381E-3</v>
      </c>
      <c r="V2" s="7">
        <f>$B2 * IFERROR(VLOOKUP("industry|SO2|Premature mortality", US_national_yearly!$D:$AM, 30, FALSE) / VLOOKUP("industry|SO2|Premature mortality", US_national_yearly!$D:$AM, 10, FALSE), 1)</f>
        <v>2.4869158366954769E-3</v>
      </c>
      <c r="W2" s="7">
        <f>$B2 * IFERROR(VLOOKUP("industry|SO2|Premature mortality", US_national_yearly!$D:$AM, 31, FALSE) / VLOOKUP("industry|SO2|Premature mortality", US_national_yearly!$D:$AM, 10, FALSE), 1)</f>
        <v>2.5002861623745153E-3</v>
      </c>
      <c r="X2" s="7">
        <f>$B2 * IFERROR(VLOOKUP("industry|SO2|Premature mortality", US_national_yearly!$D:$AM, 32, FALSE) / VLOOKUP("industry|SO2|Premature mortality", US_national_yearly!$D:$AM, 10, FALSE), 1)</f>
        <v>2.5031638644415193E-3</v>
      </c>
      <c r="Y2" s="7">
        <f>$B2 * IFERROR(VLOOKUP("industry|SO2|Premature mortality", US_national_yearly!$D:$AM, 33, FALSE) / VLOOKUP("industry|SO2|Premature mortality", US_national_yearly!$D:$AM, 10, FALSE), 1)</f>
        <v>2.5060415665085238E-3</v>
      </c>
      <c r="Z2" s="7">
        <f>$B2 * IFERROR(VLOOKUP("industry|SO2|Premature mortality", US_national_yearly!$D:$AM, 34, FALSE) / VLOOKUP("industry|SO2|Premature mortality", US_national_yearly!$D:$AM, 10, FALSE), 1)</f>
        <v>2.5089192685755282E-3</v>
      </c>
      <c r="AA2" s="7">
        <f>$B2 * IFERROR(VLOOKUP("industry|SO2|Premature mortality", US_national_yearly!$D:$AM, 35, FALSE) / VLOOKUP("industry|SO2|Premature mortality", US_national_yearly!$D:$AM, 10, FALSE), 1)</f>
        <v>2.5117969706425322E-3</v>
      </c>
      <c r="AB2" s="7">
        <f>$B2 * IFERROR(VLOOKUP("industry|SO2|Premature mortality", US_national_yearly!$D:$AM, 36, FALSE) / VLOOKUP("industry|SO2|Premature mortality", US_national_yearly!$D:$AM, 10, FALSE), 1)</f>
        <v>2.5146746727095362E-3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3.3938620227768274E-6</v>
      </c>
      <c r="C3" s="7">
        <f>$B3 * IFERROR(VLOOKUP("industry|SO2|Infant mortality", US_national_yearly!$D:$AM, 11, FALSE) / VLOOKUP("industry|SO2|Infant mortality", US_national_yearly!$D:$AM, 10, FALSE), 1)</f>
        <v>3.3646643660712362E-6</v>
      </c>
      <c r="D3" s="7">
        <f>$B3 * IFERROR(VLOOKUP("industry|SO2|Infant mortality", US_national_yearly!$D:$AM, 12, FALSE) / VLOOKUP("industry|SO2|Infant mortality", US_national_yearly!$D:$AM, 10, FALSE), 1)</f>
        <v>3.3354667093656458E-6</v>
      </c>
      <c r="E3" s="7">
        <f>$B3 * IFERROR(VLOOKUP("industry|SO2|Infant mortality", US_national_yearly!$D:$AM, 13, FALSE) / VLOOKUP("industry|SO2|Infant mortality", US_national_yearly!$D:$AM, 10, FALSE), 1)</f>
        <v>3.3062690526600546E-6</v>
      </c>
      <c r="F3" s="7">
        <f>$B3 * IFERROR(VLOOKUP("industry|SO2|Infant mortality", US_national_yearly!$D:$AM, 14, FALSE) / VLOOKUP("industry|SO2|Infant mortality", US_national_yearly!$D:$AM, 10, FALSE), 1)</f>
        <v>3.2770713959544639E-6</v>
      </c>
      <c r="G3" s="7">
        <f>$B3 * IFERROR(VLOOKUP("industry|SO2|Infant mortality", US_national_yearly!$D:$AM, 15, FALSE) / VLOOKUP("industry|SO2|Infant mortality", US_national_yearly!$D:$AM, 10, FALSE), 1)</f>
        <v>2.1815410088866668E-6</v>
      </c>
      <c r="H3" s="7">
        <f>$B3 * IFERROR(VLOOKUP("industry|SO2|Infant mortality", US_national_yearly!$D:$AM, 16, FALSE) / VLOOKUP("industry|SO2|Infant mortality", US_national_yearly!$D:$AM, 10, FALSE), 1)</f>
        <v>1.0860106218188695E-6</v>
      </c>
      <c r="I3" s="7">
        <f>$B3 * IFERROR(VLOOKUP("industry|SO2|Infant mortality", US_national_yearly!$D:$AM, 17, FALSE) / VLOOKUP("industry|SO2|Infant mortality", US_national_yearly!$D:$AM, 10, FALSE), 1)</f>
        <v>1.0791145469969607E-6</v>
      </c>
      <c r="J3" s="7">
        <f>$B3 * IFERROR(VLOOKUP("industry|SO2|Infant mortality", US_national_yearly!$D:$AM, 18, FALSE) / VLOOKUP("industry|SO2|Infant mortality", US_national_yearly!$D:$AM, 10, FALSE), 1)</f>
        <v>1.0722184721750522E-6</v>
      </c>
      <c r="K3" s="7">
        <f>$B3 * IFERROR(VLOOKUP("industry|SO2|Infant mortality", US_national_yearly!$D:$AM, 19, FALSE) / VLOOKUP("industry|SO2|Infant mortality", US_national_yearly!$D:$AM, 10, FALSE), 1)</f>
        <v>1.0653223973531435E-6</v>
      </c>
      <c r="L3" s="7">
        <f>$B3 * IFERROR(VLOOKUP("industry|SO2|Infant mortality", US_national_yearly!$D:$AM, 20, FALSE) / VLOOKUP("industry|SO2|Infant mortality", US_national_yearly!$D:$AM, 10, FALSE), 1)</f>
        <v>1.058426322531235E-6</v>
      </c>
      <c r="M3" s="7">
        <f>$B3 * IFERROR(VLOOKUP("industry|SO2|Infant mortality", US_national_yearly!$D:$AM, 21, FALSE) / VLOOKUP("industry|SO2|Infant mortality", US_national_yearly!$D:$AM, 10, FALSE), 1)</f>
        <v>1.0515302477093263E-6</v>
      </c>
      <c r="N3" s="7">
        <f>$B3 * IFERROR(VLOOKUP("industry|SO2|Infant mortality", US_national_yearly!$D:$AM, 22, FALSE) / VLOOKUP("industry|SO2|Infant mortality", US_national_yearly!$D:$AM, 10, FALSE), 1)</f>
        <v>1.047159483089802E-6</v>
      </c>
      <c r="O3" s="7">
        <f>$B3 * IFERROR(VLOOKUP("industry|SO2|Infant mortality", US_national_yearly!$D:$AM, 23, FALSE) / VLOOKUP("industry|SO2|Infant mortality", US_national_yearly!$D:$AM, 10, FALSE), 1)</f>
        <v>1.0427887184702775E-6</v>
      </c>
      <c r="P3" s="7">
        <f>$B3 * IFERROR(VLOOKUP("industry|SO2|Infant mortality", US_national_yearly!$D:$AM, 24, FALSE) / VLOOKUP("industry|SO2|Infant mortality", US_national_yearly!$D:$AM, 10, FALSE), 1)</f>
        <v>1.0384179538507532E-6</v>
      </c>
      <c r="Q3" s="7">
        <f>$B3 * IFERROR(VLOOKUP("industry|SO2|Infant mortality", US_national_yearly!$D:$AM, 25, FALSE) / VLOOKUP("industry|SO2|Infant mortality", US_national_yearly!$D:$AM, 10, FALSE), 1)</f>
        <v>1.0340471892312289E-6</v>
      </c>
      <c r="R3" s="7">
        <f>$B3 * IFERROR(VLOOKUP("industry|SO2|Infant mortality", US_national_yearly!$D:$AM, 26, FALSE) / VLOOKUP("industry|SO2|Infant mortality", US_national_yearly!$D:$AM, 10, FALSE), 1)</f>
        <v>1.0296764246117044E-6</v>
      </c>
      <c r="S3" s="7">
        <f>$B3 * IFERROR(VLOOKUP("industry|SO2|Infant mortality", US_national_yearly!$D:$AM, 27, FALSE) / VLOOKUP("industry|SO2|Infant mortality", US_national_yearly!$D:$AM, 10, FALSE), 1)</f>
        <v>1.0242370579030086E-6</v>
      </c>
      <c r="T3" s="7">
        <f>$B3 * IFERROR(VLOOKUP("industry|SO2|Infant mortality", US_national_yearly!$D:$AM, 28, FALSE) / VLOOKUP("industry|SO2|Infant mortality", US_national_yearly!$D:$AM, 10, FALSE), 1)</f>
        <v>1.0187976911943128E-6</v>
      </c>
      <c r="U3" s="7">
        <f>$B3 * IFERROR(VLOOKUP("industry|SO2|Infant mortality", US_national_yearly!$D:$AM, 29, FALSE) / VLOOKUP("industry|SO2|Infant mortality", US_national_yearly!$D:$AM, 10, FALSE), 1)</f>
        <v>1.013358324485617E-6</v>
      </c>
      <c r="V3" s="7">
        <f>$B3 * IFERROR(VLOOKUP("industry|SO2|Infant mortality", US_national_yearly!$D:$AM, 30, FALSE) / VLOOKUP("industry|SO2|Infant mortality", US_national_yearly!$D:$AM, 10, FALSE), 1)</f>
        <v>1.0079189577769212E-6</v>
      </c>
      <c r="W3" s="7">
        <f>$B3 * IFERROR(VLOOKUP("industry|SO2|Infant mortality", US_national_yearly!$D:$AM, 31, FALSE) / VLOOKUP("industry|SO2|Infant mortality", US_national_yearly!$D:$AM, 10, FALSE), 1)</f>
        <v>1.0024795910682254E-6</v>
      </c>
      <c r="X3" s="7">
        <f>$B3 * IFERROR(VLOOKUP("industry|SO2|Infant mortality", US_national_yearly!$D:$AM, 32, FALSE) / VLOOKUP("industry|SO2|Infant mortality", US_national_yearly!$D:$AM, 10, FALSE), 1)</f>
        <v>9.9656862267762679E-7</v>
      </c>
      <c r="Y3" s="7">
        <f>$B3 * IFERROR(VLOOKUP("industry|SO2|Infant mortality", US_national_yearly!$D:$AM, 33, FALSE) / VLOOKUP("industry|SO2|Infant mortality", US_national_yearly!$D:$AM, 10, FALSE), 1)</f>
        <v>9.9065765428702814E-7</v>
      </c>
      <c r="Z3" s="7">
        <f>$B3 * IFERROR(VLOOKUP("industry|SO2|Infant mortality", US_national_yearly!$D:$AM, 34, FALSE) / VLOOKUP("industry|SO2|Infant mortality", US_national_yearly!$D:$AM, 10, FALSE), 1)</f>
        <v>9.8474668589642949E-7</v>
      </c>
      <c r="AA3" s="7">
        <f>$B3 * IFERROR(VLOOKUP("industry|SO2|Infant mortality", US_national_yearly!$D:$AM, 35, FALSE) / VLOOKUP("industry|SO2|Infant mortality", US_national_yearly!$D:$AM, 10, FALSE), 1)</f>
        <v>9.7883571750583084E-7</v>
      </c>
      <c r="AB3" s="7">
        <f>$B3 * IFERROR(VLOOKUP("industry|SO2|Infant mortality", US_national_yearly!$D:$AM, 36, FALSE) / VLOOKUP("industry|SO2|Infant mortality", US_national_yearly!$D:$AM, 10, FALSE), 1)</f>
        <v>9.7292474911523219E-7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3.4040772765133709E-3</v>
      </c>
      <c r="C6" s="7">
        <f>$B6 * IFERROR(VLOOKUP("industry|SO2|Asthma symptoms cough", US_national_yearly!$D:$AM, 11, FALSE) / VLOOKUP("industry|SO2|Asthma symptoms cough", US_national_yearly!$D:$AM, 10, FALSE), 1)</f>
        <v>3.4040772765133709E-3</v>
      </c>
      <c r="D6" s="7">
        <f>$B6 * IFERROR(VLOOKUP("industry|SO2|Asthma symptoms cough", US_national_yearly!$D:$AM, 12, FALSE) / VLOOKUP("industry|SO2|Asthma symptoms cough", US_national_yearly!$D:$AM, 10, FALSE), 1)</f>
        <v>3.4040772765133709E-3</v>
      </c>
      <c r="E6" s="7">
        <f>$B6 * IFERROR(VLOOKUP("industry|SO2|Asthma symptoms cough", US_national_yearly!$D:$AM, 13, FALSE) / VLOOKUP("industry|SO2|Asthma symptoms cough", US_national_yearly!$D:$AM, 10, FALSE), 1)</f>
        <v>3.4040772765133709E-3</v>
      </c>
      <c r="F6" s="7">
        <f>$B6 * IFERROR(VLOOKUP("industry|SO2|Asthma symptoms cough", US_national_yearly!$D:$AM, 14, FALSE) / VLOOKUP("industry|SO2|Asthma symptoms cough", US_national_yearly!$D:$AM, 10, FALSE), 1)</f>
        <v>3.4040772765133709E-3</v>
      </c>
      <c r="G6" s="7">
        <f>$B6 * IFERROR(VLOOKUP("industry|SO2|Asthma symptoms cough", US_national_yearly!$D:$AM, 15, FALSE) / VLOOKUP("industry|SO2|Asthma symptoms cough", US_national_yearly!$D:$AM, 10, FALSE), 1)</f>
        <v>3.4040772765133709E-3</v>
      </c>
      <c r="H6" s="7">
        <f>$B6 * IFERROR(VLOOKUP("industry|SO2|Asthma symptoms cough", US_national_yearly!$D:$AM, 16, FALSE) / VLOOKUP("industry|SO2|Asthma symptoms cough", US_national_yearly!$D:$AM, 10, FALSE), 1)</f>
        <v>3.4040772765133709E-3</v>
      </c>
      <c r="I6" s="7">
        <f>$B6 * IFERROR(VLOOKUP("industry|SO2|Asthma symptoms cough", US_national_yearly!$D:$AM, 17, FALSE) / VLOOKUP("industry|SO2|Asthma symptoms cough", US_national_yearly!$D:$AM, 10, FALSE), 1)</f>
        <v>3.4040772765133709E-3</v>
      </c>
      <c r="J6" s="7">
        <f>$B6 * IFERROR(VLOOKUP("industry|SO2|Asthma symptoms cough", US_national_yearly!$D:$AM, 18, FALSE) / VLOOKUP("industry|SO2|Asthma symptoms cough", US_national_yearly!$D:$AM, 10, FALSE), 1)</f>
        <v>3.4040772765133709E-3</v>
      </c>
      <c r="K6" s="7">
        <f>$B6 * IFERROR(VLOOKUP("industry|SO2|Asthma symptoms cough", US_national_yearly!$D:$AM, 19, FALSE) / VLOOKUP("industry|SO2|Asthma symptoms cough", US_national_yearly!$D:$AM, 10, FALSE), 1)</f>
        <v>3.4040772765133709E-3</v>
      </c>
      <c r="L6" s="7">
        <f>$B6 * IFERROR(VLOOKUP("industry|SO2|Asthma symptoms cough", US_national_yearly!$D:$AM, 20, FALSE) / VLOOKUP("industry|SO2|Asthma symptoms cough", US_national_yearly!$D:$AM, 10, FALSE), 1)</f>
        <v>3.4040772765133709E-3</v>
      </c>
      <c r="M6" s="7">
        <f>$B6 * IFERROR(VLOOKUP("industry|SO2|Asthma symptoms cough", US_national_yearly!$D:$AM, 21, FALSE) / VLOOKUP("industry|SO2|Asthma symptoms cough", US_national_yearly!$D:$AM, 10, FALSE), 1)</f>
        <v>3.4040772765133709E-3</v>
      </c>
      <c r="N6" s="7">
        <f>$B6 * IFERROR(VLOOKUP("industry|SO2|Asthma symptoms cough", US_national_yearly!$D:$AM, 22, FALSE) / VLOOKUP("industry|SO2|Asthma symptoms cough", US_national_yearly!$D:$AM, 10, FALSE), 1)</f>
        <v>3.4040772765133709E-3</v>
      </c>
      <c r="O6" s="7">
        <f>$B6 * IFERROR(VLOOKUP("industry|SO2|Asthma symptoms cough", US_national_yearly!$D:$AM, 23, FALSE) / VLOOKUP("industry|SO2|Asthma symptoms cough", US_national_yearly!$D:$AM, 10, FALSE), 1)</f>
        <v>3.4040772765133709E-3</v>
      </c>
      <c r="P6" s="7">
        <f>$B6 * IFERROR(VLOOKUP("industry|SO2|Asthma symptoms cough", US_national_yearly!$D:$AM, 24, FALSE) / VLOOKUP("industry|SO2|Asthma symptoms cough", US_national_yearly!$D:$AM, 10, FALSE), 1)</f>
        <v>3.4040772765133709E-3</v>
      </c>
      <c r="Q6" s="7">
        <f>$B6 * IFERROR(VLOOKUP("industry|SO2|Asthma symptoms cough", US_national_yearly!$D:$AM, 25, FALSE) / VLOOKUP("industry|SO2|Asthma symptoms cough", US_national_yearly!$D:$AM, 10, FALSE), 1)</f>
        <v>3.4040772765133709E-3</v>
      </c>
      <c r="R6" s="7">
        <f>$B6 * IFERROR(VLOOKUP("industry|SO2|Asthma symptoms cough", US_national_yearly!$D:$AM, 26, FALSE) / VLOOKUP("industry|SO2|Asthma symptoms cough", US_national_yearly!$D:$AM, 10, FALSE), 1)</f>
        <v>3.4040772765133709E-3</v>
      </c>
      <c r="S6" s="7">
        <f>$B6 * IFERROR(VLOOKUP("industry|SO2|Asthma symptoms cough", US_national_yearly!$D:$AM, 27, FALSE) / VLOOKUP("industry|SO2|Asthma symptoms cough", US_national_yearly!$D:$AM, 10, FALSE), 1)</f>
        <v>3.4040772765133709E-3</v>
      </c>
      <c r="T6" s="7">
        <f>$B6 * IFERROR(VLOOKUP("industry|SO2|Asthma symptoms cough", US_national_yearly!$D:$AM, 28, FALSE) / VLOOKUP("industry|SO2|Asthma symptoms cough", US_national_yearly!$D:$AM, 10, FALSE), 1)</f>
        <v>3.4040772765133709E-3</v>
      </c>
      <c r="U6" s="7">
        <f>$B6 * IFERROR(VLOOKUP("industry|SO2|Asthma symptoms cough", US_national_yearly!$D:$AM, 29, FALSE) / VLOOKUP("industry|SO2|Asthma symptoms cough", US_national_yearly!$D:$AM, 10, FALSE), 1)</f>
        <v>3.4040772765133709E-3</v>
      </c>
      <c r="V6" s="7">
        <f>$B6 * IFERROR(VLOOKUP("industry|SO2|Asthma symptoms cough", US_national_yearly!$D:$AM, 30, FALSE) / VLOOKUP("industry|SO2|Asthma symptoms cough", US_national_yearly!$D:$AM, 10, FALSE), 1)</f>
        <v>3.4040772765133709E-3</v>
      </c>
      <c r="W6" s="7">
        <f>$B6 * IFERROR(VLOOKUP("industry|SO2|Asthma symptoms cough", US_national_yearly!$D:$AM, 31, FALSE) / VLOOKUP("industry|SO2|Asthma symptoms cough", US_national_yearly!$D:$AM, 10, FALSE), 1)</f>
        <v>3.4040772765133709E-3</v>
      </c>
      <c r="X6" s="7">
        <f>$B6 * IFERROR(VLOOKUP("industry|SO2|Asthma symptoms cough", US_national_yearly!$D:$AM, 32, FALSE) / VLOOKUP("industry|SO2|Asthma symptoms cough", US_national_yearly!$D:$AM, 10, FALSE), 1)</f>
        <v>3.4040772765133709E-3</v>
      </c>
      <c r="Y6" s="7">
        <f>$B6 * IFERROR(VLOOKUP("industry|SO2|Asthma symptoms cough", US_national_yearly!$D:$AM, 33, FALSE) / VLOOKUP("industry|SO2|Asthma symptoms cough", US_national_yearly!$D:$AM, 10, FALSE), 1)</f>
        <v>3.4040772765133709E-3</v>
      </c>
      <c r="Z6" s="7">
        <f>$B6 * IFERROR(VLOOKUP("industry|SO2|Asthma symptoms cough", US_national_yearly!$D:$AM, 34, FALSE) / VLOOKUP("industry|SO2|Asthma symptoms cough", US_national_yearly!$D:$AM, 10, FALSE), 1)</f>
        <v>3.4040772765133709E-3</v>
      </c>
      <c r="AA6" s="7">
        <f>$B6 * IFERROR(VLOOKUP("industry|SO2|Asthma symptoms cough", US_national_yearly!$D:$AM, 35, FALSE) / VLOOKUP("industry|SO2|Asthma symptoms cough", US_national_yearly!$D:$AM, 10, FALSE), 1)</f>
        <v>3.4040772765133709E-3</v>
      </c>
      <c r="AB6" s="7">
        <f>$B6 * IFERROR(VLOOKUP("industry|SO2|Asthma symptoms cough", US_national_yearly!$D:$AM, 36, FALSE) / VLOOKUP("industry|SO2|Asthma symptoms cough", US_national_yearly!$D:$AM, 10, FALSE), 1)</f>
        <v>3.4040772765133709E-3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4.5840765178771017E-3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4.5840765178771017E-3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4.5840765178771017E-3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4.5840765178771017E-3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4.5840765178771017E-3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4.5840765178771017E-3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4.5840765178771017E-3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4.5840765178771017E-3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4.5840765178771017E-3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4.5840765178771017E-3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4.5840765178771017E-3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4.5840765178771017E-3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4.5840765178771017E-3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4.5840765178771017E-3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4.5840765178771017E-3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4.5840765178771017E-3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4.5840765178771017E-3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4.5840765178771017E-3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4.5840765178771017E-3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4.5840765178771017E-3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4.5840765178771017E-3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4.5840765178771017E-3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4.5840765178771017E-3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4.5840765178771017E-3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4.5840765178771017E-3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4.5840765178771017E-3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4.5840765178771017E-3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7.0037187250644103E-3</v>
      </c>
      <c r="C8" s="7">
        <f>$B8 * IFERROR(VLOOKUP("industry|SO2|Asthma symptoms wheeze", US_national_yearly!$D:$AM, 11, FALSE) / VLOOKUP("industry|SO2|Asthma symptoms wheeze", US_national_yearly!$D:$AM, 10, FALSE), 1)</f>
        <v>7.0037187250644103E-3</v>
      </c>
      <c r="D8" s="7">
        <f>$B8 * IFERROR(VLOOKUP("industry|SO2|Asthma symptoms wheeze", US_national_yearly!$D:$AM, 12, FALSE) / VLOOKUP("industry|SO2|Asthma symptoms wheeze", US_national_yearly!$D:$AM, 10, FALSE), 1)</f>
        <v>7.0037187250644103E-3</v>
      </c>
      <c r="E8" s="7">
        <f>$B8 * IFERROR(VLOOKUP("industry|SO2|Asthma symptoms wheeze", US_national_yearly!$D:$AM, 13, FALSE) / VLOOKUP("industry|SO2|Asthma symptoms wheeze", US_national_yearly!$D:$AM, 10, FALSE), 1)</f>
        <v>7.0037187250644103E-3</v>
      </c>
      <c r="F8" s="7">
        <f>$B8 * IFERROR(VLOOKUP("industry|SO2|Asthma symptoms wheeze", US_national_yearly!$D:$AM, 14, FALSE) / VLOOKUP("industry|SO2|Asthma symptoms wheeze", US_national_yearly!$D:$AM, 10, FALSE), 1)</f>
        <v>7.0037187250644103E-3</v>
      </c>
      <c r="G8" s="7">
        <f>$B8 * IFERROR(VLOOKUP("industry|SO2|Asthma symptoms wheeze", US_national_yearly!$D:$AM, 15, FALSE) / VLOOKUP("industry|SO2|Asthma symptoms wheeze", US_national_yearly!$D:$AM, 10, FALSE), 1)</f>
        <v>7.0037187250644103E-3</v>
      </c>
      <c r="H8" s="7">
        <f>$B8 * IFERROR(VLOOKUP("industry|SO2|Asthma symptoms wheeze", US_national_yearly!$D:$AM, 16, FALSE) / VLOOKUP("industry|SO2|Asthma symptoms wheeze", US_national_yearly!$D:$AM, 10, FALSE), 1)</f>
        <v>7.0037187250644103E-3</v>
      </c>
      <c r="I8" s="7">
        <f>$B8 * IFERROR(VLOOKUP("industry|SO2|Asthma symptoms wheeze", US_national_yearly!$D:$AM, 17, FALSE) / VLOOKUP("industry|SO2|Asthma symptoms wheeze", US_national_yearly!$D:$AM, 10, FALSE), 1)</f>
        <v>7.0037187250644103E-3</v>
      </c>
      <c r="J8" s="7">
        <f>$B8 * IFERROR(VLOOKUP("industry|SO2|Asthma symptoms wheeze", US_national_yearly!$D:$AM, 18, FALSE) / VLOOKUP("industry|SO2|Asthma symptoms wheeze", US_national_yearly!$D:$AM, 10, FALSE), 1)</f>
        <v>7.0037187250644103E-3</v>
      </c>
      <c r="K8" s="7">
        <f>$B8 * IFERROR(VLOOKUP("industry|SO2|Asthma symptoms wheeze", US_national_yearly!$D:$AM, 19, FALSE) / VLOOKUP("industry|SO2|Asthma symptoms wheeze", US_national_yearly!$D:$AM, 10, FALSE), 1)</f>
        <v>7.0037187250644103E-3</v>
      </c>
      <c r="L8" s="7">
        <f>$B8 * IFERROR(VLOOKUP("industry|SO2|Asthma symptoms wheeze", US_national_yearly!$D:$AM, 20, FALSE) / VLOOKUP("industry|SO2|Asthma symptoms wheeze", US_national_yearly!$D:$AM, 10, FALSE), 1)</f>
        <v>7.0037187250644103E-3</v>
      </c>
      <c r="M8" s="7">
        <f>$B8 * IFERROR(VLOOKUP("industry|SO2|Asthma symptoms wheeze", US_national_yearly!$D:$AM, 21, FALSE) / VLOOKUP("industry|SO2|Asthma symptoms wheeze", US_national_yearly!$D:$AM, 10, FALSE), 1)</f>
        <v>7.0037187250644103E-3</v>
      </c>
      <c r="N8" s="7">
        <f>$B8 * IFERROR(VLOOKUP("industry|SO2|Asthma symptoms wheeze", US_national_yearly!$D:$AM, 22, FALSE) / VLOOKUP("industry|SO2|Asthma symptoms wheeze", US_national_yearly!$D:$AM, 10, FALSE), 1)</f>
        <v>7.0037187250644103E-3</v>
      </c>
      <c r="O8" s="7">
        <f>$B8 * IFERROR(VLOOKUP("industry|SO2|Asthma symptoms wheeze", US_national_yearly!$D:$AM, 23, FALSE) / VLOOKUP("industry|SO2|Asthma symptoms wheeze", US_national_yearly!$D:$AM, 10, FALSE), 1)</f>
        <v>7.0037187250644103E-3</v>
      </c>
      <c r="P8" s="7">
        <f>$B8 * IFERROR(VLOOKUP("industry|SO2|Asthma symptoms wheeze", US_national_yearly!$D:$AM, 24, FALSE) / VLOOKUP("industry|SO2|Asthma symptoms wheeze", US_national_yearly!$D:$AM, 10, FALSE), 1)</f>
        <v>7.0037187250644103E-3</v>
      </c>
      <c r="Q8" s="7">
        <f>$B8 * IFERROR(VLOOKUP("industry|SO2|Asthma symptoms wheeze", US_national_yearly!$D:$AM, 25, FALSE) / VLOOKUP("industry|SO2|Asthma symptoms wheeze", US_national_yearly!$D:$AM, 10, FALSE), 1)</f>
        <v>7.0037187250644103E-3</v>
      </c>
      <c r="R8" s="7">
        <f>$B8 * IFERROR(VLOOKUP("industry|SO2|Asthma symptoms wheeze", US_national_yearly!$D:$AM, 26, FALSE) / VLOOKUP("industry|SO2|Asthma symptoms wheeze", US_national_yearly!$D:$AM, 10, FALSE), 1)</f>
        <v>7.0037187250644103E-3</v>
      </c>
      <c r="S8" s="7">
        <f>$B8 * IFERROR(VLOOKUP("industry|SO2|Asthma symptoms wheeze", US_national_yearly!$D:$AM, 27, FALSE) / VLOOKUP("industry|SO2|Asthma symptoms wheeze", US_national_yearly!$D:$AM, 10, FALSE), 1)</f>
        <v>7.0037187250644103E-3</v>
      </c>
      <c r="T8" s="7">
        <f>$B8 * IFERROR(VLOOKUP("industry|SO2|Asthma symptoms wheeze", US_national_yearly!$D:$AM, 28, FALSE) / VLOOKUP("industry|SO2|Asthma symptoms wheeze", US_national_yearly!$D:$AM, 10, FALSE), 1)</f>
        <v>7.0037187250644103E-3</v>
      </c>
      <c r="U8" s="7">
        <f>$B8 * IFERROR(VLOOKUP("industry|SO2|Asthma symptoms wheeze", US_national_yearly!$D:$AM, 29, FALSE) / VLOOKUP("industry|SO2|Asthma symptoms wheeze", US_national_yearly!$D:$AM, 10, FALSE), 1)</f>
        <v>7.0037187250644103E-3</v>
      </c>
      <c r="V8" s="7">
        <f>$B8 * IFERROR(VLOOKUP("industry|SO2|Asthma symptoms wheeze", US_national_yearly!$D:$AM, 30, FALSE) / VLOOKUP("industry|SO2|Asthma symptoms wheeze", US_national_yearly!$D:$AM, 10, FALSE), 1)</f>
        <v>7.0037187250644103E-3</v>
      </c>
      <c r="W8" s="7">
        <f>$B8 * IFERROR(VLOOKUP("industry|SO2|Asthma symptoms wheeze", US_national_yearly!$D:$AM, 31, FALSE) / VLOOKUP("industry|SO2|Asthma symptoms wheeze", US_national_yearly!$D:$AM, 10, FALSE), 1)</f>
        <v>7.0037187250644103E-3</v>
      </c>
      <c r="X8" s="7">
        <f>$B8 * IFERROR(VLOOKUP("industry|SO2|Asthma symptoms wheeze", US_national_yearly!$D:$AM, 32, FALSE) / VLOOKUP("industry|SO2|Asthma symptoms wheeze", US_national_yearly!$D:$AM, 10, FALSE), 1)</f>
        <v>7.0037187250644103E-3</v>
      </c>
      <c r="Y8" s="7">
        <f>$B8 * IFERROR(VLOOKUP("industry|SO2|Asthma symptoms wheeze", US_national_yearly!$D:$AM, 33, FALSE) / VLOOKUP("industry|SO2|Asthma symptoms wheeze", US_national_yearly!$D:$AM, 10, FALSE), 1)</f>
        <v>7.0037187250644103E-3</v>
      </c>
      <c r="Z8" s="7">
        <f>$B8 * IFERROR(VLOOKUP("industry|SO2|Asthma symptoms wheeze", US_national_yearly!$D:$AM, 34, FALSE) / VLOOKUP("industry|SO2|Asthma symptoms wheeze", US_national_yearly!$D:$AM, 10, FALSE), 1)</f>
        <v>7.0037187250644103E-3</v>
      </c>
      <c r="AA8" s="7">
        <f>$B8 * IFERROR(VLOOKUP("industry|SO2|Asthma symptoms wheeze", US_national_yearly!$D:$AM, 35, FALSE) / VLOOKUP("industry|SO2|Asthma symptoms wheeze", US_national_yearly!$D:$AM, 10, FALSE), 1)</f>
        <v>7.0037187250644103E-3</v>
      </c>
      <c r="AB8" s="7">
        <f>$B8 * IFERROR(VLOOKUP("industry|SO2|Asthma symptoms wheeze", US_national_yearly!$D:$AM, 36, FALSE) / VLOOKUP("industry|SO2|Asthma symptoms wheeze", US_national_yearly!$D:$AM, 10, FALSE), 1)</f>
        <v>7.0037187250644103E-3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1.9991458646904695E-4</v>
      </c>
      <c r="C12" s="7">
        <f>$B12 * IFERROR(VLOOKUP("industry|SO2|Respiratory hospital admissions", US_national_yearly!$D:$AM, 11, FALSE) / VLOOKUP("industry|SO2|Respiratory hospital admissions", US_national_yearly!$D:$AM, 10, FALSE), 1)</f>
        <v>2.0108570429849782E-4</v>
      </c>
      <c r="D12" s="7">
        <f>$B12 * IFERROR(VLOOKUP("industry|SO2|Respiratory hospital admissions", US_national_yearly!$D:$AM, 12, FALSE) / VLOOKUP("industry|SO2|Respiratory hospital admissions", US_national_yearly!$D:$AM, 10, FALSE), 1)</f>
        <v>2.0225682212794872E-4</v>
      </c>
      <c r="E12" s="7">
        <f>$B12 * IFERROR(VLOOKUP("industry|SO2|Respiratory hospital admissions", US_national_yearly!$D:$AM, 13, FALSE) / VLOOKUP("industry|SO2|Respiratory hospital admissions", US_national_yearly!$D:$AM, 10, FALSE), 1)</f>
        <v>2.034279399573996E-4</v>
      </c>
      <c r="F12" s="7">
        <f>$B12 * IFERROR(VLOOKUP("industry|SO2|Respiratory hospital admissions", US_national_yearly!$D:$AM, 14, FALSE) / VLOOKUP("industry|SO2|Respiratory hospital admissions", US_national_yearly!$D:$AM, 10, FALSE), 1)</f>
        <v>2.0459905778685052E-4</v>
      </c>
      <c r="G12" s="7">
        <f>$B12 * IFERROR(VLOOKUP("industry|SO2|Respiratory hospital admissions", US_national_yearly!$D:$AM, 15, FALSE) / VLOOKUP("industry|SO2|Respiratory hospital admissions", US_national_yearly!$D:$AM, 10, FALSE), 1)</f>
        <v>2.0587580276453912E-4</v>
      </c>
      <c r="H12" s="7">
        <f>$B12 * IFERROR(VLOOKUP("industry|SO2|Respiratory hospital admissions", US_national_yearly!$D:$AM, 16, FALSE) / VLOOKUP("industry|SO2|Respiratory hospital admissions", US_national_yearly!$D:$AM, 10, FALSE), 1)</f>
        <v>2.0715254774222774E-4</v>
      </c>
      <c r="I12" s="7">
        <f>$B12 * IFERROR(VLOOKUP("industry|SO2|Respiratory hospital admissions", US_national_yearly!$D:$AM, 17, FALSE) / VLOOKUP("industry|SO2|Respiratory hospital admissions", US_national_yearly!$D:$AM, 10, FALSE), 1)</f>
        <v>2.084065206596239E-4</v>
      </c>
      <c r="J12" s="7">
        <f>$B12 * IFERROR(VLOOKUP("industry|SO2|Respiratory hospital admissions", US_national_yearly!$D:$AM, 18, FALSE) / VLOOKUP("industry|SO2|Respiratory hospital admissions", US_national_yearly!$D:$AM, 10, FALSE), 1)</f>
        <v>2.0966049357702007E-4</v>
      </c>
      <c r="K12" s="7">
        <f>$B12 * IFERROR(VLOOKUP("industry|SO2|Respiratory hospital admissions", US_national_yearly!$D:$AM, 19, FALSE) / VLOOKUP("industry|SO2|Respiratory hospital admissions", US_national_yearly!$D:$AM, 10, FALSE), 1)</f>
        <v>2.1091446649441618E-4</v>
      </c>
      <c r="L12" s="7">
        <f>$B12 * IFERROR(VLOOKUP("industry|SO2|Respiratory hospital admissions", US_national_yearly!$D:$AM, 20, FALSE) / VLOOKUP("industry|SO2|Respiratory hospital admissions", US_national_yearly!$D:$AM, 10, FALSE), 1)</f>
        <v>2.1216843941181235E-4</v>
      </c>
      <c r="M12" s="7">
        <f>$B12 * IFERROR(VLOOKUP("industry|SO2|Respiratory hospital admissions", US_national_yearly!$D:$AM, 21, FALSE) / VLOOKUP("industry|SO2|Respiratory hospital admissions", US_national_yearly!$D:$AM, 10, FALSE), 1)</f>
        <v>2.1342241232920854E-4</v>
      </c>
      <c r="N12" s="7">
        <f>$B12 * IFERROR(VLOOKUP("industry|SO2|Respiratory hospital admissions", US_national_yearly!$D:$AM, 22, FALSE) / VLOOKUP("industry|SO2|Respiratory hospital admissions", US_national_yearly!$D:$AM, 10, FALSE), 1)</f>
        <v>2.1432980478206879E-4</v>
      </c>
      <c r="O12" s="7">
        <f>$B12 * IFERROR(VLOOKUP("industry|SO2|Respiratory hospital admissions", US_national_yearly!$D:$AM, 23, FALSE) / VLOOKUP("industry|SO2|Respiratory hospital admissions", US_national_yearly!$D:$AM, 10, FALSE), 1)</f>
        <v>2.1523719723492903E-4</v>
      </c>
      <c r="P12" s="7">
        <f>$B12 * IFERROR(VLOOKUP("industry|SO2|Respiratory hospital admissions", US_national_yearly!$D:$AM, 24, FALSE) / VLOOKUP("industry|SO2|Respiratory hospital admissions", US_national_yearly!$D:$AM, 10, FALSE), 1)</f>
        <v>2.1614458968778925E-4</v>
      </c>
      <c r="Q12" s="7">
        <f>$B12 * IFERROR(VLOOKUP("industry|SO2|Respiratory hospital admissions", US_national_yearly!$D:$AM, 25, FALSE) / VLOOKUP("industry|SO2|Respiratory hospital admissions", US_national_yearly!$D:$AM, 10, FALSE), 1)</f>
        <v>2.1705198214064949E-4</v>
      </c>
      <c r="R12" s="7">
        <f>$B12 * IFERROR(VLOOKUP("industry|SO2|Respiratory hospital admissions", US_national_yearly!$D:$AM, 26, FALSE) / VLOOKUP("industry|SO2|Respiratory hospital admissions", US_national_yearly!$D:$AM, 10, FALSE), 1)</f>
        <v>2.1795937459350969E-4</v>
      </c>
      <c r="S12" s="7">
        <f>$B12 * IFERROR(VLOOKUP("industry|SO2|Respiratory hospital admissions", US_national_yearly!$D:$AM, 27, FALSE) / VLOOKUP("industry|SO2|Respiratory hospital admissions", US_national_yearly!$D:$AM, 10, FALSE), 1)</f>
        <v>2.1882171241818885E-4</v>
      </c>
      <c r="T12" s="7">
        <f>$B12 * IFERROR(VLOOKUP("industry|SO2|Respiratory hospital admissions", US_national_yearly!$D:$AM, 28, FALSE) / VLOOKUP("industry|SO2|Respiratory hospital admissions", US_national_yearly!$D:$AM, 10, FALSE), 1)</f>
        <v>2.1968405024286796E-4</v>
      </c>
      <c r="U12" s="7">
        <f>$B12 * IFERROR(VLOOKUP("industry|SO2|Respiratory hospital admissions", US_national_yearly!$D:$AM, 29, FALSE) / VLOOKUP("industry|SO2|Respiratory hospital admissions", US_national_yearly!$D:$AM, 10, FALSE), 1)</f>
        <v>2.2054638806754708E-4</v>
      </c>
      <c r="V12" s="7">
        <f>$B12 * IFERROR(VLOOKUP("industry|SO2|Respiratory hospital admissions", US_national_yearly!$D:$AM, 30, FALSE) / VLOOKUP("industry|SO2|Respiratory hospital admissions", US_national_yearly!$D:$AM, 10, FALSE), 1)</f>
        <v>2.2140872589222622E-4</v>
      </c>
      <c r="W12" s="7">
        <f>$B12 * IFERROR(VLOOKUP("industry|SO2|Respiratory hospital admissions", US_national_yearly!$D:$AM, 31, FALSE) / VLOOKUP("industry|SO2|Respiratory hospital admissions", US_national_yearly!$D:$AM, 10, FALSE), 1)</f>
        <v>2.2227106371690533E-4</v>
      </c>
      <c r="X12" s="7">
        <f>$B12 * IFERROR(VLOOKUP("industry|SO2|Respiratory hospital admissions", US_national_yearly!$D:$AM, 32, FALSE) / VLOOKUP("industry|SO2|Respiratory hospital admissions", US_national_yearly!$D:$AM, 10, FALSE), 1)</f>
        <v>2.230899526691623E-4</v>
      </c>
      <c r="Y12" s="7">
        <f>$B12 * IFERROR(VLOOKUP("industry|SO2|Respiratory hospital admissions", US_national_yearly!$D:$AM, 33, FALSE) / VLOOKUP("industry|SO2|Respiratory hospital admissions", US_national_yearly!$D:$AM, 10, FALSE), 1)</f>
        <v>2.239088416214193E-4</v>
      </c>
      <c r="Z12" s="7">
        <f>$B12 * IFERROR(VLOOKUP("industry|SO2|Respiratory hospital admissions", US_national_yearly!$D:$AM, 34, FALSE) / VLOOKUP("industry|SO2|Respiratory hospital admissions", US_national_yearly!$D:$AM, 10, FALSE), 1)</f>
        <v>2.2472773057367624E-4</v>
      </c>
      <c r="AA12" s="7">
        <f>$B12 * IFERROR(VLOOKUP("industry|SO2|Respiratory hospital admissions", US_national_yearly!$D:$AM, 35, FALSE) / VLOOKUP("industry|SO2|Respiratory hospital admissions", US_national_yearly!$D:$AM, 10, FALSE), 1)</f>
        <v>2.2554661952593318E-4</v>
      </c>
      <c r="AB12" s="7">
        <f>$B12 * IFERROR(VLOOKUP("industry|SO2|Respiratory hospital admissions", US_national_yearly!$D:$AM, 36, FALSE) / VLOOKUP("industry|SO2|Respiratory hospital admissions", US_national_yearly!$D:$AM, 10, FALSE), 1)</f>
        <v>2.2636550847819018E-4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1.6025243554058087E-3</v>
      </c>
      <c r="C13" s="7">
        <f>$B13 * IFERROR(VLOOKUP("industry|SO2|Non-fatal heart attacks", US_national_yearly!$D:$AM, 11, FALSE) / VLOOKUP("industry|SO2|Non-fatal heart attacks", US_national_yearly!$D:$AM, 10, FALSE), 1)</f>
        <v>1.6495684611174844E-3</v>
      </c>
      <c r="D13" s="7">
        <f>$B13 * IFERROR(VLOOKUP("industry|SO2|Non-fatal heart attacks", US_national_yearly!$D:$AM, 12, FALSE) / VLOOKUP("industry|SO2|Non-fatal heart attacks", US_national_yearly!$D:$AM, 10, FALSE), 1)</f>
        <v>1.6966125668291603E-3</v>
      </c>
      <c r="E13" s="7">
        <f>$B13 * IFERROR(VLOOKUP("industry|SO2|Non-fatal heart attacks", US_national_yearly!$D:$AM, 13, FALSE) / VLOOKUP("industry|SO2|Non-fatal heart attacks", US_national_yearly!$D:$AM, 10, FALSE), 1)</f>
        <v>1.7436566725408356E-3</v>
      </c>
      <c r="F13" s="7">
        <f>$B13 * IFERROR(VLOOKUP("industry|SO2|Non-fatal heart attacks", US_national_yearly!$D:$AM, 14, FALSE) / VLOOKUP("industry|SO2|Non-fatal heart attacks", US_national_yearly!$D:$AM, 10, FALSE), 1)</f>
        <v>1.7907007782525118E-3</v>
      </c>
      <c r="G13" s="7">
        <f>$B13 * IFERROR(VLOOKUP("industry|SO2|Non-fatal heart attacks", US_national_yearly!$D:$AM, 15, FALSE) / VLOOKUP("industry|SO2|Non-fatal heart attacks", US_national_yearly!$D:$AM, 10, FALSE), 1)</f>
        <v>1.8350972351978412E-3</v>
      </c>
      <c r="H13" s="7">
        <f>$B13 * IFERROR(VLOOKUP("industry|SO2|Non-fatal heart attacks", US_national_yearly!$D:$AM, 16, FALSE) / VLOOKUP("industry|SO2|Non-fatal heart attacks", US_national_yearly!$D:$AM, 10, FALSE), 1)</f>
        <v>1.8794936921431708E-3</v>
      </c>
      <c r="I13" s="7">
        <f>$B13 * IFERROR(VLOOKUP("industry|SO2|Non-fatal heart attacks", US_national_yearly!$D:$AM, 17, FALSE) / VLOOKUP("industry|SO2|Non-fatal heart attacks", US_national_yearly!$D:$AM, 10, FALSE), 1)</f>
        <v>1.9152849212035153E-3</v>
      </c>
      <c r="J13" s="7">
        <f>$B13 * IFERROR(VLOOKUP("industry|SO2|Non-fatal heart attacks", US_national_yearly!$D:$AM, 18, FALSE) / VLOOKUP("industry|SO2|Non-fatal heart attacks", US_national_yearly!$D:$AM, 10, FALSE), 1)</f>
        <v>1.9510761502638603E-3</v>
      </c>
      <c r="K13" s="7">
        <f>$B13 * IFERROR(VLOOKUP("industry|SO2|Non-fatal heart attacks", US_national_yearly!$D:$AM, 19, FALSE) / VLOOKUP("industry|SO2|Non-fatal heart attacks", US_national_yearly!$D:$AM, 10, FALSE), 1)</f>
        <v>1.9868673793242051E-3</v>
      </c>
      <c r="L13" s="7">
        <f>$B13 * IFERROR(VLOOKUP("industry|SO2|Non-fatal heart attacks", US_national_yearly!$D:$AM, 20, FALSE) / VLOOKUP("industry|SO2|Non-fatal heart attacks", US_national_yearly!$D:$AM, 10, FALSE), 1)</f>
        <v>2.0226586083845503E-3</v>
      </c>
      <c r="M13" s="7">
        <f>$B13 * IFERROR(VLOOKUP("industry|SO2|Non-fatal heart attacks", US_national_yearly!$D:$AM, 21, FALSE) / VLOOKUP("industry|SO2|Non-fatal heart attacks", US_national_yearly!$D:$AM, 10, FALSE), 1)</f>
        <v>2.0584498374448951E-3</v>
      </c>
      <c r="N13" s="7">
        <f>$B13 * IFERROR(VLOOKUP("industry|SO2|Non-fatal heart attacks", US_national_yearly!$D:$AM, 22, FALSE) / VLOOKUP("industry|SO2|Non-fatal heart attacks", US_national_yearly!$D:$AM, 10, FALSE), 1)</f>
        <v>2.0817017266531335E-3</v>
      </c>
      <c r="O13" s="7">
        <f>$B13 * IFERROR(VLOOKUP("industry|SO2|Non-fatal heart attacks", US_national_yearly!$D:$AM, 23, FALSE) / VLOOKUP("industry|SO2|Non-fatal heart attacks", US_national_yearly!$D:$AM, 10, FALSE), 1)</f>
        <v>2.1049536158613733E-3</v>
      </c>
      <c r="P13" s="7">
        <f>$B13 * IFERROR(VLOOKUP("industry|SO2|Non-fatal heart attacks", US_national_yearly!$D:$AM, 24, FALSE) / VLOOKUP("industry|SO2|Non-fatal heart attacks", US_national_yearly!$D:$AM, 10, FALSE), 1)</f>
        <v>2.1282055050696118E-3</v>
      </c>
      <c r="Q13" s="7">
        <f>$B13 * IFERROR(VLOOKUP("industry|SO2|Non-fatal heart attacks", US_national_yearly!$D:$AM, 25, FALSE) / VLOOKUP("industry|SO2|Non-fatal heart attacks", US_national_yearly!$D:$AM, 10, FALSE), 1)</f>
        <v>2.1514573942778507E-3</v>
      </c>
      <c r="R13" s="7">
        <f>$B13 * IFERROR(VLOOKUP("industry|SO2|Non-fatal heart attacks", US_national_yearly!$D:$AM, 26, FALSE) / VLOOKUP("industry|SO2|Non-fatal heart attacks", US_national_yearly!$D:$AM, 10, FALSE), 1)</f>
        <v>2.1747092834860896E-3</v>
      </c>
      <c r="S13" s="7">
        <f>$B13 * IFERROR(VLOOKUP("industry|SO2|Non-fatal heart attacks", US_national_yearly!$D:$AM, 27, FALSE) / VLOOKUP("industry|SO2|Non-fatal heart attacks", US_national_yearly!$D:$AM, 10, FALSE), 1)</f>
        <v>2.1869215175700269E-3</v>
      </c>
      <c r="T13" s="7">
        <f>$B13 * IFERROR(VLOOKUP("industry|SO2|Non-fatal heart attacks", US_national_yearly!$D:$AM, 28, FALSE) / VLOOKUP("industry|SO2|Non-fatal heart attacks", US_national_yearly!$D:$AM, 10, FALSE), 1)</f>
        <v>2.1991337516539641E-3</v>
      </c>
      <c r="U13" s="7">
        <f>$B13 * IFERROR(VLOOKUP("industry|SO2|Non-fatal heart attacks", US_national_yearly!$D:$AM, 29, FALSE) / VLOOKUP("industry|SO2|Non-fatal heart attacks", US_national_yearly!$D:$AM, 10, FALSE), 1)</f>
        <v>2.2113459857379014E-3</v>
      </c>
      <c r="V13" s="7">
        <f>$B13 * IFERROR(VLOOKUP("industry|SO2|Non-fatal heart attacks", US_national_yearly!$D:$AM, 30, FALSE) / VLOOKUP("industry|SO2|Non-fatal heart attacks", US_national_yearly!$D:$AM, 10, FALSE), 1)</f>
        <v>2.2235582198218387E-3</v>
      </c>
      <c r="W13" s="7">
        <f>$B13 * IFERROR(VLOOKUP("industry|SO2|Non-fatal heart attacks", US_national_yearly!$D:$AM, 31, FALSE) / VLOOKUP("industry|SO2|Non-fatal heart attacks", US_national_yearly!$D:$AM, 10, FALSE), 1)</f>
        <v>2.235770453905776E-3</v>
      </c>
      <c r="X13" s="7">
        <f>$B13 * IFERROR(VLOOKUP("industry|SO2|Non-fatal heart attacks", US_national_yearly!$D:$AM, 32, FALSE) / VLOOKUP("industry|SO2|Non-fatal heart attacks", US_national_yearly!$D:$AM, 10, FALSE), 1)</f>
        <v>2.2450452932828899E-3</v>
      </c>
      <c r="Y13" s="7">
        <f>$B13 * IFERROR(VLOOKUP("industry|SO2|Non-fatal heart attacks", US_national_yearly!$D:$AM, 33, FALSE) / VLOOKUP("industry|SO2|Non-fatal heart attacks", US_national_yearly!$D:$AM, 10, FALSE), 1)</f>
        <v>2.2543201326600043E-3</v>
      </c>
      <c r="Z13" s="7">
        <f>$B13 * IFERROR(VLOOKUP("industry|SO2|Non-fatal heart attacks", US_national_yearly!$D:$AM, 34, FALSE) / VLOOKUP("industry|SO2|Non-fatal heart attacks", US_national_yearly!$D:$AM, 10, FALSE), 1)</f>
        <v>2.2635949720371182E-3</v>
      </c>
      <c r="AA13" s="7">
        <f>$B13 * IFERROR(VLOOKUP("industry|SO2|Non-fatal heart attacks", US_national_yearly!$D:$AM, 35, FALSE) / VLOOKUP("industry|SO2|Non-fatal heart attacks", US_national_yearly!$D:$AM, 10, FALSE), 1)</f>
        <v>2.272869811414233E-3</v>
      </c>
      <c r="AB13" s="7">
        <f>$B13 * IFERROR(VLOOKUP("industry|SO2|Non-fatal heart attacks", US_national_yearly!$D:$AM, 36, FALSE) / VLOOKUP("industry|SO2|Non-fatal heart attacks", US_national_yearly!$D:$AM, 10, FALSE), 1)</f>
        <v>2.2821446507913469E-3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0.47260699866436967</v>
      </c>
      <c r="C14" s="7">
        <f>$B14 * IFERROR(VLOOKUP("industry|SO2|Minor restricted activity days", US_national_yearly!$D:$AM, 11, FALSE) / VLOOKUP("industry|SO2|Minor restricted activity days", US_national_yearly!$D:$AM, 10, FALSE), 1)</f>
        <v>0.47378917263378462</v>
      </c>
      <c r="D14" s="7">
        <f>$B14 * IFERROR(VLOOKUP("industry|SO2|Minor restricted activity days", US_national_yearly!$D:$AM, 12, FALSE) / VLOOKUP("industry|SO2|Minor restricted activity days", US_national_yearly!$D:$AM, 10, FALSE), 1)</f>
        <v>0.4749713466031994</v>
      </c>
      <c r="E14" s="7">
        <f>$B14 * IFERROR(VLOOKUP("industry|SO2|Minor restricted activity days", US_national_yearly!$D:$AM, 13, FALSE) / VLOOKUP("industry|SO2|Minor restricted activity days", US_national_yearly!$D:$AM, 10, FALSE), 1)</f>
        <v>0.47615352057261434</v>
      </c>
      <c r="F14" s="7">
        <f>$B14 * IFERROR(VLOOKUP("industry|SO2|Minor restricted activity days", US_national_yearly!$D:$AM, 14, FALSE) / VLOOKUP("industry|SO2|Minor restricted activity days", US_national_yearly!$D:$AM, 10, FALSE), 1)</f>
        <v>0.47733569454202929</v>
      </c>
      <c r="G14" s="7">
        <f>$B14 * IFERROR(VLOOKUP("industry|SO2|Minor restricted activity days", US_national_yearly!$D:$AM, 15, FALSE) / VLOOKUP("industry|SO2|Minor restricted activity days", US_national_yearly!$D:$AM, 10, FALSE), 1)</f>
        <v>0.47907478509718843</v>
      </c>
      <c r="H14" s="7">
        <f>$B14 * IFERROR(VLOOKUP("industry|SO2|Minor restricted activity days", US_national_yearly!$D:$AM, 16, FALSE) / VLOOKUP("industry|SO2|Minor restricted activity days", US_national_yearly!$D:$AM, 10, FALSE), 1)</f>
        <v>0.48081387565234751</v>
      </c>
      <c r="I14" s="7">
        <f>$B14 * IFERROR(VLOOKUP("industry|SO2|Minor restricted activity days", US_national_yearly!$D:$AM, 17, FALSE) / VLOOKUP("industry|SO2|Minor restricted activity days", US_national_yearly!$D:$AM, 10, FALSE), 1)</f>
        <v>0.48377955108412496</v>
      </c>
      <c r="J14" s="7">
        <f>$B14 * IFERROR(VLOOKUP("industry|SO2|Minor restricted activity days", US_national_yearly!$D:$AM, 18, FALSE) / VLOOKUP("industry|SO2|Minor restricted activity days", US_national_yearly!$D:$AM, 10, FALSE), 1)</f>
        <v>0.48674522651590241</v>
      </c>
      <c r="K14" s="7">
        <f>$B14 * IFERROR(VLOOKUP("industry|SO2|Minor restricted activity days", US_national_yearly!$D:$AM, 19, FALSE) / VLOOKUP("industry|SO2|Minor restricted activity days", US_national_yearly!$D:$AM, 10, FALSE), 1)</f>
        <v>0.4897109019476798</v>
      </c>
      <c r="L14" s="7">
        <f>$B14 * IFERROR(VLOOKUP("industry|SO2|Minor restricted activity days", US_national_yearly!$D:$AM, 20, FALSE) / VLOOKUP("industry|SO2|Minor restricted activity days", US_national_yearly!$D:$AM, 10, FALSE), 1)</f>
        <v>0.49267657737945725</v>
      </c>
      <c r="M14" s="7">
        <f>$B14 * IFERROR(VLOOKUP("industry|SO2|Minor restricted activity days", US_national_yearly!$D:$AM, 21, FALSE) / VLOOKUP("industry|SO2|Minor restricted activity days", US_national_yearly!$D:$AM, 10, FALSE), 1)</f>
        <v>0.4956422528112347</v>
      </c>
      <c r="N14" s="7">
        <f>$B14 * IFERROR(VLOOKUP("industry|SO2|Minor restricted activity days", US_national_yearly!$D:$AM, 22, FALSE) / VLOOKUP("industry|SO2|Minor restricted activity days", US_national_yearly!$D:$AM, 10, FALSE), 1)</f>
        <v>0.49970855050173613</v>
      </c>
      <c r="O14" s="7">
        <f>$B14 * IFERROR(VLOOKUP("industry|SO2|Minor restricted activity days", US_national_yearly!$D:$AM, 23, FALSE) / VLOOKUP("industry|SO2|Minor restricted activity days", US_national_yearly!$D:$AM, 10, FALSE), 1)</f>
        <v>0.50377484819223761</v>
      </c>
      <c r="P14" s="7">
        <f>$B14 * IFERROR(VLOOKUP("industry|SO2|Minor restricted activity days", US_national_yearly!$D:$AM, 24, FALSE) / VLOOKUP("industry|SO2|Minor restricted activity days", US_national_yearly!$D:$AM, 10, FALSE), 1)</f>
        <v>0.5078411458827391</v>
      </c>
      <c r="Q14" s="7">
        <f>$B14 * IFERROR(VLOOKUP("industry|SO2|Minor restricted activity days", US_national_yearly!$D:$AM, 25, FALSE) / VLOOKUP("industry|SO2|Minor restricted activity days", US_national_yearly!$D:$AM, 10, FALSE), 1)</f>
        <v>0.51190744357324058</v>
      </c>
      <c r="R14" s="7">
        <f>$B14 * IFERROR(VLOOKUP("industry|SO2|Minor restricted activity days", US_national_yearly!$D:$AM, 26, FALSE) / VLOOKUP("industry|SO2|Minor restricted activity days", US_national_yearly!$D:$AM, 10, FALSE), 1)</f>
        <v>0.51597374126374207</v>
      </c>
      <c r="S14" s="7">
        <f>$B14 * IFERROR(VLOOKUP("industry|SO2|Minor restricted activity days", US_national_yearly!$D:$AM, 27, FALSE) / VLOOKUP("industry|SO2|Minor restricted activity days", US_national_yearly!$D:$AM, 10, FALSE), 1)</f>
        <v>0.52012372645916805</v>
      </c>
      <c r="T14" s="7">
        <f>$B14 * IFERROR(VLOOKUP("industry|SO2|Minor restricted activity days", US_national_yearly!$D:$AM, 28, FALSE) / VLOOKUP("industry|SO2|Minor restricted activity days", US_national_yearly!$D:$AM, 10, FALSE), 1)</f>
        <v>0.52427371165459424</v>
      </c>
      <c r="U14" s="7">
        <f>$B14 * IFERROR(VLOOKUP("industry|SO2|Minor restricted activity days", US_national_yearly!$D:$AM, 29, FALSE) / VLOOKUP("industry|SO2|Minor restricted activity days", US_national_yearly!$D:$AM, 10, FALSE), 1)</f>
        <v>0.52842369685002022</v>
      </c>
      <c r="V14" s="7">
        <f>$B14 * IFERROR(VLOOKUP("industry|SO2|Minor restricted activity days", US_national_yearly!$D:$AM, 30, FALSE) / VLOOKUP("industry|SO2|Minor restricted activity days", US_national_yearly!$D:$AM, 10, FALSE), 1)</f>
        <v>0.53257368204544631</v>
      </c>
      <c r="W14" s="7">
        <f>$B14 * IFERROR(VLOOKUP("industry|SO2|Minor restricted activity days", US_national_yearly!$D:$AM, 31, FALSE) / VLOOKUP("industry|SO2|Minor restricted activity days", US_national_yearly!$D:$AM, 10, FALSE), 1)</f>
        <v>0.53672366724087228</v>
      </c>
      <c r="X14" s="7">
        <f>$B14 * IFERROR(VLOOKUP("industry|SO2|Minor restricted activity days", US_national_yearly!$D:$AM, 32, FALSE) / VLOOKUP("industry|SO2|Minor restricted activity days", US_national_yearly!$D:$AM, 10, FALSE), 1)</f>
        <v>0.54037271646914953</v>
      </c>
      <c r="Y14" s="7">
        <f>$B14 * IFERROR(VLOOKUP("industry|SO2|Minor restricted activity days", US_national_yearly!$D:$AM, 33, FALSE) / VLOOKUP("industry|SO2|Minor restricted activity days", US_national_yearly!$D:$AM, 10, FALSE), 1)</f>
        <v>0.54402176569742666</v>
      </c>
      <c r="Z14" s="7">
        <f>$B14 * IFERROR(VLOOKUP("industry|SO2|Minor restricted activity days", US_national_yearly!$D:$AM, 34, FALSE) / VLOOKUP("industry|SO2|Minor restricted activity days", US_national_yearly!$D:$AM, 10, FALSE), 1)</f>
        <v>0.54767081492570391</v>
      </c>
      <c r="AA14" s="7">
        <f>$B14 * IFERROR(VLOOKUP("industry|SO2|Minor restricted activity days", US_national_yearly!$D:$AM, 35, FALSE) / VLOOKUP("industry|SO2|Minor restricted activity days", US_national_yearly!$D:$AM, 10, FALSE), 1)</f>
        <v>0.55131986415398104</v>
      </c>
      <c r="AB14" s="7">
        <f>$B14 * IFERROR(VLOOKUP("industry|SO2|Minor restricted activity days", US_national_yearly!$D:$AM, 36, FALSE) / VLOOKUP("industry|SO2|Minor restricted activity days", US_national_yearly!$D:$AM, 10, FALSE), 1)</f>
        <v>0.55496891338225829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7.8838918060586238E-2</v>
      </c>
      <c r="C15" s="7">
        <f>$B15 * IFERROR(VLOOKUP("industry|SO2|Work loss days", US_national_yearly!$D:$AM, 11, FALSE) / VLOOKUP("industry|SO2|Work loss days", US_national_yearly!$D:$AM, 10, FALSE), 1)</f>
        <v>7.9092455114094837E-2</v>
      </c>
      <c r="D15" s="7">
        <f>$B15 * IFERROR(VLOOKUP("industry|SO2|Work loss days", US_national_yearly!$D:$AM, 12, FALSE) / VLOOKUP("industry|SO2|Work loss days", US_national_yearly!$D:$AM, 10, FALSE), 1)</f>
        <v>7.9345992167603463E-2</v>
      </c>
      <c r="E15" s="7">
        <f>$B15 * IFERROR(VLOOKUP("industry|SO2|Work loss days", US_national_yearly!$D:$AM, 13, FALSE) / VLOOKUP("industry|SO2|Work loss days", US_national_yearly!$D:$AM, 10, FALSE), 1)</f>
        <v>7.9599529221112061E-2</v>
      </c>
      <c r="F15" s="7">
        <f>$B15 * IFERROR(VLOOKUP("industry|SO2|Work loss days", US_national_yearly!$D:$AM, 14, FALSE) / VLOOKUP("industry|SO2|Work loss days", US_national_yearly!$D:$AM, 10, FALSE), 1)</f>
        <v>7.9853066274620702E-2</v>
      </c>
      <c r="G15" s="7">
        <f>$B15 * IFERROR(VLOOKUP("industry|SO2|Work loss days", US_national_yearly!$D:$AM, 15, FALSE) / VLOOKUP("industry|SO2|Work loss days", US_national_yearly!$D:$AM, 10, FALSE), 1)</f>
        <v>8.0184000644848652E-2</v>
      </c>
      <c r="H15" s="7">
        <f>$B15 * IFERROR(VLOOKUP("industry|SO2|Work loss days", US_national_yearly!$D:$AM, 16, FALSE) / VLOOKUP("industry|SO2|Work loss days", US_national_yearly!$D:$AM, 10, FALSE), 1)</f>
        <v>8.051493501507663E-2</v>
      </c>
      <c r="I15" s="7">
        <f>$B15 * IFERROR(VLOOKUP("industry|SO2|Work loss days", US_national_yearly!$D:$AM, 17, FALSE) / VLOOKUP("industry|SO2|Work loss days", US_national_yearly!$D:$AM, 10, FALSE), 1)</f>
        <v>8.099866781172077E-2</v>
      </c>
      <c r="J15" s="7">
        <f>$B15 * IFERROR(VLOOKUP("industry|SO2|Work loss days", US_national_yearly!$D:$AM, 18, FALSE) / VLOOKUP("industry|SO2|Work loss days", US_national_yearly!$D:$AM, 10, FALSE), 1)</f>
        <v>8.1482400608364897E-2</v>
      </c>
      <c r="K15" s="7">
        <f>$B15 * IFERROR(VLOOKUP("industry|SO2|Work loss days", US_national_yearly!$D:$AM, 19, FALSE) / VLOOKUP("industry|SO2|Work loss days", US_national_yearly!$D:$AM, 10, FALSE), 1)</f>
        <v>8.1966133405009023E-2</v>
      </c>
      <c r="L15" s="7">
        <f>$B15 * IFERROR(VLOOKUP("industry|SO2|Work loss days", US_national_yearly!$D:$AM, 20, FALSE) / VLOOKUP("industry|SO2|Work loss days", US_national_yearly!$D:$AM, 10, FALSE), 1)</f>
        <v>8.2449866201653163E-2</v>
      </c>
      <c r="M15" s="7">
        <f>$B15 * IFERROR(VLOOKUP("industry|SO2|Work loss days", US_national_yearly!$D:$AM, 21, FALSE) / VLOOKUP("industry|SO2|Work loss days", US_national_yearly!$D:$AM, 10, FALSE), 1)</f>
        <v>8.2933598998297289E-2</v>
      </c>
      <c r="N15" s="7">
        <f>$B15 * IFERROR(VLOOKUP("industry|SO2|Work loss days", US_national_yearly!$D:$AM, 22, FALSE) / VLOOKUP("industry|SO2|Work loss days", US_national_yearly!$D:$AM, 10, FALSE), 1)</f>
        <v>8.3541579908859465E-2</v>
      </c>
      <c r="O15" s="7">
        <f>$B15 * IFERROR(VLOOKUP("industry|SO2|Work loss days", US_national_yearly!$D:$AM, 23, FALSE) / VLOOKUP("industry|SO2|Work loss days", US_national_yearly!$D:$AM, 10, FALSE), 1)</f>
        <v>8.4149560819421654E-2</v>
      </c>
      <c r="P15" s="7">
        <f>$B15 * IFERROR(VLOOKUP("industry|SO2|Work loss days", US_national_yearly!$D:$AM, 24, FALSE) / VLOOKUP("industry|SO2|Work loss days", US_national_yearly!$D:$AM, 10, FALSE), 1)</f>
        <v>8.4757541729983829E-2</v>
      </c>
      <c r="Q15" s="7">
        <f>$B15 * IFERROR(VLOOKUP("industry|SO2|Work loss days", US_national_yearly!$D:$AM, 25, FALSE) / VLOOKUP("industry|SO2|Work loss days", US_national_yearly!$D:$AM, 10, FALSE), 1)</f>
        <v>8.5365522640546004E-2</v>
      </c>
      <c r="R15" s="7">
        <f>$B15 * IFERROR(VLOOKUP("industry|SO2|Work loss days", US_national_yearly!$D:$AM, 26, FALSE) / VLOOKUP("industry|SO2|Work loss days", US_national_yearly!$D:$AM, 10, FALSE), 1)</f>
        <v>8.597350355110818E-2</v>
      </c>
      <c r="S15" s="7">
        <f>$B15 * IFERROR(VLOOKUP("industry|SO2|Work loss days", US_national_yearly!$D:$AM, 27, FALSE) / VLOOKUP("industry|SO2|Work loss days", US_national_yearly!$D:$AM, 10, FALSE), 1)</f>
        <v>8.6653809133541315E-2</v>
      </c>
      <c r="T15" s="7">
        <f>$B15 * IFERROR(VLOOKUP("industry|SO2|Work loss days", US_national_yearly!$D:$AM, 28, FALSE) / VLOOKUP("industry|SO2|Work loss days", US_national_yearly!$D:$AM, 10, FALSE), 1)</f>
        <v>8.7334114715974451E-2</v>
      </c>
      <c r="U15" s="7">
        <f>$B15 * IFERROR(VLOOKUP("industry|SO2|Work loss days", US_national_yearly!$D:$AM, 29, FALSE) / VLOOKUP("industry|SO2|Work loss days", US_national_yearly!$D:$AM, 10, FALSE), 1)</f>
        <v>8.8014420298407614E-2</v>
      </c>
      <c r="V15" s="7">
        <f>$B15 * IFERROR(VLOOKUP("industry|SO2|Work loss days", US_national_yearly!$D:$AM, 30, FALSE) / VLOOKUP("industry|SO2|Work loss days", US_national_yearly!$D:$AM, 10, FALSE), 1)</f>
        <v>8.8694725880840736E-2</v>
      </c>
      <c r="W15" s="7">
        <f>$B15 * IFERROR(VLOOKUP("industry|SO2|Work loss days", US_national_yearly!$D:$AM, 31, FALSE) / VLOOKUP("industry|SO2|Work loss days", US_national_yearly!$D:$AM, 10, FALSE), 1)</f>
        <v>8.9375031463273885E-2</v>
      </c>
      <c r="X15" s="7">
        <f>$B15 * IFERROR(VLOOKUP("industry|SO2|Work loss days", US_national_yearly!$D:$AM, 32, FALSE) / VLOOKUP("industry|SO2|Work loss days", US_national_yearly!$D:$AM, 10, FALSE), 1)</f>
        <v>8.9986063496817453E-2</v>
      </c>
      <c r="Y15" s="7">
        <f>$B15 * IFERROR(VLOOKUP("industry|SO2|Work loss days", US_national_yearly!$D:$AM, 33, FALSE) / VLOOKUP("industry|SO2|Work loss days", US_national_yearly!$D:$AM, 10, FALSE), 1)</f>
        <v>9.0597095530361035E-2</v>
      </c>
      <c r="Z15" s="7">
        <f>$B15 * IFERROR(VLOOKUP("industry|SO2|Work loss days", US_national_yearly!$D:$AM, 34, FALSE) / VLOOKUP("industry|SO2|Work loss days", US_national_yearly!$D:$AM, 10, FALSE), 1)</f>
        <v>9.1208127563904576E-2</v>
      </c>
      <c r="AA15" s="7">
        <f>$B15 * IFERROR(VLOOKUP("industry|SO2|Work loss days", US_national_yearly!$D:$AM, 35, FALSE) / VLOOKUP("industry|SO2|Work loss days", US_national_yearly!$D:$AM, 10, FALSE), 1)</f>
        <v>9.1819159597448172E-2</v>
      </c>
      <c r="AB15" s="7">
        <f>$B15 * IFERROR(VLOOKUP("industry|SO2|Work loss days", US_national_yearly!$D:$AM, 36, FALSE) / VLOOKUP("industry|SO2|Work loss days", US_national_yearly!$D:$AM, 10, FALSE), 1)</f>
        <v>9.2430191630991726E-2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2.1418337154868356E-4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2.2065967624456263E-4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2.2713598094044175E-4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2.3361228563632084E-4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2.4008859033219996E-4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2.4629522617499475E-4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2.5250186201778948E-4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2.5782737290574981E-4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2.631528837937102E-4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2.6847839468167059E-4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2.7380390556963093E-4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2.7912941645759126E-4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2.8270738335096777E-4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2.8628535024434422E-4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2.8986331713772067E-4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2.9344128403109717E-4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2.9701925092447362E-4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2.9891114110560779E-4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3.0080303128674206E-4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3.0269492146787623E-4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3.0458681164901051E-4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3.0647870183014473E-4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3.0775812120327695E-4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3.0903754057640917E-4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3.103169599495415E-4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3.1159637932267372E-4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3.1287579869580595E-4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8.5018473727550506E-5</v>
      </c>
      <c r="C2" s="7">
        <f>$B2 * IFERROR(VLOOKUP("LULUCF|PM25|Premature mortality", US_national_yearly!$D:$AM, 11, FALSE) / VLOOKUP("LULUCF|PM25|Premature mortality", US_national_yearly!$D:$AM, 10, FALSE), 1)</f>
        <v>8.6072516484965824E-5</v>
      </c>
      <c r="D2" s="7">
        <f>$B2 * IFERROR(VLOOKUP("LULUCF|PM25|Premature mortality", US_national_yearly!$D:$AM, 12, FALSE) / VLOOKUP("LULUCF|PM25|Premature mortality", US_national_yearly!$D:$AM, 10, FALSE), 1)</f>
        <v>8.7126559242381142E-5</v>
      </c>
      <c r="E2" s="7">
        <f>$B2 * IFERROR(VLOOKUP("LULUCF|PM25|Premature mortality", US_national_yearly!$D:$AM, 13, FALSE) / VLOOKUP("LULUCF|PM25|Premature mortality", US_national_yearly!$D:$AM, 10, FALSE), 1)</f>
        <v>8.8180601999796447E-5</v>
      </c>
      <c r="F2" s="7">
        <f>$B2 * IFERROR(VLOOKUP("LULUCF|PM25|Premature mortality", US_national_yearly!$D:$AM, 14, FALSE) / VLOOKUP("LULUCF|PM25|Premature mortality", US_national_yearly!$D:$AM, 10, FALSE), 1)</f>
        <v>8.9234644757211752E-5</v>
      </c>
      <c r="G2" s="7">
        <f>$B2 * IFERROR(VLOOKUP("LULUCF|PM25|Premature mortality", US_national_yearly!$D:$AM, 15, FALSE) / VLOOKUP("LULUCF|PM25|Premature mortality", US_national_yearly!$D:$AM, 10, FALSE), 1)</f>
        <v>9.1287385077875764E-5</v>
      </c>
      <c r="H2" s="7">
        <f>$B2 * IFERROR(VLOOKUP("LULUCF|PM25|Premature mortality", US_national_yearly!$D:$AM, 16, FALSE) / VLOOKUP("LULUCF|PM25|Premature mortality", US_national_yearly!$D:$AM, 10, FALSE), 1)</f>
        <v>9.3340125398539789E-5</v>
      </c>
      <c r="I2" s="7">
        <f>$B2 * IFERROR(VLOOKUP("LULUCF|PM25|Premature mortality", US_national_yearly!$D:$AM, 17, FALSE) / VLOOKUP("LULUCF|PM25|Premature mortality", US_national_yearly!$D:$AM, 10, FALSE), 1)</f>
        <v>9.4688451651533717E-5</v>
      </c>
      <c r="J2" s="7">
        <f>$B2 * IFERROR(VLOOKUP("LULUCF|PM25|Premature mortality", US_national_yearly!$D:$AM, 18, FALSE) / VLOOKUP("LULUCF|PM25|Premature mortality", US_national_yearly!$D:$AM, 10, FALSE), 1)</f>
        <v>9.6036777904527686E-5</v>
      </c>
      <c r="K2" s="7">
        <f>$B2 * IFERROR(VLOOKUP("LULUCF|PM25|Premature mortality", US_national_yearly!$D:$AM, 19, FALSE) / VLOOKUP("LULUCF|PM25|Premature mortality", US_national_yearly!$D:$AM, 10, FALSE), 1)</f>
        <v>9.7385104157521641E-5</v>
      </c>
      <c r="L2" s="7">
        <f>$B2 * IFERROR(VLOOKUP("LULUCF|PM25|Premature mortality", US_national_yearly!$D:$AM, 20, FALSE) / VLOOKUP("LULUCF|PM25|Premature mortality", US_national_yearly!$D:$AM, 10, FALSE), 1)</f>
        <v>9.873343041051561E-5</v>
      </c>
      <c r="M2" s="7">
        <f>$B2 * IFERROR(VLOOKUP("LULUCF|PM25|Premature mortality", US_national_yearly!$D:$AM, 21, FALSE) / VLOOKUP("LULUCF|PM25|Premature mortality", US_national_yearly!$D:$AM, 10, FALSE), 1)</f>
        <v>1.0008175666350955E-4</v>
      </c>
      <c r="N2" s="7">
        <f>$B2 * IFERROR(VLOOKUP("LULUCF|PM25|Premature mortality", US_national_yearly!$D:$AM, 22, FALSE) / VLOOKUP("LULUCF|PM25|Premature mortality", US_national_yearly!$D:$AM, 10, FALSE), 1)</f>
        <v>1.0112864618603018E-4</v>
      </c>
      <c r="O2" s="7">
        <f>$B2 * IFERROR(VLOOKUP("LULUCF|PM25|Premature mortality", US_national_yearly!$D:$AM, 23, FALSE) / VLOOKUP("LULUCF|PM25|Premature mortality", US_national_yearly!$D:$AM, 10, FALSE), 1)</f>
        <v>1.0217553570855079E-4</v>
      </c>
      <c r="P2" s="7">
        <f>$B2 * IFERROR(VLOOKUP("LULUCF|PM25|Premature mortality", US_national_yearly!$D:$AM, 24, FALSE) / VLOOKUP("LULUCF|PM25|Premature mortality", US_national_yearly!$D:$AM, 10, FALSE), 1)</f>
        <v>1.0322242523107142E-4</v>
      </c>
      <c r="Q2" s="7">
        <f>$B2 * IFERROR(VLOOKUP("LULUCF|PM25|Premature mortality", US_national_yearly!$D:$AM, 25, FALSE) / VLOOKUP("LULUCF|PM25|Premature mortality", US_national_yearly!$D:$AM, 10, FALSE), 1)</f>
        <v>1.0426931475359205E-4</v>
      </c>
      <c r="R2" s="7">
        <f>$B2 * IFERROR(VLOOKUP("LULUCF|PM25|Premature mortality", US_national_yearly!$D:$AM, 26, FALSE) / VLOOKUP("LULUCF|PM25|Premature mortality", US_national_yearly!$D:$AM, 10, FALSE), 1)</f>
        <v>1.0531620427611267E-4</v>
      </c>
      <c r="S2" s="7">
        <f>$B2 * IFERROR(VLOOKUP("LULUCF|PM25|Premature mortality", US_national_yearly!$D:$AM, 27, FALSE) / VLOOKUP("LULUCF|PM25|Premature mortality", US_national_yearly!$D:$AM, 10, FALSE), 1)</f>
        <v>1.0587081524101967E-4</v>
      </c>
      <c r="T2" s="7">
        <f>$B2 * IFERROR(VLOOKUP("LULUCF|PM25|Premature mortality", US_national_yearly!$D:$AM, 28, FALSE) / VLOOKUP("LULUCF|PM25|Premature mortality", US_national_yearly!$D:$AM, 10, FALSE), 1)</f>
        <v>1.0642542620592664E-4</v>
      </c>
      <c r="U2" s="7">
        <f>$B2 * IFERROR(VLOOKUP("LULUCF|PM25|Premature mortality", US_national_yearly!$D:$AM, 29, FALSE) / VLOOKUP("LULUCF|PM25|Premature mortality", US_national_yearly!$D:$AM, 10, FALSE), 1)</f>
        <v>1.0698003717083363E-4</v>
      </c>
      <c r="V2" s="7">
        <f>$B2 * IFERROR(VLOOKUP("LULUCF|PM25|Premature mortality", US_national_yearly!$D:$AM, 30, FALSE) / VLOOKUP("LULUCF|PM25|Premature mortality", US_national_yearly!$D:$AM, 10, FALSE), 1)</f>
        <v>1.075346481357406E-4</v>
      </c>
      <c r="W2" s="7">
        <f>$B2 * IFERROR(VLOOKUP("LULUCF|PM25|Premature mortality", US_national_yearly!$D:$AM, 31, FALSE) / VLOOKUP("LULUCF|PM25|Premature mortality", US_national_yearly!$D:$AM, 10, FALSE), 1)</f>
        <v>1.0808925910064757E-4</v>
      </c>
      <c r="X2" s="7">
        <f>$B2 * IFERROR(VLOOKUP("LULUCF|PM25|Premature mortality", US_national_yearly!$D:$AM, 32, FALSE) / VLOOKUP("LULUCF|PM25|Premature mortality", US_national_yearly!$D:$AM, 10, FALSE), 1)</f>
        <v>1.0818623711807458E-4</v>
      </c>
      <c r="Y2" s="7">
        <f>$B2 * IFERROR(VLOOKUP("LULUCF|PM25|Premature mortality", US_national_yearly!$D:$AM, 33, FALSE) / VLOOKUP("LULUCF|PM25|Premature mortality", US_national_yearly!$D:$AM, 10, FALSE), 1)</f>
        <v>1.0828321513550158E-4</v>
      </c>
      <c r="Z2" s="7">
        <f>$B2 * IFERROR(VLOOKUP("LULUCF|PM25|Premature mortality", US_national_yearly!$D:$AM, 34, FALSE) / VLOOKUP("LULUCF|PM25|Premature mortality", US_national_yearly!$D:$AM, 10, FALSE), 1)</f>
        <v>1.0838019315292859E-4</v>
      </c>
      <c r="AA2" s="7">
        <f>$B2 * IFERROR(VLOOKUP("LULUCF|PM25|Premature mortality", US_national_yearly!$D:$AM, 35, FALSE) / VLOOKUP("LULUCF|PM25|Premature mortality", US_national_yearly!$D:$AM, 10, FALSE), 1)</f>
        <v>1.0847717117035561E-4</v>
      </c>
      <c r="AB2" s="7">
        <f>$B2 * IFERROR(VLOOKUP("LULUCF|PM25|Premature mortality", US_national_yearly!$D:$AM, 36, FALSE) / VLOOKUP("LULUCF|PM25|Premature mortality", US_national_yearly!$D:$AM, 10, FALSE), 1)</f>
        <v>1.0857414918778261E-4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1.4300589286268917E-7</v>
      </c>
      <c r="C3" s="7">
        <f>$B3 * IFERROR(VLOOKUP("LULUCF|PM25|Infant mortality", US_national_yearly!$D:$AM, 11, FALSE) / VLOOKUP("LULUCF|PM25|Infant mortality", US_national_yearly!$D:$AM, 10, FALSE), 1)</f>
        <v>1.4175901197073388E-7</v>
      </c>
      <c r="D3" s="7">
        <f>$B3 * IFERROR(VLOOKUP("LULUCF|PM25|Infant mortality", US_national_yearly!$D:$AM, 12, FALSE) / VLOOKUP("LULUCF|PM25|Infant mortality", US_national_yearly!$D:$AM, 10, FALSE), 1)</f>
        <v>1.405121310787786E-7</v>
      </c>
      <c r="E3" s="7">
        <f>$B3 * IFERROR(VLOOKUP("LULUCF|PM25|Infant mortality", US_national_yearly!$D:$AM, 13, FALSE) / VLOOKUP("LULUCF|PM25|Infant mortality", US_national_yearly!$D:$AM, 10, FALSE), 1)</f>
        <v>1.3926525018682334E-7</v>
      </c>
      <c r="F3" s="7">
        <f>$B3 * IFERROR(VLOOKUP("LULUCF|PM25|Infant mortality", US_national_yearly!$D:$AM, 14, FALSE) / VLOOKUP("LULUCF|PM25|Infant mortality", US_national_yearly!$D:$AM, 10, FALSE), 1)</f>
        <v>1.3801836929486802E-7</v>
      </c>
      <c r="G3" s="7">
        <f>$B3 * IFERROR(VLOOKUP("LULUCF|PM25|Infant mortality", US_national_yearly!$D:$AM, 15, FALSE) / VLOOKUP("LULUCF|PM25|Infant mortality", US_national_yearly!$D:$AM, 10, FALSE), 1)</f>
        <v>9.1789598453636331E-8</v>
      </c>
      <c r="H3" s="7">
        <f>$B3 * IFERROR(VLOOKUP("LULUCF|PM25|Infant mortality", US_national_yearly!$D:$AM, 16, FALSE) / VLOOKUP("LULUCF|PM25|Infant mortality", US_national_yearly!$D:$AM, 10, FALSE), 1)</f>
        <v>4.5560827612404617E-8</v>
      </c>
      <c r="I3" s="7">
        <f>$B3 * IFERROR(VLOOKUP("LULUCF|PM25|Infant mortality", US_national_yearly!$D:$AM, 17, FALSE) / VLOOKUP("LULUCF|PM25|Infant mortality", US_national_yearly!$D:$AM, 10, FALSE), 1)</f>
        <v>4.5263012344182008E-8</v>
      </c>
      <c r="J3" s="7">
        <f>$B3 * IFERROR(VLOOKUP("LULUCF|PM25|Infant mortality", US_national_yearly!$D:$AM, 18, FALSE) / VLOOKUP("LULUCF|PM25|Infant mortality", US_national_yearly!$D:$AM, 10, FALSE), 1)</f>
        <v>4.4965197075959393E-8</v>
      </c>
      <c r="K3" s="7">
        <f>$B3 * IFERROR(VLOOKUP("LULUCF|PM25|Infant mortality", US_national_yearly!$D:$AM, 19, FALSE) / VLOOKUP("LULUCF|PM25|Infant mortality", US_national_yearly!$D:$AM, 10, FALSE), 1)</f>
        <v>4.4667381807736777E-8</v>
      </c>
      <c r="L3" s="7">
        <f>$B3 * IFERROR(VLOOKUP("LULUCF|PM25|Infant mortality", US_national_yearly!$D:$AM, 20, FALSE) / VLOOKUP("LULUCF|PM25|Infant mortality", US_national_yearly!$D:$AM, 10, FALSE), 1)</f>
        <v>4.4369566539514175E-8</v>
      </c>
      <c r="M3" s="7">
        <f>$B3 * IFERROR(VLOOKUP("LULUCF|PM25|Infant mortality", US_national_yearly!$D:$AM, 21, FALSE) / VLOOKUP("LULUCF|PM25|Infant mortality", US_national_yearly!$D:$AM, 10, FALSE), 1)</f>
        <v>4.4071751271291566E-8</v>
      </c>
      <c r="N3" s="7">
        <f>$B3 * IFERROR(VLOOKUP("LULUCF|PM25|Infant mortality", US_national_yearly!$D:$AM, 22, FALSE) / VLOOKUP("LULUCF|PM25|Infant mortality", US_national_yearly!$D:$AM, 10, FALSE), 1)</f>
        <v>4.388469031147744E-8</v>
      </c>
      <c r="O3" s="7">
        <f>$B3 * IFERROR(VLOOKUP("LULUCF|PM25|Infant mortality", US_national_yearly!$D:$AM, 23, FALSE) / VLOOKUP("LULUCF|PM25|Infant mortality", US_national_yearly!$D:$AM, 10, FALSE), 1)</f>
        <v>4.369762935166332E-8</v>
      </c>
      <c r="P3" s="7">
        <f>$B3 * IFERROR(VLOOKUP("LULUCF|PM25|Infant mortality", US_national_yearly!$D:$AM, 24, FALSE) / VLOOKUP("LULUCF|PM25|Infant mortality", US_national_yearly!$D:$AM, 10, FALSE), 1)</f>
        <v>4.3510568391849194E-8</v>
      </c>
      <c r="Q3" s="7">
        <f>$B3 * IFERROR(VLOOKUP("LULUCF|PM25|Infant mortality", US_national_yearly!$D:$AM, 25, FALSE) / VLOOKUP("LULUCF|PM25|Infant mortality", US_national_yearly!$D:$AM, 10, FALSE), 1)</f>
        <v>4.3323507432035074E-8</v>
      </c>
      <c r="R3" s="7">
        <f>$B3 * IFERROR(VLOOKUP("LULUCF|PM25|Infant mortality", US_national_yearly!$D:$AM, 26, FALSE) / VLOOKUP("LULUCF|PM25|Infant mortality", US_national_yearly!$D:$AM, 10, FALSE), 1)</f>
        <v>4.3136446472220947E-8</v>
      </c>
      <c r="S3" s="7">
        <f>$B3 * IFERROR(VLOOKUP("LULUCF|PM25|Infant mortality", US_national_yearly!$D:$AM, 27, FALSE) / VLOOKUP("LULUCF|PM25|Infant mortality", US_national_yearly!$D:$AM, 10, FALSE), 1)</f>
        <v>4.2903271161052278E-8</v>
      </c>
      <c r="T3" s="7">
        <f>$B3 * IFERROR(VLOOKUP("LULUCF|PM25|Infant mortality", US_national_yearly!$D:$AM, 28, FALSE) / VLOOKUP("LULUCF|PM25|Infant mortality", US_national_yearly!$D:$AM, 10, FALSE), 1)</f>
        <v>4.2670095849883602E-8</v>
      </c>
      <c r="U3" s="7">
        <f>$B3 * IFERROR(VLOOKUP("LULUCF|PM25|Infant mortality", US_national_yearly!$D:$AM, 29, FALSE) / VLOOKUP("LULUCF|PM25|Infant mortality", US_national_yearly!$D:$AM, 10, FALSE), 1)</f>
        <v>4.2436920538714932E-8</v>
      </c>
      <c r="V3" s="7">
        <f>$B3 * IFERROR(VLOOKUP("LULUCF|PM25|Infant mortality", US_national_yearly!$D:$AM, 30, FALSE) / VLOOKUP("LULUCF|PM25|Infant mortality", US_national_yearly!$D:$AM, 10, FALSE), 1)</f>
        <v>4.2203745227546263E-8</v>
      </c>
      <c r="W3" s="7">
        <f>$B3 * IFERROR(VLOOKUP("LULUCF|PM25|Infant mortality", US_national_yearly!$D:$AM, 31, FALSE) / VLOOKUP("LULUCF|PM25|Infant mortality", US_national_yearly!$D:$AM, 10, FALSE), 1)</f>
        <v>4.1970569916377586E-8</v>
      </c>
      <c r="X3" s="7">
        <f>$B3 * IFERROR(VLOOKUP("LULUCF|PM25|Infant mortality", US_national_yearly!$D:$AM, 32, FALSE) / VLOOKUP("LULUCF|PM25|Infant mortality", US_national_yearly!$D:$AM, 10, FALSE), 1)</f>
        <v>4.1719177623875809E-8</v>
      </c>
      <c r="Y3" s="7">
        <f>$B3 * IFERROR(VLOOKUP("LULUCF|PM25|Infant mortality", US_national_yearly!$D:$AM, 33, FALSE) / VLOOKUP("LULUCF|PM25|Infant mortality", US_national_yearly!$D:$AM, 10, FALSE), 1)</f>
        <v>4.1467785331374018E-8</v>
      </c>
      <c r="Z3" s="7">
        <f>$B3 * IFERROR(VLOOKUP("LULUCF|PM25|Infant mortality", US_national_yearly!$D:$AM, 34, FALSE) / VLOOKUP("LULUCF|PM25|Infant mortality", US_national_yearly!$D:$AM, 10, FALSE), 1)</f>
        <v>4.1216393038872241E-8</v>
      </c>
      <c r="AA3" s="7">
        <f>$B3 * IFERROR(VLOOKUP("LULUCF|PM25|Infant mortality", US_national_yearly!$D:$AM, 35, FALSE) / VLOOKUP("LULUCF|PM25|Infant mortality", US_national_yearly!$D:$AM, 10, FALSE), 1)</f>
        <v>4.0965000746370463E-8</v>
      </c>
      <c r="AB3" s="7">
        <f>$B3 * IFERROR(VLOOKUP("LULUCF|PM25|Infant mortality", US_national_yearly!$D:$AM, 36, FALSE) / VLOOKUP("LULUCF|PM25|Infant mortality", US_national_yearly!$D:$AM, 10, FALSE), 1)</f>
        <v>4.0713608453868686E-8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1.4247621241987761E-4</v>
      </c>
      <c r="C6" s="7">
        <f>$B6 * IFERROR(VLOOKUP("LULUCF|PM25|Asthma symptoms cough", US_national_yearly!$D:$AM, 11, FALSE) / VLOOKUP("LULUCF|PM25|Asthma symptoms cough", US_national_yearly!$D:$AM, 10, FALSE), 1)</f>
        <v>1.4247621241987761E-4</v>
      </c>
      <c r="D6" s="7">
        <f>$B6 * IFERROR(VLOOKUP("LULUCF|PM25|Asthma symptoms cough", US_national_yearly!$D:$AM, 12, FALSE) / VLOOKUP("LULUCF|PM25|Asthma symptoms cough", US_national_yearly!$D:$AM, 10, FALSE), 1)</f>
        <v>1.4247621241987761E-4</v>
      </c>
      <c r="E6" s="7">
        <f>$B6 * IFERROR(VLOOKUP("LULUCF|PM25|Asthma symptoms cough", US_national_yearly!$D:$AM, 13, FALSE) / VLOOKUP("LULUCF|PM25|Asthma symptoms cough", US_national_yearly!$D:$AM, 10, FALSE), 1)</f>
        <v>1.4247621241987761E-4</v>
      </c>
      <c r="F6" s="7">
        <f>$B6 * IFERROR(VLOOKUP("LULUCF|PM25|Asthma symptoms cough", US_national_yearly!$D:$AM, 14, FALSE) / VLOOKUP("LULUCF|PM25|Asthma symptoms cough", US_national_yearly!$D:$AM, 10, FALSE), 1)</f>
        <v>1.4247621241987761E-4</v>
      </c>
      <c r="G6" s="7">
        <f>$B6 * IFERROR(VLOOKUP("LULUCF|PM25|Asthma symptoms cough", US_national_yearly!$D:$AM, 15, FALSE) / VLOOKUP("LULUCF|PM25|Asthma symptoms cough", US_national_yearly!$D:$AM, 10, FALSE), 1)</f>
        <v>1.4247621241987761E-4</v>
      </c>
      <c r="H6" s="7">
        <f>$B6 * IFERROR(VLOOKUP("LULUCF|PM25|Asthma symptoms cough", US_national_yearly!$D:$AM, 16, FALSE) / VLOOKUP("LULUCF|PM25|Asthma symptoms cough", US_national_yearly!$D:$AM, 10, FALSE), 1)</f>
        <v>1.4247621241987761E-4</v>
      </c>
      <c r="I6" s="7">
        <f>$B6 * IFERROR(VLOOKUP("LULUCF|PM25|Asthma symptoms cough", US_national_yearly!$D:$AM, 17, FALSE) / VLOOKUP("LULUCF|PM25|Asthma symptoms cough", US_national_yearly!$D:$AM, 10, FALSE), 1)</f>
        <v>1.4247621241987761E-4</v>
      </c>
      <c r="J6" s="7">
        <f>$B6 * IFERROR(VLOOKUP("LULUCF|PM25|Asthma symptoms cough", US_national_yearly!$D:$AM, 18, FALSE) / VLOOKUP("LULUCF|PM25|Asthma symptoms cough", US_national_yearly!$D:$AM, 10, FALSE), 1)</f>
        <v>1.4247621241987761E-4</v>
      </c>
      <c r="K6" s="7">
        <f>$B6 * IFERROR(VLOOKUP("LULUCF|PM25|Asthma symptoms cough", US_national_yearly!$D:$AM, 19, FALSE) / VLOOKUP("LULUCF|PM25|Asthma symptoms cough", US_national_yearly!$D:$AM, 10, FALSE), 1)</f>
        <v>1.4247621241987761E-4</v>
      </c>
      <c r="L6" s="7">
        <f>$B6 * IFERROR(VLOOKUP("LULUCF|PM25|Asthma symptoms cough", US_national_yearly!$D:$AM, 20, FALSE) / VLOOKUP("LULUCF|PM25|Asthma symptoms cough", US_national_yearly!$D:$AM, 10, FALSE), 1)</f>
        <v>1.4247621241987761E-4</v>
      </c>
      <c r="M6" s="7">
        <f>$B6 * IFERROR(VLOOKUP("LULUCF|PM25|Asthma symptoms cough", US_national_yearly!$D:$AM, 21, FALSE) / VLOOKUP("LULUCF|PM25|Asthma symptoms cough", US_national_yearly!$D:$AM, 10, FALSE), 1)</f>
        <v>1.4247621241987761E-4</v>
      </c>
      <c r="N6" s="7">
        <f>$B6 * IFERROR(VLOOKUP("LULUCF|PM25|Asthma symptoms cough", US_national_yearly!$D:$AM, 22, FALSE) / VLOOKUP("LULUCF|PM25|Asthma symptoms cough", US_national_yearly!$D:$AM, 10, FALSE), 1)</f>
        <v>1.4247621241987761E-4</v>
      </c>
      <c r="O6" s="7">
        <f>$B6 * IFERROR(VLOOKUP("LULUCF|PM25|Asthma symptoms cough", US_national_yearly!$D:$AM, 23, FALSE) / VLOOKUP("LULUCF|PM25|Asthma symptoms cough", US_national_yearly!$D:$AM, 10, FALSE), 1)</f>
        <v>1.4247621241987761E-4</v>
      </c>
      <c r="P6" s="7">
        <f>$B6 * IFERROR(VLOOKUP("LULUCF|PM25|Asthma symptoms cough", US_national_yearly!$D:$AM, 24, FALSE) / VLOOKUP("LULUCF|PM25|Asthma symptoms cough", US_national_yearly!$D:$AM, 10, FALSE), 1)</f>
        <v>1.4247621241987761E-4</v>
      </c>
      <c r="Q6" s="7">
        <f>$B6 * IFERROR(VLOOKUP("LULUCF|PM25|Asthma symptoms cough", US_national_yearly!$D:$AM, 25, FALSE) / VLOOKUP("LULUCF|PM25|Asthma symptoms cough", US_national_yearly!$D:$AM, 10, FALSE), 1)</f>
        <v>1.4247621241987761E-4</v>
      </c>
      <c r="R6" s="7">
        <f>$B6 * IFERROR(VLOOKUP("LULUCF|PM25|Asthma symptoms cough", US_national_yearly!$D:$AM, 26, FALSE) / VLOOKUP("LULUCF|PM25|Asthma symptoms cough", US_national_yearly!$D:$AM, 10, FALSE), 1)</f>
        <v>1.4247621241987761E-4</v>
      </c>
      <c r="S6" s="7">
        <f>$B6 * IFERROR(VLOOKUP("LULUCF|PM25|Asthma symptoms cough", US_national_yearly!$D:$AM, 27, FALSE) / VLOOKUP("LULUCF|PM25|Asthma symptoms cough", US_national_yearly!$D:$AM, 10, FALSE), 1)</f>
        <v>1.4247621241987761E-4</v>
      </c>
      <c r="T6" s="7">
        <f>$B6 * IFERROR(VLOOKUP("LULUCF|PM25|Asthma symptoms cough", US_national_yearly!$D:$AM, 28, FALSE) / VLOOKUP("LULUCF|PM25|Asthma symptoms cough", US_national_yearly!$D:$AM, 10, FALSE), 1)</f>
        <v>1.4247621241987761E-4</v>
      </c>
      <c r="U6" s="7">
        <f>$B6 * IFERROR(VLOOKUP("LULUCF|PM25|Asthma symptoms cough", US_national_yearly!$D:$AM, 29, FALSE) / VLOOKUP("LULUCF|PM25|Asthma symptoms cough", US_national_yearly!$D:$AM, 10, FALSE), 1)</f>
        <v>1.4247621241987761E-4</v>
      </c>
      <c r="V6" s="7">
        <f>$B6 * IFERROR(VLOOKUP("LULUCF|PM25|Asthma symptoms cough", US_national_yearly!$D:$AM, 30, FALSE) / VLOOKUP("LULUCF|PM25|Asthma symptoms cough", US_national_yearly!$D:$AM, 10, FALSE), 1)</f>
        <v>1.4247621241987761E-4</v>
      </c>
      <c r="W6" s="7">
        <f>$B6 * IFERROR(VLOOKUP("LULUCF|PM25|Asthma symptoms cough", US_national_yearly!$D:$AM, 31, FALSE) / VLOOKUP("LULUCF|PM25|Asthma symptoms cough", US_national_yearly!$D:$AM, 10, FALSE), 1)</f>
        <v>1.4247621241987761E-4</v>
      </c>
      <c r="X6" s="7">
        <f>$B6 * IFERROR(VLOOKUP("LULUCF|PM25|Asthma symptoms cough", US_national_yearly!$D:$AM, 32, FALSE) / VLOOKUP("LULUCF|PM25|Asthma symptoms cough", US_national_yearly!$D:$AM, 10, FALSE), 1)</f>
        <v>1.4247621241987761E-4</v>
      </c>
      <c r="Y6" s="7">
        <f>$B6 * IFERROR(VLOOKUP("LULUCF|PM25|Asthma symptoms cough", US_national_yearly!$D:$AM, 33, FALSE) / VLOOKUP("LULUCF|PM25|Asthma symptoms cough", US_national_yearly!$D:$AM, 10, FALSE), 1)</f>
        <v>1.4247621241987761E-4</v>
      </c>
      <c r="Z6" s="7">
        <f>$B6 * IFERROR(VLOOKUP("LULUCF|PM25|Asthma symptoms cough", US_national_yearly!$D:$AM, 34, FALSE) / VLOOKUP("LULUCF|PM25|Asthma symptoms cough", US_national_yearly!$D:$AM, 10, FALSE), 1)</f>
        <v>1.4247621241987761E-4</v>
      </c>
      <c r="AA6" s="7">
        <f>$B6 * IFERROR(VLOOKUP("LULUCF|PM25|Asthma symptoms cough", US_national_yearly!$D:$AM, 35, FALSE) / VLOOKUP("LULUCF|PM25|Asthma symptoms cough", US_national_yearly!$D:$AM, 10, FALSE), 1)</f>
        <v>1.4247621241987761E-4</v>
      </c>
      <c r="AB6" s="7">
        <f>$B6 * IFERROR(VLOOKUP("LULUCF|PM25|Asthma symptoms cough", US_national_yearly!$D:$AM, 36, FALSE) / VLOOKUP("LULUCF|PM25|Asthma symptoms cough", US_national_yearly!$D:$AM, 10, FALSE), 1)</f>
        <v>1.4247621241987761E-4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1.9186496107106104E-4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1.9186496107106104E-4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1.9186496107106104E-4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1.9186496107106104E-4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1.9186496107106104E-4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1.9186496107106104E-4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1.9186496107106104E-4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1.9186496107106104E-4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1.9186496107106104E-4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1.9186496107106104E-4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1.9186496107106104E-4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1.9186496107106104E-4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1.9186496107106104E-4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1.9186496107106104E-4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1.9186496107106104E-4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1.9186496107106104E-4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1.9186496107106104E-4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1.9186496107106104E-4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1.9186496107106104E-4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1.9186496107106104E-4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1.9186496107106104E-4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1.9186496107106104E-4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1.9186496107106104E-4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1.9186496107106104E-4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1.9186496107106104E-4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1.9186496107106104E-4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1.9186496107106104E-4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2.9313690352149411E-4</v>
      </c>
      <c r="C8" s="7">
        <f>$B8 * IFERROR(VLOOKUP("LULUCF|PM25|Asthma symptoms wheeze", US_national_yearly!$D:$AM, 11, FALSE) / VLOOKUP("LULUCF|PM25|Asthma symptoms wheeze", US_national_yearly!$D:$AM, 10, FALSE), 1)</f>
        <v>2.9313690352149411E-4</v>
      </c>
      <c r="D8" s="7">
        <f>$B8 * IFERROR(VLOOKUP("LULUCF|PM25|Asthma symptoms wheeze", US_national_yearly!$D:$AM, 12, FALSE) / VLOOKUP("LULUCF|PM25|Asthma symptoms wheeze", US_national_yearly!$D:$AM, 10, FALSE), 1)</f>
        <v>2.9313690352149411E-4</v>
      </c>
      <c r="E8" s="7">
        <f>$B8 * IFERROR(VLOOKUP("LULUCF|PM25|Asthma symptoms wheeze", US_national_yearly!$D:$AM, 13, FALSE) / VLOOKUP("LULUCF|PM25|Asthma symptoms wheeze", US_national_yearly!$D:$AM, 10, FALSE), 1)</f>
        <v>2.9313690352149411E-4</v>
      </c>
      <c r="F8" s="7">
        <f>$B8 * IFERROR(VLOOKUP("LULUCF|PM25|Asthma symptoms wheeze", US_national_yearly!$D:$AM, 14, FALSE) / VLOOKUP("LULUCF|PM25|Asthma symptoms wheeze", US_national_yearly!$D:$AM, 10, FALSE), 1)</f>
        <v>2.9313690352149411E-4</v>
      </c>
      <c r="G8" s="7">
        <f>$B8 * IFERROR(VLOOKUP("LULUCF|PM25|Asthma symptoms wheeze", US_national_yearly!$D:$AM, 15, FALSE) / VLOOKUP("LULUCF|PM25|Asthma symptoms wheeze", US_national_yearly!$D:$AM, 10, FALSE), 1)</f>
        <v>2.9313690352149411E-4</v>
      </c>
      <c r="H8" s="7">
        <f>$B8 * IFERROR(VLOOKUP("LULUCF|PM25|Asthma symptoms wheeze", US_national_yearly!$D:$AM, 16, FALSE) / VLOOKUP("LULUCF|PM25|Asthma symptoms wheeze", US_national_yearly!$D:$AM, 10, FALSE), 1)</f>
        <v>2.9313690352149411E-4</v>
      </c>
      <c r="I8" s="7">
        <f>$B8 * IFERROR(VLOOKUP("LULUCF|PM25|Asthma symptoms wheeze", US_national_yearly!$D:$AM, 17, FALSE) / VLOOKUP("LULUCF|PM25|Asthma symptoms wheeze", US_national_yearly!$D:$AM, 10, FALSE), 1)</f>
        <v>2.9313690352149411E-4</v>
      </c>
      <c r="J8" s="7">
        <f>$B8 * IFERROR(VLOOKUP("LULUCF|PM25|Asthma symptoms wheeze", US_national_yearly!$D:$AM, 18, FALSE) / VLOOKUP("LULUCF|PM25|Asthma symptoms wheeze", US_national_yearly!$D:$AM, 10, FALSE), 1)</f>
        <v>2.9313690352149411E-4</v>
      </c>
      <c r="K8" s="7">
        <f>$B8 * IFERROR(VLOOKUP("LULUCF|PM25|Asthma symptoms wheeze", US_national_yearly!$D:$AM, 19, FALSE) / VLOOKUP("LULUCF|PM25|Asthma symptoms wheeze", US_national_yearly!$D:$AM, 10, FALSE), 1)</f>
        <v>2.9313690352149411E-4</v>
      </c>
      <c r="L8" s="7">
        <f>$B8 * IFERROR(VLOOKUP("LULUCF|PM25|Asthma symptoms wheeze", US_national_yearly!$D:$AM, 20, FALSE) / VLOOKUP("LULUCF|PM25|Asthma symptoms wheeze", US_national_yearly!$D:$AM, 10, FALSE), 1)</f>
        <v>2.9313690352149411E-4</v>
      </c>
      <c r="M8" s="7">
        <f>$B8 * IFERROR(VLOOKUP("LULUCF|PM25|Asthma symptoms wheeze", US_national_yearly!$D:$AM, 21, FALSE) / VLOOKUP("LULUCF|PM25|Asthma symptoms wheeze", US_national_yearly!$D:$AM, 10, FALSE), 1)</f>
        <v>2.9313690352149411E-4</v>
      </c>
      <c r="N8" s="7">
        <f>$B8 * IFERROR(VLOOKUP("LULUCF|PM25|Asthma symptoms wheeze", US_national_yearly!$D:$AM, 22, FALSE) / VLOOKUP("LULUCF|PM25|Asthma symptoms wheeze", US_national_yearly!$D:$AM, 10, FALSE), 1)</f>
        <v>2.9313690352149411E-4</v>
      </c>
      <c r="O8" s="7">
        <f>$B8 * IFERROR(VLOOKUP("LULUCF|PM25|Asthma symptoms wheeze", US_national_yearly!$D:$AM, 23, FALSE) / VLOOKUP("LULUCF|PM25|Asthma symptoms wheeze", US_national_yearly!$D:$AM, 10, FALSE), 1)</f>
        <v>2.9313690352149411E-4</v>
      </c>
      <c r="P8" s="7">
        <f>$B8 * IFERROR(VLOOKUP("LULUCF|PM25|Asthma symptoms wheeze", US_national_yearly!$D:$AM, 24, FALSE) / VLOOKUP("LULUCF|PM25|Asthma symptoms wheeze", US_national_yearly!$D:$AM, 10, FALSE), 1)</f>
        <v>2.9313690352149411E-4</v>
      </c>
      <c r="Q8" s="7">
        <f>$B8 * IFERROR(VLOOKUP("LULUCF|PM25|Asthma symptoms wheeze", US_national_yearly!$D:$AM, 25, FALSE) / VLOOKUP("LULUCF|PM25|Asthma symptoms wheeze", US_national_yearly!$D:$AM, 10, FALSE), 1)</f>
        <v>2.9313690352149411E-4</v>
      </c>
      <c r="R8" s="7">
        <f>$B8 * IFERROR(VLOOKUP("LULUCF|PM25|Asthma symptoms wheeze", US_national_yearly!$D:$AM, 26, FALSE) / VLOOKUP("LULUCF|PM25|Asthma symptoms wheeze", US_national_yearly!$D:$AM, 10, FALSE), 1)</f>
        <v>2.9313690352149411E-4</v>
      </c>
      <c r="S8" s="7">
        <f>$B8 * IFERROR(VLOOKUP("LULUCF|PM25|Asthma symptoms wheeze", US_national_yearly!$D:$AM, 27, FALSE) / VLOOKUP("LULUCF|PM25|Asthma symptoms wheeze", US_national_yearly!$D:$AM, 10, FALSE), 1)</f>
        <v>2.9313690352149411E-4</v>
      </c>
      <c r="T8" s="7">
        <f>$B8 * IFERROR(VLOOKUP("LULUCF|PM25|Asthma symptoms wheeze", US_national_yearly!$D:$AM, 28, FALSE) / VLOOKUP("LULUCF|PM25|Asthma symptoms wheeze", US_national_yearly!$D:$AM, 10, FALSE), 1)</f>
        <v>2.9313690352149411E-4</v>
      </c>
      <c r="U8" s="7">
        <f>$B8 * IFERROR(VLOOKUP("LULUCF|PM25|Asthma symptoms wheeze", US_national_yearly!$D:$AM, 29, FALSE) / VLOOKUP("LULUCF|PM25|Asthma symptoms wheeze", US_national_yearly!$D:$AM, 10, FALSE), 1)</f>
        <v>2.9313690352149411E-4</v>
      </c>
      <c r="V8" s="7">
        <f>$B8 * IFERROR(VLOOKUP("LULUCF|PM25|Asthma symptoms wheeze", US_national_yearly!$D:$AM, 30, FALSE) / VLOOKUP("LULUCF|PM25|Asthma symptoms wheeze", US_national_yearly!$D:$AM, 10, FALSE), 1)</f>
        <v>2.9313690352149411E-4</v>
      </c>
      <c r="W8" s="7">
        <f>$B8 * IFERROR(VLOOKUP("LULUCF|PM25|Asthma symptoms wheeze", US_national_yearly!$D:$AM, 31, FALSE) / VLOOKUP("LULUCF|PM25|Asthma symptoms wheeze", US_national_yearly!$D:$AM, 10, FALSE), 1)</f>
        <v>2.9313690352149411E-4</v>
      </c>
      <c r="X8" s="7">
        <f>$B8 * IFERROR(VLOOKUP("LULUCF|PM25|Asthma symptoms wheeze", US_national_yearly!$D:$AM, 32, FALSE) / VLOOKUP("LULUCF|PM25|Asthma symptoms wheeze", US_national_yearly!$D:$AM, 10, FALSE), 1)</f>
        <v>2.9313690352149411E-4</v>
      </c>
      <c r="Y8" s="7">
        <f>$B8 * IFERROR(VLOOKUP("LULUCF|PM25|Asthma symptoms wheeze", US_national_yearly!$D:$AM, 33, FALSE) / VLOOKUP("LULUCF|PM25|Asthma symptoms wheeze", US_national_yearly!$D:$AM, 10, FALSE), 1)</f>
        <v>2.9313690352149411E-4</v>
      </c>
      <c r="Z8" s="7">
        <f>$B8 * IFERROR(VLOOKUP("LULUCF|PM25|Asthma symptoms wheeze", US_national_yearly!$D:$AM, 34, FALSE) / VLOOKUP("LULUCF|PM25|Asthma symptoms wheeze", US_national_yearly!$D:$AM, 10, FALSE), 1)</f>
        <v>2.9313690352149411E-4</v>
      </c>
      <c r="AA8" s="7">
        <f>$B8 * IFERROR(VLOOKUP("LULUCF|PM25|Asthma symptoms wheeze", US_national_yearly!$D:$AM, 35, FALSE) / VLOOKUP("LULUCF|PM25|Asthma symptoms wheeze", US_national_yearly!$D:$AM, 10, FALSE), 1)</f>
        <v>2.9313690352149411E-4</v>
      </c>
      <c r="AB8" s="7">
        <f>$B8 * IFERROR(VLOOKUP("LULUCF|PM25|Asthma symptoms wheeze", US_national_yearly!$D:$AM, 36, FALSE) / VLOOKUP("LULUCF|PM25|Asthma symptoms wheeze", US_national_yearly!$D:$AM, 10, FALSE), 1)</f>
        <v>2.9313690352149411E-4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8.2400496866682394E-6</v>
      </c>
      <c r="C12" s="7">
        <f>$B12 * IFERROR(VLOOKUP("LULUCF|PM25|Respiratory hospital admissions", US_national_yearly!$D:$AM, 11, FALSE) / VLOOKUP("LULUCF|PM25|Respiratory hospital admissions", US_national_yearly!$D:$AM, 10, FALSE), 1)</f>
        <v>8.2872783302629074E-6</v>
      </c>
      <c r="D12" s="7">
        <f>$B12 * IFERROR(VLOOKUP("LULUCF|PM25|Respiratory hospital admissions", US_national_yearly!$D:$AM, 12, FALSE) / VLOOKUP("LULUCF|PM25|Respiratory hospital admissions", US_national_yearly!$D:$AM, 10, FALSE), 1)</f>
        <v>8.3345069738575736E-6</v>
      </c>
      <c r="E12" s="7">
        <f>$B12 * IFERROR(VLOOKUP("LULUCF|PM25|Respiratory hospital admissions", US_national_yearly!$D:$AM, 13, FALSE) / VLOOKUP("LULUCF|PM25|Respiratory hospital admissions", US_national_yearly!$D:$AM, 10, FALSE), 1)</f>
        <v>8.3817356174522416E-6</v>
      </c>
      <c r="F12" s="7">
        <f>$B12 * IFERROR(VLOOKUP("LULUCF|PM25|Respiratory hospital admissions", US_national_yearly!$D:$AM, 14, FALSE) / VLOOKUP("LULUCF|PM25|Respiratory hospital admissions", US_national_yearly!$D:$AM, 10, FALSE), 1)</f>
        <v>8.4289642610469078E-6</v>
      </c>
      <c r="G12" s="7">
        <f>$B12 * IFERROR(VLOOKUP("LULUCF|PM25|Respiratory hospital admissions", US_national_yearly!$D:$AM, 15, FALSE) / VLOOKUP("LULUCF|PM25|Respiratory hospital admissions", US_national_yearly!$D:$AM, 10, FALSE), 1)</f>
        <v>8.4799732106799601E-6</v>
      </c>
      <c r="H12" s="7">
        <f>$B12 * IFERROR(VLOOKUP("LULUCF|PM25|Respiratory hospital admissions", US_national_yearly!$D:$AM, 16, FALSE) / VLOOKUP("LULUCF|PM25|Respiratory hospital admissions", US_national_yearly!$D:$AM, 10, FALSE), 1)</f>
        <v>8.5309821603130141E-6</v>
      </c>
      <c r="I12" s="7">
        <f>$B12 * IFERROR(VLOOKUP("LULUCF|PM25|Respiratory hospital admissions", US_national_yearly!$D:$AM, 17, FALSE) / VLOOKUP("LULUCF|PM25|Respiratory hospital admissions", US_national_yearly!$D:$AM, 10, FALSE), 1)</f>
        <v>8.5797192736782567E-6</v>
      </c>
      <c r="J12" s="7">
        <f>$B12 * IFERROR(VLOOKUP("LULUCF|PM25|Respiratory hospital admissions", US_national_yearly!$D:$AM, 18, FALSE) / VLOOKUP("LULUCF|PM25|Respiratory hospital admissions", US_national_yearly!$D:$AM, 10, FALSE), 1)</f>
        <v>8.6284563870435027E-6</v>
      </c>
      <c r="K12" s="7">
        <f>$B12 * IFERROR(VLOOKUP("LULUCF|PM25|Respiratory hospital admissions", US_national_yearly!$D:$AM, 19, FALSE) / VLOOKUP("LULUCF|PM25|Respiratory hospital admissions", US_national_yearly!$D:$AM, 10, FALSE), 1)</f>
        <v>8.677193500408747E-6</v>
      </c>
      <c r="L12" s="7">
        <f>$B12 * IFERROR(VLOOKUP("LULUCF|PM25|Respiratory hospital admissions", US_national_yearly!$D:$AM, 20, FALSE) / VLOOKUP("LULUCF|PM25|Respiratory hospital admissions", US_national_yearly!$D:$AM, 10, FALSE), 1)</f>
        <v>8.7259306137739947E-6</v>
      </c>
      <c r="M12" s="7">
        <f>$B12 * IFERROR(VLOOKUP("LULUCF|PM25|Respiratory hospital admissions", US_national_yearly!$D:$AM, 21, FALSE) / VLOOKUP("LULUCF|PM25|Respiratory hospital admissions", US_national_yearly!$D:$AM, 10, FALSE), 1)</f>
        <v>8.7746677271392374E-6</v>
      </c>
      <c r="N12" s="7">
        <f>$B12 * IFERROR(VLOOKUP("LULUCF|PM25|Respiratory hospital admissions", US_national_yearly!$D:$AM, 22, FALSE) / VLOOKUP("LULUCF|PM25|Respiratory hospital admissions", US_national_yearly!$D:$AM, 10, FALSE), 1)</f>
        <v>8.8096477756395824E-6</v>
      </c>
      <c r="O12" s="7">
        <f>$B12 * IFERROR(VLOOKUP("LULUCF|PM25|Respiratory hospital admissions", US_national_yearly!$D:$AM, 23, FALSE) / VLOOKUP("LULUCF|PM25|Respiratory hospital admissions", US_national_yearly!$D:$AM, 10, FALSE), 1)</f>
        <v>8.8446278241399274E-6</v>
      </c>
      <c r="P12" s="7">
        <f>$B12 * IFERROR(VLOOKUP("LULUCF|PM25|Respiratory hospital admissions", US_national_yearly!$D:$AM, 24, FALSE) / VLOOKUP("LULUCF|PM25|Respiratory hospital admissions", US_national_yearly!$D:$AM, 10, FALSE), 1)</f>
        <v>8.8796078726402691E-6</v>
      </c>
      <c r="Q12" s="7">
        <f>$B12 * IFERROR(VLOOKUP("LULUCF|PM25|Respiratory hospital admissions", US_national_yearly!$D:$AM, 25, FALSE) / VLOOKUP("LULUCF|PM25|Respiratory hospital admissions", US_national_yearly!$D:$AM, 10, FALSE), 1)</f>
        <v>8.9145879211406124E-6</v>
      </c>
      <c r="R12" s="7">
        <f>$B12 * IFERROR(VLOOKUP("LULUCF|PM25|Respiratory hospital admissions", US_national_yearly!$D:$AM, 26, FALSE) / VLOOKUP("LULUCF|PM25|Respiratory hospital admissions", US_national_yearly!$D:$AM, 10, FALSE), 1)</f>
        <v>8.9495679696409575E-6</v>
      </c>
      <c r="S12" s="7">
        <f>$B12 * IFERROR(VLOOKUP("LULUCF|PM25|Respiratory hospital admissions", US_national_yearly!$D:$AM, 27, FALSE) / VLOOKUP("LULUCF|PM25|Respiratory hospital admissions", US_national_yearly!$D:$AM, 10, FALSE), 1)</f>
        <v>8.9828735850597728E-6</v>
      </c>
      <c r="T12" s="7">
        <f>$B12 * IFERROR(VLOOKUP("LULUCF|PM25|Respiratory hospital admissions", US_national_yearly!$D:$AM, 28, FALSE) / VLOOKUP("LULUCF|PM25|Respiratory hospital admissions", US_national_yearly!$D:$AM, 10, FALSE), 1)</f>
        <v>9.0161792004785881E-6</v>
      </c>
      <c r="U12" s="7">
        <f>$B12 * IFERROR(VLOOKUP("LULUCF|PM25|Respiratory hospital admissions", US_national_yearly!$D:$AM, 29, FALSE) / VLOOKUP("LULUCF|PM25|Respiratory hospital admissions", US_national_yearly!$D:$AM, 10, FALSE), 1)</f>
        <v>9.0494848158974035E-6</v>
      </c>
      <c r="V12" s="7">
        <f>$B12 * IFERROR(VLOOKUP("LULUCF|PM25|Respiratory hospital admissions", US_national_yearly!$D:$AM, 30, FALSE) / VLOOKUP("LULUCF|PM25|Respiratory hospital admissions", US_national_yearly!$D:$AM, 10, FALSE), 1)</f>
        <v>9.0827904313162171E-6</v>
      </c>
      <c r="W12" s="7">
        <f>$B12 * IFERROR(VLOOKUP("LULUCF|PM25|Respiratory hospital admissions", US_national_yearly!$D:$AM, 31, FALSE) / VLOOKUP("LULUCF|PM25|Respiratory hospital admissions", US_national_yearly!$D:$AM, 10, FALSE), 1)</f>
        <v>9.1160960467350324E-6</v>
      </c>
      <c r="X12" s="7">
        <f>$B12 * IFERROR(VLOOKUP("LULUCF|PM25|Respiratory hospital admissions", US_national_yearly!$D:$AM, 32, FALSE) / VLOOKUP("LULUCF|PM25|Respiratory hospital admissions", US_national_yearly!$D:$AM, 10, FALSE), 1)</f>
        <v>9.1481364736200309E-6</v>
      </c>
      <c r="Y12" s="7">
        <f>$B12 * IFERROR(VLOOKUP("LULUCF|PM25|Respiratory hospital admissions", US_national_yearly!$D:$AM, 33, FALSE) / VLOOKUP("LULUCF|PM25|Respiratory hospital admissions", US_national_yearly!$D:$AM, 10, FALSE), 1)</f>
        <v>9.1801769005050242E-6</v>
      </c>
      <c r="Z12" s="7">
        <f>$B12 * IFERROR(VLOOKUP("LULUCF|PM25|Respiratory hospital admissions", US_national_yearly!$D:$AM, 34, FALSE) / VLOOKUP("LULUCF|PM25|Respiratory hospital admissions", US_national_yearly!$D:$AM, 10, FALSE), 1)</f>
        <v>9.2122173273900209E-6</v>
      </c>
      <c r="AA12" s="7">
        <f>$B12 * IFERROR(VLOOKUP("LULUCF|PM25|Respiratory hospital admissions", US_national_yearly!$D:$AM, 35, FALSE) / VLOOKUP("LULUCF|PM25|Respiratory hospital admissions", US_national_yearly!$D:$AM, 10, FALSE), 1)</f>
        <v>9.2442577542750159E-6</v>
      </c>
      <c r="AB12" s="7">
        <f>$B12 * IFERROR(VLOOKUP("LULUCF|PM25|Respiratory hospital admissions", US_national_yearly!$D:$AM, 36, FALSE) / VLOOKUP("LULUCF|PM25|Respiratory hospital admissions", US_national_yearly!$D:$AM, 10, FALSE), 1)</f>
        <v>9.2762981811600127E-6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6.4966864933188562E-5</v>
      </c>
      <c r="C13" s="7">
        <f>$B13 * IFERROR(VLOOKUP("LULUCF|PM25|Non-fatal heart attacks", US_national_yearly!$D:$AM, 11, FALSE) / VLOOKUP("LULUCF|PM25|Non-fatal heart attacks", US_national_yearly!$D:$AM, 10, FALSE), 1)</f>
        <v>6.6855624099124454E-5</v>
      </c>
      <c r="D13" s="7">
        <f>$B13 * IFERROR(VLOOKUP("LULUCF|PM25|Non-fatal heart attacks", US_national_yearly!$D:$AM, 12, FALSE) / VLOOKUP("LULUCF|PM25|Non-fatal heart attacks", US_national_yearly!$D:$AM, 10, FALSE), 1)</f>
        <v>6.8744383265060345E-5</v>
      </c>
      <c r="E13" s="7">
        <f>$B13 * IFERROR(VLOOKUP("LULUCF|PM25|Non-fatal heart attacks", US_national_yearly!$D:$AM, 13, FALSE) / VLOOKUP("LULUCF|PM25|Non-fatal heart attacks", US_national_yearly!$D:$AM, 10, FALSE), 1)</f>
        <v>7.0633142430996223E-5</v>
      </c>
      <c r="F13" s="7">
        <f>$B13 * IFERROR(VLOOKUP("LULUCF|PM25|Non-fatal heart attacks", US_national_yearly!$D:$AM, 14, FALSE) / VLOOKUP("LULUCF|PM25|Non-fatal heart attacks", US_national_yearly!$D:$AM, 10, FALSE), 1)</f>
        <v>7.2521901596932128E-5</v>
      </c>
      <c r="G13" s="7">
        <f>$B13 * IFERROR(VLOOKUP("LULUCF|PM25|Non-fatal heart attacks", US_national_yearly!$D:$AM, 15, FALSE) / VLOOKUP("LULUCF|PM25|Non-fatal heart attacks", US_national_yearly!$D:$AM, 10, FALSE), 1)</f>
        <v>7.430312089544922E-5</v>
      </c>
      <c r="H13" s="7">
        <f>$B13 * IFERROR(VLOOKUP("LULUCF|PM25|Non-fatal heart attacks", US_national_yearly!$D:$AM, 16, FALSE) / VLOOKUP("LULUCF|PM25|Non-fatal heart attacks", US_national_yearly!$D:$AM, 10, FALSE), 1)</f>
        <v>7.6084340193966298E-5</v>
      </c>
      <c r="I13" s="7">
        <f>$B13 * IFERROR(VLOOKUP("LULUCF|PM25|Non-fatal heart attacks", US_national_yearly!$D:$AM, 17, FALSE) / VLOOKUP("LULUCF|PM25|Non-fatal heart attacks", US_national_yearly!$D:$AM, 10, FALSE), 1)</f>
        <v>7.7515847800336396E-5</v>
      </c>
      <c r="J13" s="7">
        <f>$B13 * IFERROR(VLOOKUP("LULUCF|PM25|Non-fatal heart attacks", US_national_yearly!$D:$AM, 18, FALSE) / VLOOKUP("LULUCF|PM25|Non-fatal heart attacks", US_national_yearly!$D:$AM, 10, FALSE), 1)</f>
        <v>7.8947355406706494E-5</v>
      </c>
      <c r="K13" s="7">
        <f>$B13 * IFERROR(VLOOKUP("LULUCF|PM25|Non-fatal heart attacks", US_national_yearly!$D:$AM, 19, FALSE) / VLOOKUP("LULUCF|PM25|Non-fatal heart attacks", US_national_yearly!$D:$AM, 10, FALSE), 1)</f>
        <v>8.0378863013076606E-5</v>
      </c>
      <c r="L13" s="7">
        <f>$B13 * IFERROR(VLOOKUP("LULUCF|PM25|Non-fatal heart attacks", US_national_yearly!$D:$AM, 20, FALSE) / VLOOKUP("LULUCF|PM25|Non-fatal heart attacks", US_national_yearly!$D:$AM, 10, FALSE), 1)</f>
        <v>8.1810370619446704E-5</v>
      </c>
      <c r="M13" s="7">
        <f>$B13 * IFERROR(VLOOKUP("LULUCF|PM25|Non-fatal heart attacks", US_national_yearly!$D:$AM, 21, FALSE) / VLOOKUP("LULUCF|PM25|Non-fatal heart attacks", US_national_yearly!$D:$AM, 10, FALSE), 1)</f>
        <v>8.3241878225816815E-5</v>
      </c>
      <c r="N13" s="7">
        <f>$B13 * IFERROR(VLOOKUP("LULUCF|PM25|Non-fatal heart attacks", US_national_yearly!$D:$AM, 22, FALSE) / VLOOKUP("LULUCF|PM25|Non-fatal heart attacks", US_national_yearly!$D:$AM, 10, FALSE), 1)</f>
        <v>8.4165059277020282E-5</v>
      </c>
      <c r="O13" s="7">
        <f>$B13 * IFERROR(VLOOKUP("LULUCF|PM25|Non-fatal heart attacks", US_national_yearly!$D:$AM, 23, FALSE) / VLOOKUP("LULUCF|PM25|Non-fatal heart attacks", US_national_yearly!$D:$AM, 10, FALSE), 1)</f>
        <v>8.5088240328223762E-5</v>
      </c>
      <c r="P13" s="7">
        <f>$B13 * IFERROR(VLOOKUP("LULUCF|PM25|Non-fatal heart attacks", US_national_yearly!$D:$AM, 24, FALSE) / VLOOKUP("LULUCF|PM25|Non-fatal heart attacks", US_national_yearly!$D:$AM, 10, FALSE), 1)</f>
        <v>8.6011421379427242E-5</v>
      </c>
      <c r="Q13" s="7">
        <f>$B13 * IFERROR(VLOOKUP("LULUCF|PM25|Non-fatal heart attacks", US_national_yearly!$D:$AM, 25, FALSE) / VLOOKUP("LULUCF|PM25|Non-fatal heart attacks", US_national_yearly!$D:$AM, 10, FALSE), 1)</f>
        <v>8.6934602430630695E-5</v>
      </c>
      <c r="R13" s="7">
        <f>$B13 * IFERROR(VLOOKUP("LULUCF|PM25|Non-fatal heart attacks", US_national_yearly!$D:$AM, 26, FALSE) / VLOOKUP("LULUCF|PM25|Non-fatal heart attacks", US_national_yearly!$D:$AM, 10, FALSE), 1)</f>
        <v>8.7857783481834175E-5</v>
      </c>
      <c r="S13" s="7">
        <f>$B13 * IFERROR(VLOOKUP("LULUCF|PM25|Non-fatal heart attacks", US_national_yearly!$D:$AM, 27, FALSE) / VLOOKUP("LULUCF|PM25|Non-fatal heart attacks", US_national_yearly!$D:$AM, 10, FALSE), 1)</f>
        <v>8.8343956998479273E-5</v>
      </c>
      <c r="T13" s="7">
        <f>$B13 * IFERROR(VLOOKUP("LULUCF|PM25|Non-fatal heart attacks", US_national_yearly!$D:$AM, 28, FALSE) / VLOOKUP("LULUCF|PM25|Non-fatal heart attacks", US_national_yearly!$D:$AM, 10, FALSE), 1)</f>
        <v>8.8830130515124385E-5</v>
      </c>
      <c r="U13" s="7">
        <f>$B13 * IFERROR(VLOOKUP("LULUCF|PM25|Non-fatal heart attacks", US_national_yearly!$D:$AM, 29, FALSE) / VLOOKUP("LULUCF|PM25|Non-fatal heart attacks", US_national_yearly!$D:$AM, 10, FALSE), 1)</f>
        <v>8.9316304031769511E-5</v>
      </c>
      <c r="V13" s="7">
        <f>$B13 * IFERROR(VLOOKUP("LULUCF|PM25|Non-fatal heart attacks", US_national_yearly!$D:$AM, 30, FALSE) / VLOOKUP("LULUCF|PM25|Non-fatal heart attacks", US_national_yearly!$D:$AM, 10, FALSE), 1)</f>
        <v>8.9802477548414609E-5</v>
      </c>
      <c r="W13" s="7">
        <f>$B13 * IFERROR(VLOOKUP("LULUCF|PM25|Non-fatal heart attacks", US_national_yearly!$D:$AM, 31, FALSE) / VLOOKUP("LULUCF|PM25|Non-fatal heart attacks", US_national_yearly!$D:$AM, 10, FALSE), 1)</f>
        <v>9.0288651065059707E-5</v>
      </c>
      <c r="X13" s="7">
        <f>$B13 * IFERROR(VLOOKUP("LULUCF|PM25|Non-fatal heart attacks", US_national_yearly!$D:$AM, 32, FALSE) / VLOOKUP("LULUCF|PM25|Non-fatal heart attacks", US_national_yearly!$D:$AM, 10, FALSE), 1)</f>
        <v>9.0657727063439059E-5</v>
      </c>
      <c r="Y13" s="7">
        <f>$B13 * IFERROR(VLOOKUP("LULUCF|PM25|Non-fatal heart attacks", US_national_yearly!$D:$AM, 33, FALSE) / VLOOKUP("LULUCF|PM25|Non-fatal heart attacks", US_national_yearly!$D:$AM, 10, FALSE), 1)</f>
        <v>9.1026803061818425E-5</v>
      </c>
      <c r="Z13" s="7">
        <f>$B13 * IFERROR(VLOOKUP("LULUCF|PM25|Non-fatal heart attacks", US_national_yearly!$D:$AM, 34, FALSE) / VLOOKUP("LULUCF|PM25|Non-fatal heart attacks", US_national_yearly!$D:$AM, 10, FALSE), 1)</f>
        <v>9.1395879060197777E-5</v>
      </c>
      <c r="AA13" s="7">
        <f>$B13 * IFERROR(VLOOKUP("LULUCF|PM25|Non-fatal heart attacks", US_national_yearly!$D:$AM, 35, FALSE) / VLOOKUP("LULUCF|PM25|Non-fatal heart attacks", US_national_yearly!$D:$AM, 10, FALSE), 1)</f>
        <v>9.1764955058577143E-5</v>
      </c>
      <c r="AB13" s="7">
        <f>$B13 * IFERROR(VLOOKUP("LULUCF|PM25|Non-fatal heart attacks", US_national_yearly!$D:$AM, 36, FALSE) / VLOOKUP("LULUCF|PM25|Non-fatal heart attacks", US_national_yearly!$D:$AM, 10, FALSE), 1)</f>
        <v>9.2134031056956495E-5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1.98539817374675E-2</v>
      </c>
      <c r="C14" s="7">
        <f>$B14 * IFERROR(VLOOKUP("LULUCF|PM25|Minor restricted activity days", US_national_yearly!$D:$AM, 11, FALSE) / VLOOKUP("LULUCF|PM25|Minor restricted activity days", US_national_yearly!$D:$AM, 10, FALSE), 1)</f>
        <v>1.9902467515371638E-2</v>
      </c>
      <c r="D14" s="7">
        <f>$B14 * IFERROR(VLOOKUP("LULUCF|PM25|Minor restricted activity days", US_national_yearly!$D:$AM, 12, FALSE) / VLOOKUP("LULUCF|PM25|Minor restricted activity days", US_national_yearly!$D:$AM, 10, FALSE), 1)</f>
        <v>1.9950953293275776E-2</v>
      </c>
      <c r="E14" s="7">
        <f>$B14 * IFERROR(VLOOKUP("LULUCF|PM25|Minor restricted activity days", US_national_yearly!$D:$AM, 13, FALSE) / VLOOKUP("LULUCF|PM25|Minor restricted activity days", US_national_yearly!$D:$AM, 10, FALSE), 1)</f>
        <v>1.9999439071179917E-2</v>
      </c>
      <c r="F14" s="7">
        <f>$B14 * IFERROR(VLOOKUP("LULUCF|PM25|Minor restricted activity days", US_national_yearly!$D:$AM, 14, FALSE) / VLOOKUP("LULUCF|PM25|Minor restricted activity days", US_national_yearly!$D:$AM, 10, FALSE), 1)</f>
        <v>2.0047924849084051E-2</v>
      </c>
      <c r="G14" s="7">
        <f>$B14 * IFERROR(VLOOKUP("LULUCF|PM25|Minor restricted activity days", US_national_yearly!$D:$AM, 15, FALSE) / VLOOKUP("LULUCF|PM25|Minor restricted activity days", US_national_yearly!$D:$AM, 10, FALSE), 1)</f>
        <v>2.0119464163328018E-2</v>
      </c>
      <c r="H14" s="7">
        <f>$B14 * IFERROR(VLOOKUP("LULUCF|PM25|Minor restricted activity days", US_national_yearly!$D:$AM, 16, FALSE) / VLOOKUP("LULUCF|PM25|Minor restricted activity days", US_national_yearly!$D:$AM, 10, FALSE), 1)</f>
        <v>2.0191003477571984E-2</v>
      </c>
      <c r="I14" s="7">
        <f>$B14 * IFERROR(VLOOKUP("LULUCF|PM25|Minor restricted activity days", US_national_yearly!$D:$AM, 17, FALSE) / VLOOKUP("LULUCF|PM25|Minor restricted activity days", US_national_yearly!$D:$AM, 10, FALSE), 1)</f>
        <v>2.0313302944990431E-2</v>
      </c>
      <c r="J14" s="7">
        <f>$B14 * IFERROR(VLOOKUP("LULUCF|PM25|Minor restricted activity days", US_national_yearly!$D:$AM, 18, FALSE) / VLOOKUP("LULUCF|PM25|Minor restricted activity days", US_national_yearly!$D:$AM, 10, FALSE), 1)</f>
        <v>2.0435602412408865E-2</v>
      </c>
      <c r="K14" s="7">
        <f>$B14 * IFERROR(VLOOKUP("LULUCF|PM25|Minor restricted activity days", US_national_yearly!$D:$AM, 19, FALSE) / VLOOKUP("LULUCF|PM25|Minor restricted activity days", US_national_yearly!$D:$AM, 10, FALSE), 1)</f>
        <v>2.0557901879827312E-2</v>
      </c>
      <c r="L14" s="7">
        <f>$B14 * IFERROR(VLOOKUP("LULUCF|PM25|Minor restricted activity days", US_national_yearly!$D:$AM, 20, FALSE) / VLOOKUP("LULUCF|PM25|Minor restricted activity days", US_national_yearly!$D:$AM, 10, FALSE), 1)</f>
        <v>2.0680201347245752E-2</v>
      </c>
      <c r="M14" s="7">
        <f>$B14 * IFERROR(VLOOKUP("LULUCF|PM25|Minor restricted activity days", US_national_yearly!$D:$AM, 21, FALSE) / VLOOKUP("LULUCF|PM25|Minor restricted activity days", US_national_yearly!$D:$AM, 10, FALSE), 1)</f>
        <v>2.0802500814664192E-2</v>
      </c>
      <c r="N14" s="7">
        <f>$B14 * IFERROR(VLOOKUP("LULUCF|PM25|Minor restricted activity days", US_national_yearly!$D:$AM, 22, FALSE) / VLOOKUP("LULUCF|PM25|Minor restricted activity days", US_national_yearly!$D:$AM, 10, FALSE), 1)</f>
        <v>2.0969097039068768E-2</v>
      </c>
      <c r="O14" s="7">
        <f>$B14 * IFERROR(VLOOKUP("LULUCF|PM25|Minor restricted activity days", US_national_yearly!$D:$AM, 23, FALSE) / VLOOKUP("LULUCF|PM25|Minor restricted activity days", US_national_yearly!$D:$AM, 10, FALSE), 1)</f>
        <v>2.1135693263473341E-2</v>
      </c>
      <c r="P14" s="7">
        <f>$B14 * IFERROR(VLOOKUP("LULUCF|PM25|Minor restricted activity days", US_national_yearly!$D:$AM, 24, FALSE) / VLOOKUP("LULUCF|PM25|Minor restricted activity days", US_national_yearly!$D:$AM, 10, FALSE), 1)</f>
        <v>2.1302289487877917E-2</v>
      </c>
      <c r="Q14" s="7">
        <f>$B14 * IFERROR(VLOOKUP("LULUCF|PM25|Minor restricted activity days", US_national_yearly!$D:$AM, 25, FALSE) / VLOOKUP("LULUCF|PM25|Minor restricted activity days", US_national_yearly!$D:$AM, 10, FALSE), 1)</f>
        <v>2.1468885712282487E-2</v>
      </c>
      <c r="R14" s="7">
        <f>$B14 * IFERROR(VLOOKUP("LULUCF|PM25|Minor restricted activity days", US_national_yearly!$D:$AM, 26, FALSE) / VLOOKUP("LULUCF|PM25|Minor restricted activity days", US_national_yearly!$D:$AM, 10, FALSE), 1)</f>
        <v>2.1635481936687059E-2</v>
      </c>
      <c r="S14" s="7">
        <f>$B14 * IFERROR(VLOOKUP("LULUCF|PM25|Minor restricted activity days", US_national_yearly!$D:$AM, 27, FALSE) / VLOOKUP("LULUCF|PM25|Minor restricted activity days", US_national_yearly!$D:$AM, 10, FALSE), 1)</f>
        <v>2.1803225454698958E-2</v>
      </c>
      <c r="T14" s="7">
        <f>$B14 * IFERROR(VLOOKUP("LULUCF|PM25|Minor restricted activity days", US_national_yearly!$D:$AM, 28, FALSE) / VLOOKUP("LULUCF|PM25|Minor restricted activity days", US_national_yearly!$D:$AM, 10, FALSE), 1)</f>
        <v>2.1970968972710857E-2</v>
      </c>
      <c r="U14" s="7">
        <f>$B14 * IFERROR(VLOOKUP("LULUCF|PM25|Minor restricted activity days", US_national_yearly!$D:$AM, 29, FALSE) / VLOOKUP("LULUCF|PM25|Minor restricted activity days", US_national_yearly!$D:$AM, 10, FALSE), 1)</f>
        <v>2.2138712490722752E-2</v>
      </c>
      <c r="V14" s="7">
        <f>$B14 * IFERROR(VLOOKUP("LULUCF|PM25|Minor restricted activity days", US_national_yearly!$D:$AM, 30, FALSE) / VLOOKUP("LULUCF|PM25|Minor restricted activity days", US_national_yearly!$D:$AM, 10, FALSE), 1)</f>
        <v>2.2306456008734651E-2</v>
      </c>
      <c r="W14" s="7">
        <f>$B14 * IFERROR(VLOOKUP("LULUCF|PM25|Minor restricted activity days", US_national_yearly!$D:$AM, 31, FALSE) / VLOOKUP("LULUCF|PM25|Minor restricted activity days", US_national_yearly!$D:$AM, 10, FALSE), 1)</f>
        <v>2.2474199526746549E-2</v>
      </c>
      <c r="X14" s="7">
        <f>$B14 * IFERROR(VLOOKUP("LULUCF|PM25|Minor restricted activity days", US_national_yearly!$D:$AM, 32, FALSE) / VLOOKUP("LULUCF|PM25|Minor restricted activity days", US_national_yearly!$D:$AM, 10, FALSE), 1)</f>
        <v>2.2619817775699862E-2</v>
      </c>
      <c r="Y14" s="7">
        <f>$B14 * IFERROR(VLOOKUP("LULUCF|PM25|Minor restricted activity days", US_national_yearly!$D:$AM, 33, FALSE) / VLOOKUP("LULUCF|PM25|Minor restricted activity days", US_national_yearly!$D:$AM, 10, FALSE), 1)</f>
        <v>2.2765436024653172E-2</v>
      </c>
      <c r="Z14" s="7">
        <f>$B14 * IFERROR(VLOOKUP("LULUCF|PM25|Minor restricted activity days", US_national_yearly!$D:$AM, 34, FALSE) / VLOOKUP("LULUCF|PM25|Minor restricted activity days", US_national_yearly!$D:$AM, 10, FALSE), 1)</f>
        <v>2.2911054273606485E-2</v>
      </c>
      <c r="AA14" s="7">
        <f>$B14 * IFERROR(VLOOKUP("LULUCF|PM25|Minor restricted activity days", US_national_yearly!$D:$AM, 35, FALSE) / VLOOKUP("LULUCF|PM25|Minor restricted activity days", US_national_yearly!$D:$AM, 10, FALSE), 1)</f>
        <v>2.3056672522559791E-2</v>
      </c>
      <c r="AB14" s="7">
        <f>$B14 * IFERROR(VLOOKUP("LULUCF|PM25|Minor restricted activity days", US_national_yearly!$D:$AM, 36, FALSE) / VLOOKUP("LULUCF|PM25|Minor restricted activity days", US_national_yearly!$D:$AM, 10, FALSE), 1)</f>
        <v>2.3202290771513104E-2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3.3072972093083344E-3</v>
      </c>
      <c r="C15" s="7">
        <f>$B15 * IFERROR(VLOOKUP("LULUCF|PM25|Work loss days", US_national_yearly!$D:$AM, 11, FALSE) / VLOOKUP("LULUCF|PM25|Work loss days", US_national_yearly!$D:$AM, 10, FALSE), 1)</f>
        <v>3.317548639465324E-3</v>
      </c>
      <c r="D15" s="7">
        <f>$B15 * IFERROR(VLOOKUP("LULUCF|PM25|Work loss days", US_national_yearly!$D:$AM, 12, FALSE) / VLOOKUP("LULUCF|PM25|Work loss days", US_national_yearly!$D:$AM, 10, FALSE), 1)</f>
        <v>3.3278000696223145E-3</v>
      </c>
      <c r="E15" s="7">
        <f>$B15 * IFERROR(VLOOKUP("LULUCF|PM25|Work loss days", US_national_yearly!$D:$AM, 13, FALSE) / VLOOKUP("LULUCF|PM25|Work loss days", US_national_yearly!$D:$AM, 10, FALSE), 1)</f>
        <v>3.3380514997793042E-3</v>
      </c>
      <c r="F15" s="7">
        <f>$B15 * IFERROR(VLOOKUP("LULUCF|PM25|Work loss days", US_national_yearly!$D:$AM, 14, FALSE) / VLOOKUP("LULUCF|PM25|Work loss days", US_national_yearly!$D:$AM, 10, FALSE), 1)</f>
        <v>3.3483029299362938E-3</v>
      </c>
      <c r="G15" s="7">
        <f>$B15 * IFERROR(VLOOKUP("LULUCF|PM25|Work loss days", US_national_yearly!$D:$AM, 15, FALSE) / VLOOKUP("LULUCF|PM25|Work loss days", US_national_yearly!$D:$AM, 10, FALSE), 1)</f>
        <v>3.3617432090256977E-3</v>
      </c>
      <c r="H15" s="7">
        <f>$B15 * IFERROR(VLOOKUP("LULUCF|PM25|Work loss days", US_national_yearly!$D:$AM, 16, FALSE) / VLOOKUP("LULUCF|PM25|Work loss days", US_national_yearly!$D:$AM, 10, FALSE), 1)</f>
        <v>3.3751834881151025E-3</v>
      </c>
      <c r="I15" s="7">
        <f>$B15 * IFERROR(VLOOKUP("LULUCF|PM25|Work loss days", US_national_yearly!$D:$AM, 17, FALSE) / VLOOKUP("LULUCF|PM25|Work loss days", US_national_yearly!$D:$AM, 10, FALSE), 1)</f>
        <v>3.3949757773021074E-3</v>
      </c>
      <c r="J15" s="7">
        <f>$B15 * IFERROR(VLOOKUP("LULUCF|PM25|Work loss days", US_national_yearly!$D:$AM, 18, FALSE) / VLOOKUP("LULUCF|PM25|Work loss days", US_national_yearly!$D:$AM, 10, FALSE), 1)</f>
        <v>3.4147680664891127E-3</v>
      </c>
      <c r="K15" s="7">
        <f>$B15 * IFERROR(VLOOKUP("LULUCF|PM25|Work loss days", US_national_yearly!$D:$AM, 19, FALSE) / VLOOKUP("LULUCF|PM25|Work loss days", US_national_yearly!$D:$AM, 10, FALSE), 1)</f>
        <v>3.434560355676118E-3</v>
      </c>
      <c r="L15" s="7">
        <f>$B15 * IFERROR(VLOOKUP("LULUCF|PM25|Work loss days", US_national_yearly!$D:$AM, 20, FALSE) / VLOOKUP("LULUCF|PM25|Work loss days", US_national_yearly!$D:$AM, 10, FALSE), 1)</f>
        <v>3.4543526448631229E-3</v>
      </c>
      <c r="M15" s="7">
        <f>$B15 * IFERROR(VLOOKUP("LULUCF|PM25|Work loss days", US_national_yearly!$D:$AM, 21, FALSE) / VLOOKUP("LULUCF|PM25|Work loss days", US_national_yearly!$D:$AM, 10, FALSE), 1)</f>
        <v>3.4741449340501282E-3</v>
      </c>
      <c r="N15" s="7">
        <f>$B15 * IFERROR(VLOOKUP("LULUCF|PM25|Work loss days", US_national_yearly!$D:$AM, 22, FALSE) / VLOOKUP("LULUCF|PM25|Work loss days", US_national_yearly!$D:$AM, 10, FALSE), 1)</f>
        <v>3.4990550280466137E-3</v>
      </c>
      <c r="O15" s="7">
        <f>$B15 * IFERROR(VLOOKUP("LULUCF|PM25|Work loss days", US_national_yearly!$D:$AM, 23, FALSE) / VLOOKUP("LULUCF|PM25|Work loss days", US_national_yearly!$D:$AM, 10, FALSE), 1)</f>
        <v>3.5239651220430983E-3</v>
      </c>
      <c r="P15" s="7">
        <f>$B15 * IFERROR(VLOOKUP("LULUCF|PM25|Work loss days", US_national_yearly!$D:$AM, 24, FALSE) / VLOOKUP("LULUCF|PM25|Work loss days", US_national_yearly!$D:$AM, 10, FALSE), 1)</f>
        <v>3.5488752160395833E-3</v>
      </c>
      <c r="Q15" s="7">
        <f>$B15 * IFERROR(VLOOKUP("LULUCF|PM25|Work loss days", US_national_yearly!$D:$AM, 25, FALSE) / VLOOKUP("LULUCF|PM25|Work loss days", US_national_yearly!$D:$AM, 10, FALSE), 1)</f>
        <v>3.5737853100360679E-3</v>
      </c>
      <c r="R15" s="7">
        <f>$B15 * IFERROR(VLOOKUP("LULUCF|PM25|Work loss days", US_national_yearly!$D:$AM, 26, FALSE) / VLOOKUP("LULUCF|PM25|Work loss days", US_national_yearly!$D:$AM, 10, FALSE), 1)</f>
        <v>3.5986954040325534E-3</v>
      </c>
      <c r="S15" s="7">
        <f>$B15 * IFERROR(VLOOKUP("LULUCF|PM25|Work loss days", US_national_yearly!$D:$AM, 27, FALSE) / VLOOKUP("LULUCF|PM25|Work loss days", US_national_yearly!$D:$AM, 10, FALSE), 1)</f>
        <v>3.6262470314905953E-3</v>
      </c>
      <c r="T15" s="7">
        <f>$B15 * IFERROR(VLOOKUP("LULUCF|PM25|Work loss days", US_national_yearly!$D:$AM, 28, FALSE) / VLOOKUP("LULUCF|PM25|Work loss days", US_national_yearly!$D:$AM, 10, FALSE), 1)</f>
        <v>3.653798658948638E-3</v>
      </c>
      <c r="U15" s="7">
        <f>$B15 * IFERROR(VLOOKUP("LULUCF|PM25|Work loss days", US_national_yearly!$D:$AM, 29, FALSE) / VLOOKUP("LULUCF|PM25|Work loss days", US_national_yearly!$D:$AM, 10, FALSE), 1)</f>
        <v>3.6813502864066791E-3</v>
      </c>
      <c r="V15" s="7">
        <f>$B15 * IFERROR(VLOOKUP("LULUCF|PM25|Work loss days", US_national_yearly!$D:$AM, 30, FALSE) / VLOOKUP("LULUCF|PM25|Work loss days", US_national_yearly!$D:$AM, 10, FALSE), 1)</f>
        <v>3.7089019138647219E-3</v>
      </c>
      <c r="W15" s="7">
        <f>$B15 * IFERROR(VLOOKUP("LULUCF|PM25|Work loss days", US_national_yearly!$D:$AM, 31, FALSE) / VLOOKUP("LULUCF|PM25|Work loss days", US_national_yearly!$D:$AM, 10, FALSE), 1)</f>
        <v>3.7364535413227638E-3</v>
      </c>
      <c r="X15" s="7">
        <f>$B15 * IFERROR(VLOOKUP("LULUCF|PM25|Work loss days", US_national_yearly!$D:$AM, 32, FALSE) / VLOOKUP("LULUCF|PM25|Work loss days", US_national_yearly!$D:$AM, 10, FALSE), 1)</f>
        <v>3.7608992656517752E-3</v>
      </c>
      <c r="Y15" s="7">
        <f>$B15 * IFERROR(VLOOKUP("LULUCF|PM25|Work loss days", US_national_yearly!$D:$AM, 33, FALSE) / VLOOKUP("LULUCF|PM25|Work loss days", US_national_yearly!$D:$AM, 10, FALSE), 1)</f>
        <v>3.7853449899807861E-3</v>
      </c>
      <c r="Z15" s="7">
        <f>$B15 * IFERROR(VLOOKUP("LULUCF|PM25|Work loss days", US_national_yearly!$D:$AM, 34, FALSE) / VLOOKUP("LULUCF|PM25|Work loss days", US_national_yearly!$D:$AM, 10, FALSE), 1)</f>
        <v>3.8097907143097983E-3</v>
      </c>
      <c r="AA15" s="7">
        <f>$B15 * IFERROR(VLOOKUP("LULUCF|PM25|Work loss days", US_national_yearly!$D:$AM, 35, FALSE) / VLOOKUP("LULUCF|PM25|Work loss days", US_national_yearly!$D:$AM, 10, FALSE), 1)</f>
        <v>3.8342364386388106E-3</v>
      </c>
      <c r="AB15" s="7">
        <f>$B15 * IFERROR(VLOOKUP("LULUCF|PM25|Work loss days", US_national_yearly!$D:$AM, 36, FALSE) / VLOOKUP("LULUCF|PM25|Work loss days", US_national_yearly!$D:$AM, 10, FALSE), 1)</f>
        <v>3.858682162967822E-3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8.9837180633639828E-6</v>
      </c>
      <c r="C17" s="7">
        <f>$B17 * IFERROR(VLOOKUP("LULUCF|PM25|Cardiovascular hospital admissions", US_national_yearly!$D:$AM, 11, FALSE) / VLOOKUP("LULUCF|PM25|Cardiovascular hospital admissions", US_national_yearly!$D:$AM, 10, FALSE), 1)</f>
        <v>9.2521578235953355E-6</v>
      </c>
      <c r="D17" s="7">
        <f>$B17 * IFERROR(VLOOKUP("LULUCF|PM25|Cardiovascular hospital admissions", US_national_yearly!$D:$AM, 12, FALSE) / VLOOKUP("LULUCF|PM25|Cardiovascular hospital admissions", US_national_yearly!$D:$AM, 10, FALSE), 1)</f>
        <v>9.5205975838266899E-6</v>
      </c>
      <c r="E17" s="7">
        <f>$B17 * IFERROR(VLOOKUP("LULUCF|PM25|Cardiovascular hospital admissions", US_national_yearly!$D:$AM, 13, FALSE) / VLOOKUP("LULUCF|PM25|Cardiovascular hospital admissions", US_national_yearly!$D:$AM, 10, FALSE), 1)</f>
        <v>9.7890373440580444E-6</v>
      </c>
      <c r="F17" s="7">
        <f>$B17 * IFERROR(VLOOKUP("LULUCF|PM25|Cardiovascular hospital admissions", US_national_yearly!$D:$AM, 14, FALSE) / VLOOKUP("LULUCF|PM25|Cardiovascular hospital admissions", US_national_yearly!$D:$AM, 10, FALSE), 1)</f>
        <v>1.0057477104289399E-5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1.0314594444068957E-5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1.0571711783848519E-5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1.0791612649135832E-5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1.1011513514423143E-5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1.1231414379710454E-5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1.1451315244997769E-5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1.167121611028508E-5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1.1817829037802042E-5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1.1964441965319005E-5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1.2111054892835967E-5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1.225766782035293E-5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1.2404280747869892E-5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1.2481852674465971E-5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1.2559424601062048E-5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1.2636996527658121E-5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1.2714568454254197E-5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1.2792140380850274E-5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1.2844362822213558E-5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1.2896585263576841E-5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1.2948807704940124E-5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1.3001030146303408E-5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1.3053252587666691E-5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8.5018473727550506E-5</v>
      </c>
      <c r="C2" s="7">
        <f>$B2 * IFERROR(VLOOKUP("LULUCF|NOx|Premature mortality", US_national_yearly!$D:$AM, 11, FALSE) / VLOOKUP("LULUCF|NOx|Premature mortality", US_national_yearly!$D:$AM, 10, FALSE), 1)</f>
        <v>8.6267251403854758E-5</v>
      </c>
      <c r="D2" s="7">
        <f>$B2 * IFERROR(VLOOKUP("LULUCF|NOx|Premature mortality", US_national_yearly!$D:$AM, 12, FALSE) / VLOOKUP("LULUCF|NOx|Premature mortality", US_national_yearly!$D:$AM, 10, FALSE), 1)</f>
        <v>8.7516029080158983E-5</v>
      </c>
      <c r="E2" s="7">
        <f>$B2 * IFERROR(VLOOKUP("LULUCF|NOx|Premature mortality", US_national_yearly!$D:$AM, 13, FALSE) / VLOOKUP("LULUCF|NOx|Premature mortality", US_national_yearly!$D:$AM, 10, FALSE), 1)</f>
        <v>8.8764806756463235E-5</v>
      </c>
      <c r="F2" s="7">
        <f>$B2 * IFERROR(VLOOKUP("LULUCF|NOx|Premature mortality", US_national_yearly!$D:$AM, 14, FALSE) / VLOOKUP("LULUCF|NOx|Premature mortality", US_national_yearly!$D:$AM, 10, FALSE), 1)</f>
        <v>9.0013584432767487E-5</v>
      </c>
      <c r="G2" s="7">
        <f>$B2 * IFERROR(VLOOKUP("LULUCF|NOx|Premature mortality", US_national_yearly!$D:$AM, 15, FALSE) / VLOOKUP("LULUCF|NOx|Premature mortality", US_national_yearly!$D:$AM, 10, FALSE), 1)</f>
        <v>9.2256684380678409E-5</v>
      </c>
      <c r="H2" s="7">
        <f>$B2 * IFERROR(VLOOKUP("LULUCF|NOx|Premature mortality", US_national_yearly!$D:$AM, 16, FALSE) / VLOOKUP("LULUCF|NOx|Premature mortality", US_national_yearly!$D:$AM, 10, FALSE), 1)</f>
        <v>9.4499784328589372E-5</v>
      </c>
      <c r="I2" s="7">
        <f>$B2 * IFERROR(VLOOKUP("LULUCF|NOx|Premature mortality", US_national_yearly!$D:$AM, 17, FALSE) / VLOOKUP("LULUCF|NOx|Premature mortality", US_national_yearly!$D:$AM, 10, FALSE), 1)</f>
        <v>9.5947747893510043E-5</v>
      </c>
      <c r="J2" s="7">
        <f>$B2 * IFERROR(VLOOKUP("LULUCF|NOx|Premature mortality", US_national_yearly!$D:$AM, 18, FALSE) / VLOOKUP("LULUCF|NOx|Premature mortality", US_national_yearly!$D:$AM, 10, FALSE), 1)</f>
        <v>9.7395711458430728E-5</v>
      </c>
      <c r="K2" s="7">
        <f>$B2 * IFERROR(VLOOKUP("LULUCF|NOx|Premature mortality", US_national_yearly!$D:$AM, 19, FALSE) / VLOOKUP("LULUCF|NOx|Premature mortality", US_national_yearly!$D:$AM, 10, FALSE), 1)</f>
        <v>9.8843675023351413E-5</v>
      </c>
      <c r="L2" s="7">
        <f>$B2 * IFERROR(VLOOKUP("LULUCF|NOx|Premature mortality", US_national_yearly!$D:$AM, 20, FALSE) / VLOOKUP("LULUCF|NOx|Premature mortality", US_national_yearly!$D:$AM, 10, FALSE), 1)</f>
        <v>1.0029163858827208E-4</v>
      </c>
      <c r="M2" s="7">
        <f>$B2 * IFERROR(VLOOKUP("LULUCF|NOx|Premature mortality", US_national_yearly!$D:$AM, 21, FALSE) / VLOOKUP("LULUCF|NOx|Premature mortality", US_national_yearly!$D:$AM, 10, FALSE), 1)</f>
        <v>1.0173960215319277E-4</v>
      </c>
      <c r="N2" s="7">
        <f>$B2 * IFERROR(VLOOKUP("LULUCF|NOx|Premature mortality", US_national_yearly!$D:$AM, 22, FALSE) / VLOOKUP("LULUCF|NOx|Premature mortality", US_national_yearly!$D:$AM, 10, FALSE), 1)</f>
        <v>1.0281224793306438E-4</v>
      </c>
      <c r="O2" s="7">
        <f>$B2 * IFERROR(VLOOKUP("LULUCF|NOx|Premature mortality", US_national_yearly!$D:$AM, 23, FALSE) / VLOOKUP("LULUCF|NOx|Premature mortality", US_national_yearly!$D:$AM, 10, FALSE), 1)</f>
        <v>1.0388489371293598E-4</v>
      </c>
      <c r="P2" s="7">
        <f>$B2 * IFERROR(VLOOKUP("LULUCF|NOx|Premature mortality", US_national_yearly!$D:$AM, 24, FALSE) / VLOOKUP("LULUCF|NOx|Premature mortality", US_national_yearly!$D:$AM, 10, FALSE), 1)</f>
        <v>1.0495753949280758E-4</v>
      </c>
      <c r="Q2" s="7">
        <f>$B2 * IFERROR(VLOOKUP("LULUCF|NOx|Premature mortality", US_national_yearly!$D:$AM, 25, FALSE) / VLOOKUP("LULUCF|NOx|Premature mortality", US_national_yearly!$D:$AM, 10, FALSE), 1)</f>
        <v>1.0603018527267921E-4</v>
      </c>
      <c r="R2" s="7">
        <f>$B2 * IFERROR(VLOOKUP("LULUCF|NOx|Premature mortality", US_national_yearly!$D:$AM, 26, FALSE) / VLOOKUP("LULUCF|NOx|Premature mortality", US_national_yearly!$D:$AM, 10, FALSE), 1)</f>
        <v>1.0710283105255081E-4</v>
      </c>
      <c r="S2" s="7">
        <f>$B2 * IFERROR(VLOOKUP("LULUCF|NOx|Premature mortality", US_national_yearly!$D:$AM, 27, FALSE) / VLOOKUP("LULUCF|NOx|Premature mortality", US_national_yearly!$D:$AM, 10, FALSE), 1)</f>
        <v>1.0759035936090192E-4</v>
      </c>
      <c r="T2" s="7">
        <f>$B2 * IFERROR(VLOOKUP("LULUCF|NOx|Premature mortality", US_national_yearly!$D:$AM, 28, FALSE) / VLOOKUP("LULUCF|NOx|Premature mortality", US_national_yearly!$D:$AM, 10, FALSE), 1)</f>
        <v>1.0807788766925305E-4</v>
      </c>
      <c r="U2" s="7">
        <f>$B2 * IFERROR(VLOOKUP("LULUCF|NOx|Premature mortality", US_national_yearly!$D:$AM, 29, FALSE) / VLOOKUP("LULUCF|NOx|Premature mortality", US_national_yearly!$D:$AM, 10, FALSE), 1)</f>
        <v>1.0856541597760416E-4</v>
      </c>
      <c r="V2" s="7">
        <f>$B2 * IFERROR(VLOOKUP("LULUCF|NOx|Premature mortality", US_national_yearly!$D:$AM, 30, FALSE) / VLOOKUP("LULUCF|NOx|Premature mortality", US_national_yearly!$D:$AM, 10, FALSE), 1)</f>
        <v>1.0905294428595525E-4</v>
      </c>
      <c r="W2" s="7">
        <f>$B2 * IFERROR(VLOOKUP("LULUCF|NOx|Premature mortality", US_national_yearly!$D:$AM, 31, FALSE) / VLOOKUP("LULUCF|NOx|Premature mortality", US_national_yearly!$D:$AM, 10, FALSE), 1)</f>
        <v>1.0954047259430638E-4</v>
      </c>
      <c r="X2" s="7">
        <f>$B2 * IFERROR(VLOOKUP("LULUCF|NOx|Premature mortality", US_national_yearly!$D:$AM, 32, FALSE) / VLOOKUP("LULUCF|NOx|Premature mortality", US_national_yearly!$D:$AM, 10, FALSE), 1)</f>
        <v>1.0955736029506418E-4</v>
      </c>
      <c r="Y2" s="7">
        <f>$B2 * IFERROR(VLOOKUP("LULUCF|NOx|Premature mortality", US_national_yearly!$D:$AM, 33, FALSE) / VLOOKUP("LULUCF|NOx|Premature mortality", US_national_yearly!$D:$AM, 10, FALSE), 1)</f>
        <v>1.0957424799582198E-4</v>
      </c>
      <c r="Z2" s="7">
        <f>$B2 * IFERROR(VLOOKUP("LULUCF|NOx|Premature mortality", US_national_yearly!$D:$AM, 34, FALSE) / VLOOKUP("LULUCF|NOx|Premature mortality", US_national_yearly!$D:$AM, 10, FALSE), 1)</f>
        <v>1.0959113569657975E-4</v>
      </c>
      <c r="AA2" s="7">
        <f>$B2 * IFERROR(VLOOKUP("LULUCF|NOx|Premature mortality", US_national_yearly!$D:$AM, 35, FALSE) / VLOOKUP("LULUCF|NOx|Premature mortality", US_national_yearly!$D:$AM, 10, FALSE), 1)</f>
        <v>1.0960802339733756E-4</v>
      </c>
      <c r="AB2" s="7">
        <f>$B2 * IFERROR(VLOOKUP("LULUCF|NOx|Premature mortality", US_national_yearly!$D:$AM, 36, FALSE) / VLOOKUP("LULUCF|NOx|Premature mortality", US_national_yearly!$D:$AM, 10, FALSE), 1)</f>
        <v>1.0962491109809536E-4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1.4300589286268917E-7</v>
      </c>
      <c r="C3" s="7">
        <f>$B3 * IFERROR(VLOOKUP("LULUCF|NOx|Infant mortality", US_national_yearly!$D:$AM, 11, FALSE) / VLOOKUP("LULUCF|NOx|Infant mortality", US_national_yearly!$D:$AM, 10, FALSE), 1)</f>
        <v>1.4164339733091815E-7</v>
      </c>
      <c r="D3" s="7">
        <f>$B3 * IFERROR(VLOOKUP("LULUCF|NOx|Infant mortality", US_national_yearly!$D:$AM, 12, FALSE) / VLOOKUP("LULUCF|NOx|Infant mortality", US_national_yearly!$D:$AM, 10, FALSE), 1)</f>
        <v>1.4028090179914713E-7</v>
      </c>
      <c r="E3" s="7">
        <f>$B3 * IFERROR(VLOOKUP("LULUCF|NOx|Infant mortality", US_national_yearly!$D:$AM, 13, FALSE) / VLOOKUP("LULUCF|NOx|Infant mortality", US_national_yearly!$D:$AM, 10, FALSE), 1)</f>
        <v>1.389184062673761E-7</v>
      </c>
      <c r="F3" s="7">
        <f>$B3 * IFERROR(VLOOKUP("LULUCF|NOx|Infant mortality", US_national_yearly!$D:$AM, 14, FALSE) / VLOOKUP("LULUCF|NOx|Infant mortality", US_national_yearly!$D:$AM, 10, FALSE), 1)</f>
        <v>1.3755591073560508E-7</v>
      </c>
      <c r="G3" s="7">
        <f>$B3 * IFERROR(VLOOKUP("LULUCF|NOx|Infant mortality", US_national_yearly!$D:$AM, 15, FALSE) / VLOOKUP("LULUCF|NOx|Infant mortality", US_national_yearly!$D:$AM, 10, FALSE), 1)</f>
        <v>9.1316406192335281E-8</v>
      </c>
      <c r="H3" s="7">
        <f>$B3 * IFERROR(VLOOKUP("LULUCF|NOx|Infant mortality", US_national_yearly!$D:$AM, 16, FALSE) / VLOOKUP("LULUCF|NOx|Infant mortality", US_national_yearly!$D:$AM, 10, FALSE), 1)</f>
        <v>4.5076901649065471E-8</v>
      </c>
      <c r="I3" s="7">
        <f>$B3 * IFERROR(VLOOKUP("LULUCF|NOx|Infant mortality", US_national_yearly!$D:$AM, 17, FALSE) / VLOOKUP("LULUCF|NOx|Infant mortality", US_national_yearly!$D:$AM, 10, FALSE), 1)</f>
        <v>4.4758164914805505E-8</v>
      </c>
      <c r="J3" s="7">
        <f>$B3 * IFERROR(VLOOKUP("LULUCF|NOx|Infant mortality", US_national_yearly!$D:$AM, 18, FALSE) / VLOOKUP("LULUCF|NOx|Infant mortality", US_national_yearly!$D:$AM, 10, FALSE), 1)</f>
        <v>4.4439428180545525E-8</v>
      </c>
      <c r="K3" s="7">
        <f>$B3 * IFERROR(VLOOKUP("LULUCF|NOx|Infant mortality", US_national_yearly!$D:$AM, 19, FALSE) / VLOOKUP("LULUCF|NOx|Infant mortality", US_national_yearly!$D:$AM, 10, FALSE), 1)</f>
        <v>4.4120691446285552E-8</v>
      </c>
      <c r="L3" s="7">
        <f>$B3 * IFERROR(VLOOKUP("LULUCF|NOx|Infant mortality", US_national_yearly!$D:$AM, 20, FALSE) / VLOOKUP("LULUCF|NOx|Infant mortality", US_national_yearly!$D:$AM, 10, FALSE), 1)</f>
        <v>4.3801954712025579E-8</v>
      </c>
      <c r="M3" s="7">
        <f>$B3 * IFERROR(VLOOKUP("LULUCF|NOx|Infant mortality", US_national_yearly!$D:$AM, 21, FALSE) / VLOOKUP("LULUCF|NOx|Infant mortality", US_national_yearly!$D:$AM, 10, FALSE), 1)</f>
        <v>4.34832179777656E-8</v>
      </c>
      <c r="N3" s="7">
        <f>$B3 * IFERROR(VLOOKUP("LULUCF|NOx|Infant mortality", US_national_yearly!$D:$AM, 22, FALSE) / VLOOKUP("LULUCF|NOx|Infant mortality", US_national_yearly!$D:$AM, 10, FALSE), 1)</f>
        <v>4.3271653860738626E-8</v>
      </c>
      <c r="O3" s="7">
        <f>$B3 * IFERROR(VLOOKUP("LULUCF|NOx|Infant mortality", US_national_yearly!$D:$AM, 23, FALSE) / VLOOKUP("LULUCF|NOx|Infant mortality", US_national_yearly!$D:$AM, 10, FALSE), 1)</f>
        <v>4.3060089743711658E-8</v>
      </c>
      <c r="P3" s="7">
        <f>$B3 * IFERROR(VLOOKUP("LULUCF|NOx|Infant mortality", US_national_yearly!$D:$AM, 24, FALSE) / VLOOKUP("LULUCF|NOx|Infant mortality", US_national_yearly!$D:$AM, 10, FALSE), 1)</f>
        <v>4.2848525626684691E-8</v>
      </c>
      <c r="Q3" s="7">
        <f>$B3 * IFERROR(VLOOKUP("LULUCF|NOx|Infant mortality", US_national_yearly!$D:$AM, 25, FALSE) / VLOOKUP("LULUCF|NOx|Infant mortality", US_national_yearly!$D:$AM, 10, FALSE), 1)</f>
        <v>4.2636961509657717E-8</v>
      </c>
      <c r="R3" s="7">
        <f>$B3 * IFERROR(VLOOKUP("LULUCF|NOx|Infant mortality", US_national_yearly!$D:$AM, 26, FALSE) / VLOOKUP("LULUCF|NOx|Infant mortality", US_national_yearly!$D:$AM, 10, FALSE), 1)</f>
        <v>4.2425397392630749E-8</v>
      </c>
      <c r="S3" s="7">
        <f>$B3 * IFERROR(VLOOKUP("LULUCF|NOx|Infant mortality", US_national_yearly!$D:$AM, 27, FALSE) / VLOOKUP("LULUCF|NOx|Infant mortality", US_national_yearly!$D:$AM, 10, FALSE), 1)</f>
        <v>4.217106368022905E-8</v>
      </c>
      <c r="T3" s="7">
        <f>$B3 * IFERROR(VLOOKUP("LULUCF|NOx|Infant mortality", US_national_yearly!$D:$AM, 28, FALSE) / VLOOKUP("LULUCF|NOx|Infant mortality", US_national_yearly!$D:$AM, 10, FALSE), 1)</f>
        <v>4.191672996782735E-8</v>
      </c>
      <c r="U3" s="7">
        <f>$B3 * IFERROR(VLOOKUP("LULUCF|NOx|Infant mortality", US_national_yearly!$D:$AM, 29, FALSE) / VLOOKUP("LULUCF|NOx|Infant mortality", US_national_yearly!$D:$AM, 10, FALSE), 1)</f>
        <v>4.1662396255425651E-8</v>
      </c>
      <c r="V3" s="7">
        <f>$B3 * IFERROR(VLOOKUP("LULUCF|NOx|Infant mortality", US_national_yearly!$D:$AM, 30, FALSE) / VLOOKUP("LULUCF|NOx|Infant mortality", US_national_yearly!$D:$AM, 10, FALSE), 1)</f>
        <v>4.1408062543023951E-8</v>
      </c>
      <c r="W3" s="7">
        <f>$B3 * IFERROR(VLOOKUP("LULUCF|NOx|Infant mortality", US_national_yearly!$D:$AM, 31, FALSE) / VLOOKUP("LULUCF|NOx|Infant mortality", US_national_yearly!$D:$AM, 10, FALSE), 1)</f>
        <v>4.1153728830622251E-8</v>
      </c>
      <c r="X3" s="7">
        <f>$B3 * IFERROR(VLOOKUP("LULUCF|NOx|Infant mortality", US_national_yearly!$D:$AM, 32, FALSE) / VLOOKUP("LULUCF|NOx|Infant mortality", US_national_yearly!$D:$AM, 10, FALSE), 1)</f>
        <v>4.0884377130112508E-8</v>
      </c>
      <c r="Y3" s="7">
        <f>$B3 * IFERROR(VLOOKUP("LULUCF|NOx|Infant mortality", US_national_yearly!$D:$AM, 33, FALSE) / VLOOKUP("LULUCF|NOx|Infant mortality", US_national_yearly!$D:$AM, 10, FALSE), 1)</f>
        <v>4.0615025429602751E-8</v>
      </c>
      <c r="Z3" s="7">
        <f>$B3 * IFERROR(VLOOKUP("LULUCF|NOx|Infant mortality", US_national_yearly!$D:$AM, 34, FALSE) / VLOOKUP("LULUCF|NOx|Infant mortality", US_national_yearly!$D:$AM, 10, FALSE), 1)</f>
        <v>4.0345673729092994E-8</v>
      </c>
      <c r="AA3" s="7">
        <f>$B3 * IFERROR(VLOOKUP("LULUCF|NOx|Infant mortality", US_national_yearly!$D:$AM, 35, FALSE) / VLOOKUP("LULUCF|NOx|Infant mortality", US_national_yearly!$D:$AM, 10, FALSE), 1)</f>
        <v>4.0076322028583244E-8</v>
      </c>
      <c r="AB3" s="7">
        <f>$B3 * IFERROR(VLOOKUP("LULUCF|NOx|Infant mortality", US_national_yearly!$D:$AM, 36, FALSE) / VLOOKUP("LULUCF|NOx|Infant mortality", US_national_yearly!$D:$AM, 10, FALSE), 1)</f>
        <v>3.9806970328073487E-8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1.4247621241987761E-4</v>
      </c>
      <c r="C6" s="7">
        <f>$B6 * IFERROR(VLOOKUP("LULUCF|NOx|Asthma symptoms cough", US_national_yearly!$D:$AM, 11, FALSE) / VLOOKUP("LULUCF|NOx|Asthma symptoms cough", US_national_yearly!$D:$AM, 10, FALSE), 1)</f>
        <v>1.4442409518304383E-4</v>
      </c>
      <c r="D6" s="7">
        <f>$B6 * IFERROR(VLOOKUP("LULUCF|NOx|Asthma symptoms cough", US_national_yearly!$D:$AM, 12, FALSE) / VLOOKUP("LULUCF|NOx|Asthma symptoms cough", US_national_yearly!$D:$AM, 10, FALSE), 1)</f>
        <v>1.4637197794621003E-4</v>
      </c>
      <c r="E6" s="7">
        <f>$B6 * IFERROR(VLOOKUP("LULUCF|NOx|Asthma symptoms cough", US_national_yearly!$D:$AM, 13, FALSE) / VLOOKUP("LULUCF|NOx|Asthma symptoms cough", US_national_yearly!$D:$AM, 10, FALSE), 1)</f>
        <v>1.4831986070937625E-4</v>
      </c>
      <c r="F6" s="7">
        <f>$B6 * IFERROR(VLOOKUP("LULUCF|NOx|Asthma symptoms cough", US_national_yearly!$D:$AM, 14, FALSE) / VLOOKUP("LULUCF|NOx|Asthma symptoms cough", US_national_yearly!$D:$AM, 10, FALSE), 1)</f>
        <v>1.5026774347254244E-4</v>
      </c>
      <c r="G6" s="7">
        <f>$B6 * IFERROR(VLOOKUP("LULUCF|NOx|Asthma symptoms cough", US_national_yearly!$D:$AM, 15, FALSE) / VLOOKUP("LULUCF|NOx|Asthma symptoms cough", US_national_yearly!$D:$AM, 10, FALSE), 1)</f>
        <v>1.5182285566070413E-4</v>
      </c>
      <c r="H6" s="7">
        <f>$B6 * IFERROR(VLOOKUP("LULUCF|NOx|Asthma symptoms cough", US_national_yearly!$D:$AM, 16, FALSE) / VLOOKUP("LULUCF|NOx|Asthma symptoms cough", US_national_yearly!$D:$AM, 10, FALSE), 1)</f>
        <v>1.5337796784886581E-4</v>
      </c>
      <c r="I6" s="7">
        <f>$B6 * IFERROR(VLOOKUP("LULUCF|NOx|Asthma symptoms cough", US_national_yearly!$D:$AM, 17, FALSE) / VLOOKUP("LULUCF|NOx|Asthma symptoms cough", US_national_yearly!$D:$AM, 10, FALSE), 1)</f>
        <v>1.5391321523253396E-4</v>
      </c>
      <c r="J6" s="7">
        <f>$B6 * IFERROR(VLOOKUP("LULUCF|NOx|Asthma symptoms cough", US_national_yearly!$D:$AM, 18, FALSE) / VLOOKUP("LULUCF|NOx|Asthma symptoms cough", US_national_yearly!$D:$AM, 10, FALSE), 1)</f>
        <v>1.5444846261620214E-4</v>
      </c>
      <c r="K6" s="7">
        <f>$B6 * IFERROR(VLOOKUP("LULUCF|NOx|Asthma symptoms cough", US_national_yearly!$D:$AM, 19, FALSE) / VLOOKUP("LULUCF|NOx|Asthma symptoms cough", US_national_yearly!$D:$AM, 10, FALSE), 1)</f>
        <v>1.5498370999987026E-4</v>
      </c>
      <c r="L6" s="7">
        <f>$B6 * IFERROR(VLOOKUP("LULUCF|NOx|Asthma symptoms cough", US_national_yearly!$D:$AM, 20, FALSE) / VLOOKUP("LULUCF|NOx|Asthma symptoms cough", US_national_yearly!$D:$AM, 10, FALSE), 1)</f>
        <v>1.5551895738353841E-4</v>
      </c>
      <c r="M6" s="7">
        <f>$B6 * IFERROR(VLOOKUP("LULUCF|NOx|Asthma symptoms cough", US_national_yearly!$D:$AM, 21, FALSE) / VLOOKUP("LULUCF|NOx|Asthma symptoms cough", US_national_yearly!$D:$AM, 10, FALSE), 1)</f>
        <v>1.5605420476720659E-4</v>
      </c>
      <c r="N6" s="7">
        <f>$B6 * IFERROR(VLOOKUP("LULUCF|NOx|Asthma symptoms cough", US_national_yearly!$D:$AM, 22, FALSE) / VLOOKUP("LULUCF|NOx|Asthma symptoms cough", US_national_yearly!$D:$AM, 10, FALSE), 1)</f>
        <v>1.5667486396698103E-4</v>
      </c>
      <c r="O6" s="7">
        <f>$B6 * IFERROR(VLOOKUP("LULUCF|NOx|Asthma symptoms cough", US_national_yearly!$D:$AM, 23, FALSE) / VLOOKUP("LULUCF|NOx|Asthma symptoms cough", US_national_yearly!$D:$AM, 10, FALSE), 1)</f>
        <v>1.572955231667555E-4</v>
      </c>
      <c r="P6" s="7">
        <f>$B6 * IFERROR(VLOOKUP("LULUCF|NOx|Asthma symptoms cough", US_national_yearly!$D:$AM, 24, FALSE) / VLOOKUP("LULUCF|NOx|Asthma symptoms cough", US_national_yearly!$D:$AM, 10, FALSE), 1)</f>
        <v>1.5791618236652994E-4</v>
      </c>
      <c r="Q6" s="7">
        <f>$B6 * IFERROR(VLOOKUP("LULUCF|NOx|Asthma symptoms cough", US_national_yearly!$D:$AM, 25, FALSE) / VLOOKUP("LULUCF|NOx|Asthma symptoms cough", US_national_yearly!$D:$AM, 10, FALSE), 1)</f>
        <v>1.5853684156630444E-4</v>
      </c>
      <c r="R6" s="7">
        <f>$B6 * IFERROR(VLOOKUP("LULUCF|NOx|Asthma symptoms cough", US_national_yearly!$D:$AM, 26, FALSE) / VLOOKUP("LULUCF|NOx|Asthma symptoms cough", US_national_yearly!$D:$AM, 10, FALSE), 1)</f>
        <v>1.5915750076607888E-4</v>
      </c>
      <c r="S6" s="7">
        <f>$B6 * IFERROR(VLOOKUP("LULUCF|NOx|Asthma symptoms cough", US_national_yearly!$D:$AM, 27, FALSE) / VLOOKUP("LULUCF|NOx|Asthma symptoms cough", US_national_yearly!$D:$AM, 10, FALSE), 1)</f>
        <v>1.5996827935947465E-4</v>
      </c>
      <c r="T6" s="7">
        <f>$B6 * IFERROR(VLOOKUP("LULUCF|NOx|Asthma symptoms cough", US_national_yearly!$D:$AM, 28, FALSE) / VLOOKUP("LULUCF|NOx|Asthma symptoms cough", US_national_yearly!$D:$AM, 10, FALSE), 1)</f>
        <v>1.6077905795287042E-4</v>
      </c>
      <c r="U6" s="7">
        <f>$B6 * IFERROR(VLOOKUP("LULUCF|NOx|Asthma symptoms cough", US_national_yearly!$D:$AM, 29, FALSE) / VLOOKUP("LULUCF|NOx|Asthma symptoms cough", US_national_yearly!$D:$AM, 10, FALSE), 1)</f>
        <v>1.6158983654626614E-4</v>
      </c>
      <c r="V6" s="7">
        <f>$B6 * IFERROR(VLOOKUP("LULUCF|NOx|Asthma symptoms cough", US_national_yearly!$D:$AM, 30, FALSE) / VLOOKUP("LULUCF|NOx|Asthma symptoms cough", US_national_yearly!$D:$AM, 10, FALSE), 1)</f>
        <v>1.6240061513966191E-4</v>
      </c>
      <c r="W6" s="7">
        <f>$B6 * IFERROR(VLOOKUP("LULUCF|NOx|Asthma symptoms cough", US_national_yearly!$D:$AM, 31, FALSE) / VLOOKUP("LULUCF|NOx|Asthma symptoms cough", US_national_yearly!$D:$AM, 10, FALSE), 1)</f>
        <v>1.6321139373305765E-4</v>
      </c>
      <c r="X6" s="7">
        <f>$B6 * IFERROR(VLOOKUP("LULUCF|NOx|Asthma symptoms cough", US_national_yearly!$D:$AM, 32, FALSE) / VLOOKUP("LULUCF|NOx|Asthma symptoms cough", US_national_yearly!$D:$AM, 10, FALSE), 1)</f>
        <v>1.6396472354348858E-4</v>
      </c>
      <c r="Y6" s="7">
        <f>$B6 * IFERROR(VLOOKUP("LULUCF|NOx|Asthma symptoms cough", US_national_yearly!$D:$AM, 33, FALSE) / VLOOKUP("LULUCF|NOx|Asthma symptoms cough", US_national_yearly!$D:$AM, 10, FALSE), 1)</f>
        <v>1.6471805335391949E-4</v>
      </c>
      <c r="Z6" s="7">
        <f>$B6 * IFERROR(VLOOKUP("LULUCF|NOx|Asthma symptoms cough", US_national_yearly!$D:$AM, 34, FALSE) / VLOOKUP("LULUCF|NOx|Asthma symptoms cough", US_national_yearly!$D:$AM, 10, FALSE), 1)</f>
        <v>1.6547138316435039E-4</v>
      </c>
      <c r="AA6" s="7">
        <f>$B6 * IFERROR(VLOOKUP("LULUCF|NOx|Asthma symptoms cough", US_national_yearly!$D:$AM, 35, FALSE) / VLOOKUP("LULUCF|NOx|Asthma symptoms cough", US_national_yearly!$D:$AM, 10, FALSE), 1)</f>
        <v>1.6622471297478129E-4</v>
      </c>
      <c r="AB6" s="7">
        <f>$B6 * IFERROR(VLOOKUP("LULUCF|NOx|Asthma symptoms cough", US_national_yearly!$D:$AM, 36, FALSE) / VLOOKUP("LULUCF|NOx|Asthma symptoms cough", US_national_yearly!$D:$AM, 10, FALSE), 1)</f>
        <v>1.6697804278521225E-4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1.9186496107106104E-4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1.9448806877364453E-4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1.9711117647622798E-4</v>
      </c>
      <c r="E7" s="7">
        <f>$B7 * IFERROR(VLOOKUP("LULUCF|NOx|Asthma symptoms shortness of breath", US_national_yearly!$D:$AM, 13, FALSE) / VLOOKUP("LULUCF|NOx|Asthma symptoms shortness of breath", US_national_yearly!$D:$AM, 10, FALSE), 1)</f>
        <v>1.9973428417881147E-4</v>
      </c>
      <c r="F7" s="7">
        <f>$B7 * IFERROR(VLOOKUP("LULUCF|NOx|Asthma symptoms shortness of breath", US_national_yearly!$D:$AM, 14, FALSE) / VLOOKUP("LULUCF|NOx|Asthma symptoms shortness of breath", US_national_yearly!$D:$AM, 10, FALSE), 1)</f>
        <v>2.0235739188139497E-4</v>
      </c>
      <c r="G7" s="7">
        <f>$B7 * IFERROR(VLOOKUP("LULUCF|NOx|Asthma symptoms shortness of breath", US_national_yearly!$D:$AM, 15, FALSE) / VLOOKUP("LULUCF|NOx|Asthma symptoms shortness of breath", US_national_yearly!$D:$AM, 10, FALSE), 1)</f>
        <v>2.0445157682555135E-4</v>
      </c>
      <c r="H7" s="7">
        <f>$B7 * IFERROR(VLOOKUP("LULUCF|NOx|Asthma symptoms shortness of breath", US_national_yearly!$D:$AM, 16, FALSE) / VLOOKUP("LULUCF|NOx|Asthma symptoms shortness of breath", US_national_yearly!$D:$AM, 10, FALSE), 1)</f>
        <v>2.0654576176970773E-4</v>
      </c>
      <c r="I7" s="7">
        <f>$B7 * IFERROR(VLOOKUP("LULUCF|NOx|Asthma symptoms shortness of breath", US_national_yearly!$D:$AM, 17, FALSE) / VLOOKUP("LULUCF|NOx|Asthma symptoms shortness of breath", US_national_yearly!$D:$AM, 10, FALSE), 1)</f>
        <v>2.0726655028595052E-4</v>
      </c>
      <c r="J7" s="7">
        <f>$B7 * IFERROR(VLOOKUP("LULUCF|NOx|Asthma symptoms shortness of breath", US_national_yearly!$D:$AM, 18, FALSE) / VLOOKUP("LULUCF|NOx|Asthma symptoms shortness of breath", US_national_yearly!$D:$AM, 10, FALSE), 1)</f>
        <v>2.079873388021933E-4</v>
      </c>
      <c r="K7" s="7">
        <f>$B7 * IFERROR(VLOOKUP("LULUCF|NOx|Asthma symptoms shortness of breath", US_national_yearly!$D:$AM, 19, FALSE) / VLOOKUP("LULUCF|NOx|Asthma symptoms shortness of breath", US_national_yearly!$D:$AM, 10, FALSE), 1)</f>
        <v>2.0870812731843606E-4</v>
      </c>
      <c r="L7" s="7">
        <f>$B7 * IFERROR(VLOOKUP("LULUCF|NOx|Asthma symptoms shortness of breath", US_national_yearly!$D:$AM, 20, FALSE) / VLOOKUP("LULUCF|NOx|Asthma symptoms shortness of breath", US_national_yearly!$D:$AM, 10, FALSE), 1)</f>
        <v>2.0942891583467885E-4</v>
      </c>
      <c r="M7" s="7">
        <f>$B7 * IFERROR(VLOOKUP("LULUCF|NOx|Asthma symptoms shortness of breath", US_national_yearly!$D:$AM, 21, FALSE) / VLOOKUP("LULUCF|NOx|Asthma symptoms shortness of breath", US_national_yearly!$D:$AM, 10, FALSE), 1)</f>
        <v>2.1014970435092161E-4</v>
      </c>
      <c r="N7" s="7">
        <f>$B7 * IFERROR(VLOOKUP("LULUCF|NOx|Asthma symptoms shortness of breath", US_national_yearly!$D:$AM, 22, FALSE) / VLOOKUP("LULUCF|NOx|Asthma symptoms shortness of breath", US_national_yearly!$D:$AM, 10, FALSE), 1)</f>
        <v>2.1098551231348719E-4</v>
      </c>
      <c r="O7" s="7">
        <f>$B7 * IFERROR(VLOOKUP("LULUCF|NOx|Asthma symptoms shortness of breath", US_national_yearly!$D:$AM, 23, FALSE) / VLOOKUP("LULUCF|NOx|Asthma symptoms shortness of breath", US_national_yearly!$D:$AM, 10, FALSE), 1)</f>
        <v>2.1182132027605278E-4</v>
      </c>
      <c r="P7" s="7">
        <f>$B7 * IFERROR(VLOOKUP("LULUCF|NOx|Asthma symptoms shortness of breath", US_national_yearly!$D:$AM, 24, FALSE) / VLOOKUP("LULUCF|NOx|Asthma symptoms shortness of breath", US_national_yearly!$D:$AM, 10, FALSE), 1)</f>
        <v>2.1265712823861834E-4</v>
      </c>
      <c r="Q7" s="7">
        <f>$B7 * IFERROR(VLOOKUP("LULUCF|NOx|Asthma symptoms shortness of breath", US_national_yearly!$D:$AM, 25, FALSE) / VLOOKUP("LULUCF|NOx|Asthma symptoms shortness of breath", US_national_yearly!$D:$AM, 10, FALSE), 1)</f>
        <v>2.1349293620118393E-4</v>
      </c>
      <c r="R7" s="7">
        <f>$B7 * IFERROR(VLOOKUP("LULUCF|NOx|Asthma symptoms shortness of breath", US_national_yearly!$D:$AM, 26, FALSE) / VLOOKUP("LULUCF|NOx|Asthma symptoms shortness of breath", US_national_yearly!$D:$AM, 10, FALSE), 1)</f>
        <v>2.1432874416374951E-4</v>
      </c>
      <c r="S7" s="7">
        <f>$B7 * IFERROR(VLOOKUP("LULUCF|NOx|Asthma symptoms shortness of breath", US_national_yearly!$D:$AM, 27, FALSE) / VLOOKUP("LULUCF|NOx|Asthma symptoms shortness of breath", US_national_yearly!$D:$AM, 10, FALSE), 1)</f>
        <v>2.1542057556878344E-4</v>
      </c>
      <c r="T7" s="7">
        <f>$B7 * IFERROR(VLOOKUP("LULUCF|NOx|Asthma symptoms shortness of breath", US_national_yearly!$D:$AM, 28, FALSE) / VLOOKUP("LULUCF|NOx|Asthma symptoms shortness of breath", US_national_yearly!$D:$AM, 10, FALSE), 1)</f>
        <v>2.1651240697381739E-4</v>
      </c>
      <c r="U7" s="7">
        <f>$B7 * IFERROR(VLOOKUP("LULUCF|NOx|Asthma symptoms shortness of breath", US_national_yearly!$D:$AM, 29, FALSE) / VLOOKUP("LULUCF|NOx|Asthma symptoms shortness of breath", US_national_yearly!$D:$AM, 10, FALSE), 1)</f>
        <v>2.1760423837885131E-4</v>
      </c>
      <c r="V7" s="7">
        <f>$B7 * IFERROR(VLOOKUP("LULUCF|NOx|Asthma symptoms shortness of breath", US_national_yearly!$D:$AM, 30, FALSE) / VLOOKUP("LULUCF|NOx|Asthma symptoms shortness of breath", US_national_yearly!$D:$AM, 10, FALSE), 1)</f>
        <v>2.1869606978388518E-4</v>
      </c>
      <c r="W7" s="7">
        <f>$B7 * IFERROR(VLOOKUP("LULUCF|NOx|Asthma symptoms shortness of breath", US_national_yearly!$D:$AM, 31, FALSE) / VLOOKUP("LULUCF|NOx|Asthma symptoms shortness of breath", US_national_yearly!$D:$AM, 10, FALSE), 1)</f>
        <v>2.197879011889191E-4</v>
      </c>
      <c r="X7" s="7">
        <f>$B7 * IFERROR(VLOOKUP("LULUCF|NOx|Asthma symptoms shortness of breath", US_national_yearly!$D:$AM, 32, FALSE) / VLOOKUP("LULUCF|NOx|Asthma symptoms shortness of breath", US_national_yearly!$D:$AM, 10, FALSE), 1)</f>
        <v>2.2080236944392058E-4</v>
      </c>
      <c r="Y7" s="7">
        <f>$B7 * IFERROR(VLOOKUP("LULUCF|NOx|Asthma symptoms shortness of breath", US_national_yearly!$D:$AM, 33, FALSE) / VLOOKUP("LULUCF|NOx|Asthma symptoms shortness of breath", US_national_yearly!$D:$AM, 10, FALSE), 1)</f>
        <v>2.2181683769892206E-4</v>
      </c>
      <c r="Z7" s="7">
        <f>$B7 * IFERROR(VLOOKUP("LULUCF|NOx|Asthma symptoms shortness of breath", US_national_yearly!$D:$AM, 34, FALSE) / VLOOKUP("LULUCF|NOx|Asthma symptoms shortness of breath", US_national_yearly!$D:$AM, 10, FALSE), 1)</f>
        <v>2.2283130595392359E-4</v>
      </c>
      <c r="AA7" s="7">
        <f>$B7 * IFERROR(VLOOKUP("LULUCF|NOx|Asthma symptoms shortness of breath", US_national_yearly!$D:$AM, 35, FALSE) / VLOOKUP("LULUCF|NOx|Asthma symptoms shortness of breath", US_national_yearly!$D:$AM, 10, FALSE), 1)</f>
        <v>2.2384577420892507E-4</v>
      </c>
      <c r="AB7" s="7">
        <f>$B7 * IFERROR(VLOOKUP("LULUCF|NOx|Asthma symptoms shortness of breath", US_national_yearly!$D:$AM, 36, FALSE) / VLOOKUP("LULUCF|NOx|Asthma symptoms shortness of breath", US_national_yearly!$D:$AM, 10, FALSE), 1)</f>
        <v>2.2486024246392655E-4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2.9313690352149411E-4</v>
      </c>
      <c r="C8" s="7">
        <f>$B8 * IFERROR(VLOOKUP("LULUCF|NOx|Asthma symptoms wheeze", US_national_yearly!$D:$AM, 11, FALSE) / VLOOKUP("LULUCF|NOx|Asthma symptoms wheeze", US_national_yearly!$D:$AM, 10, FALSE), 1)</f>
        <v>2.9714456425802523E-4</v>
      </c>
      <c r="D8" s="7">
        <f>$B8 * IFERROR(VLOOKUP("LULUCF|NOx|Asthma symptoms wheeze", US_national_yearly!$D:$AM, 12, FALSE) / VLOOKUP("LULUCF|NOx|Asthma symptoms wheeze", US_national_yearly!$D:$AM, 10, FALSE), 1)</f>
        <v>3.0115222499455647E-4</v>
      </c>
      <c r="E8" s="7">
        <f>$B8 * IFERROR(VLOOKUP("LULUCF|NOx|Asthma symptoms wheeze", US_national_yearly!$D:$AM, 13, FALSE) / VLOOKUP("LULUCF|NOx|Asthma symptoms wheeze", US_national_yearly!$D:$AM, 10, FALSE), 1)</f>
        <v>3.0515988573108754E-4</v>
      </c>
      <c r="F8" s="7">
        <f>$B8 * IFERROR(VLOOKUP("LULUCF|NOx|Asthma symptoms wheeze", US_national_yearly!$D:$AM, 14, FALSE) / VLOOKUP("LULUCF|NOx|Asthma symptoms wheeze", US_national_yearly!$D:$AM, 10, FALSE), 1)</f>
        <v>3.0916754646761866E-4</v>
      </c>
      <c r="G8" s="7">
        <f>$B8 * IFERROR(VLOOKUP("LULUCF|NOx|Asthma symptoms wheeze", US_national_yearly!$D:$AM, 15, FALSE) / VLOOKUP("LULUCF|NOx|Asthma symptoms wheeze", US_national_yearly!$D:$AM, 10, FALSE), 1)</f>
        <v>3.1236710353537003E-4</v>
      </c>
      <c r="H8" s="7">
        <f>$B8 * IFERROR(VLOOKUP("LULUCF|NOx|Asthma symptoms wheeze", US_national_yearly!$D:$AM, 16, FALSE) / VLOOKUP("LULUCF|NOx|Asthma symptoms wheeze", US_national_yearly!$D:$AM, 10, FALSE), 1)</f>
        <v>3.1556666060312145E-4</v>
      </c>
      <c r="I8" s="7">
        <f>$B8 * IFERROR(VLOOKUP("LULUCF|NOx|Asthma symptoms wheeze", US_national_yearly!$D:$AM, 17, FALSE) / VLOOKUP("LULUCF|NOx|Asthma symptoms wheeze", US_national_yearly!$D:$AM, 10, FALSE), 1)</f>
        <v>3.1666790240983649E-4</v>
      </c>
      <c r="J8" s="7">
        <f>$B8 * IFERROR(VLOOKUP("LULUCF|NOx|Asthma symptoms wheeze", US_national_yearly!$D:$AM, 18, FALSE) / VLOOKUP("LULUCF|NOx|Asthma symptoms wheeze", US_national_yearly!$D:$AM, 10, FALSE), 1)</f>
        <v>3.1776914421655165E-4</v>
      </c>
      <c r="K8" s="7">
        <f>$B8 * IFERROR(VLOOKUP("LULUCF|NOx|Asthma symptoms wheeze", US_national_yearly!$D:$AM, 19, FALSE) / VLOOKUP("LULUCF|NOx|Asthma symptoms wheeze", US_national_yearly!$D:$AM, 10, FALSE), 1)</f>
        <v>3.1887038602326664E-4</v>
      </c>
      <c r="L8" s="7">
        <f>$B8 * IFERROR(VLOOKUP("LULUCF|NOx|Asthma symptoms wheeze", US_national_yearly!$D:$AM, 20, FALSE) / VLOOKUP("LULUCF|NOx|Asthma symptoms wheeze", US_national_yearly!$D:$AM, 10, FALSE), 1)</f>
        <v>3.199716278299818E-4</v>
      </c>
      <c r="M8" s="7">
        <f>$B8 * IFERROR(VLOOKUP("LULUCF|NOx|Asthma symptoms wheeze", US_national_yearly!$D:$AM, 21, FALSE) / VLOOKUP("LULUCF|NOx|Asthma symptoms wheeze", US_national_yearly!$D:$AM, 10, FALSE), 1)</f>
        <v>3.210728696366969E-4</v>
      </c>
      <c r="N8" s="7">
        <f>$B8 * IFERROR(VLOOKUP("LULUCF|NOx|Asthma symptoms wheeze", US_national_yearly!$D:$AM, 22, FALSE) / VLOOKUP("LULUCF|NOx|Asthma symptoms wheeze", US_national_yearly!$D:$AM, 10, FALSE), 1)</f>
        <v>3.2234984151856304E-4</v>
      </c>
      <c r="O8" s="7">
        <f>$B8 * IFERROR(VLOOKUP("LULUCF|NOx|Asthma symptoms wheeze", US_national_yearly!$D:$AM, 23, FALSE) / VLOOKUP("LULUCF|NOx|Asthma symptoms wheeze", US_national_yearly!$D:$AM, 10, FALSE), 1)</f>
        <v>3.2362681340042929E-4</v>
      </c>
      <c r="P8" s="7">
        <f>$B8 * IFERROR(VLOOKUP("LULUCF|NOx|Asthma symptoms wheeze", US_national_yearly!$D:$AM, 24, FALSE) / VLOOKUP("LULUCF|NOx|Asthma symptoms wheeze", US_national_yearly!$D:$AM, 10, FALSE), 1)</f>
        <v>3.2490378528229549E-4</v>
      </c>
      <c r="Q8" s="7">
        <f>$B8 * IFERROR(VLOOKUP("LULUCF|NOx|Asthma symptoms wheeze", US_national_yearly!$D:$AM, 25, FALSE) / VLOOKUP("LULUCF|NOx|Asthma symptoms wheeze", US_national_yearly!$D:$AM, 10, FALSE), 1)</f>
        <v>3.2618075716416169E-4</v>
      </c>
      <c r="R8" s="7">
        <f>$B8 * IFERROR(VLOOKUP("LULUCF|NOx|Asthma symptoms wheeze", US_national_yearly!$D:$AM, 26, FALSE) / VLOOKUP("LULUCF|NOx|Asthma symptoms wheeze", US_national_yearly!$D:$AM, 10, FALSE), 1)</f>
        <v>3.2745772904602789E-4</v>
      </c>
      <c r="S8" s="7">
        <f>$B8 * IFERROR(VLOOKUP("LULUCF|NOx|Asthma symptoms wheeze", US_national_yearly!$D:$AM, 27, FALSE) / VLOOKUP("LULUCF|NOx|Asthma symptoms wheeze", US_national_yearly!$D:$AM, 10, FALSE), 1)</f>
        <v>3.291258610352876E-4</v>
      </c>
      <c r="T8" s="7">
        <f>$B8 * IFERROR(VLOOKUP("LULUCF|NOx|Asthma symptoms wheeze", US_national_yearly!$D:$AM, 28, FALSE) / VLOOKUP("LULUCF|NOx|Asthma symptoms wheeze", US_national_yearly!$D:$AM, 10, FALSE), 1)</f>
        <v>3.3079399302454732E-4</v>
      </c>
      <c r="U8" s="7">
        <f>$B8 * IFERROR(VLOOKUP("LULUCF|NOx|Asthma symptoms wheeze", US_national_yearly!$D:$AM, 29, FALSE) / VLOOKUP("LULUCF|NOx|Asthma symptoms wheeze", US_national_yearly!$D:$AM, 10, FALSE), 1)</f>
        <v>3.3246212501380703E-4</v>
      </c>
      <c r="V8" s="7">
        <f>$B8 * IFERROR(VLOOKUP("LULUCF|NOx|Asthma symptoms wheeze", US_national_yearly!$D:$AM, 30, FALSE) / VLOOKUP("LULUCF|NOx|Asthma symptoms wheeze", US_national_yearly!$D:$AM, 10, FALSE), 1)</f>
        <v>3.3413025700306686E-4</v>
      </c>
      <c r="W8" s="7">
        <f>$B8 * IFERROR(VLOOKUP("LULUCF|NOx|Asthma symptoms wheeze", US_national_yearly!$D:$AM, 31, FALSE) / VLOOKUP("LULUCF|NOx|Asthma symptoms wheeze", US_national_yearly!$D:$AM, 10, FALSE), 1)</f>
        <v>3.3579838899232652E-4</v>
      </c>
      <c r="X8" s="7">
        <f>$B8 * IFERROR(VLOOKUP("LULUCF|NOx|Asthma symptoms wheeze", US_national_yearly!$D:$AM, 32, FALSE) / VLOOKUP("LULUCF|NOx|Asthma symptoms wheeze", US_national_yearly!$D:$AM, 10, FALSE), 1)</f>
        <v>3.3734832329628071E-4</v>
      </c>
      <c r="Y8" s="7">
        <f>$B8 * IFERROR(VLOOKUP("LULUCF|NOx|Asthma symptoms wheeze", US_national_yearly!$D:$AM, 33, FALSE) / VLOOKUP("LULUCF|NOx|Asthma symptoms wheeze", US_national_yearly!$D:$AM, 10, FALSE), 1)</f>
        <v>3.3889825760023484E-4</v>
      </c>
      <c r="Z8" s="7">
        <f>$B8 * IFERROR(VLOOKUP("LULUCF|NOx|Asthma symptoms wheeze", US_national_yearly!$D:$AM, 34, FALSE) / VLOOKUP("LULUCF|NOx|Asthma symptoms wheeze", US_national_yearly!$D:$AM, 10, FALSE), 1)</f>
        <v>3.4044819190418902E-4</v>
      </c>
      <c r="AA8" s="7">
        <f>$B8 * IFERROR(VLOOKUP("LULUCF|NOx|Asthma symptoms wheeze", US_national_yearly!$D:$AM, 35, FALSE) / VLOOKUP("LULUCF|NOx|Asthma symptoms wheeze", US_national_yearly!$D:$AM, 10, FALSE), 1)</f>
        <v>3.4199812620814315E-4</v>
      </c>
      <c r="AB8" s="7">
        <f>$B8 * IFERROR(VLOOKUP("LULUCF|NOx|Asthma symptoms wheeze", US_national_yearly!$D:$AM, 36, FALSE) / VLOOKUP("LULUCF|NOx|Asthma symptoms wheeze", US_national_yearly!$D:$AM, 10, FALSE), 1)</f>
        <v>3.4354806051209734E-4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8.2400496866682394E-6</v>
      </c>
      <c r="C12" s="7">
        <f>$B12 * IFERROR(VLOOKUP("LULUCF|NOx|Respiratory hospital admissions", US_national_yearly!$D:$AM, 11, FALSE) / VLOOKUP("LULUCF|NOx|Respiratory hospital admissions", US_national_yearly!$D:$AM, 10, FALSE), 1)</f>
        <v>8.4455949632348794E-6</v>
      </c>
      <c r="D12" s="7">
        <f>$B12 * IFERROR(VLOOKUP("LULUCF|NOx|Respiratory hospital admissions", US_national_yearly!$D:$AM, 12, FALSE) / VLOOKUP("LULUCF|NOx|Respiratory hospital admissions", US_national_yearly!$D:$AM, 10, FALSE), 1)</f>
        <v>8.6511402398015227E-6</v>
      </c>
      <c r="E12" s="7">
        <f>$B12 * IFERROR(VLOOKUP("LULUCF|NOx|Respiratory hospital admissions", US_national_yearly!$D:$AM, 13, FALSE) / VLOOKUP("LULUCF|NOx|Respiratory hospital admissions", US_national_yearly!$D:$AM, 10, FALSE), 1)</f>
        <v>8.8566855163681644E-6</v>
      </c>
      <c r="F12" s="7">
        <f>$B12 * IFERROR(VLOOKUP("LULUCF|NOx|Respiratory hospital admissions", US_national_yearly!$D:$AM, 14, FALSE) / VLOOKUP("LULUCF|NOx|Respiratory hospital admissions", US_national_yearly!$D:$AM, 10, FALSE), 1)</f>
        <v>9.0622307929348077E-6</v>
      </c>
      <c r="G12" s="7">
        <f>$B12 * IFERROR(VLOOKUP("LULUCF|NOx|Respiratory hospital admissions", US_national_yearly!$D:$AM, 15, FALSE) / VLOOKUP("LULUCF|NOx|Respiratory hospital admissions", US_national_yearly!$D:$AM, 10, FALSE), 1)</f>
        <v>9.2587390732609689E-6</v>
      </c>
      <c r="H12" s="7">
        <f>$B12 * IFERROR(VLOOKUP("LULUCF|NOx|Respiratory hospital admissions", US_national_yearly!$D:$AM, 16, FALSE) / VLOOKUP("LULUCF|NOx|Respiratory hospital admissions", US_national_yearly!$D:$AM, 10, FALSE), 1)</f>
        <v>9.45524735358713E-6</v>
      </c>
      <c r="I12" s="7">
        <f>$B12 * IFERROR(VLOOKUP("LULUCF|NOx|Respiratory hospital admissions", US_national_yearly!$D:$AM, 17, FALSE) / VLOOKUP("LULUCF|NOx|Respiratory hospital admissions", US_national_yearly!$D:$AM, 10, FALSE), 1)</f>
        <v>9.6220869233854532E-6</v>
      </c>
      <c r="J12" s="7">
        <f>$B12 * IFERROR(VLOOKUP("LULUCF|NOx|Respiratory hospital admissions", US_national_yearly!$D:$AM, 18, FALSE) / VLOOKUP("LULUCF|NOx|Respiratory hospital admissions", US_national_yearly!$D:$AM, 10, FALSE), 1)</f>
        <v>9.7889264931837764E-6</v>
      </c>
      <c r="K12" s="7">
        <f>$B12 * IFERROR(VLOOKUP("LULUCF|NOx|Respiratory hospital admissions", US_national_yearly!$D:$AM, 19, FALSE) / VLOOKUP("LULUCF|NOx|Respiratory hospital admissions", US_national_yearly!$D:$AM, 10, FALSE), 1)</f>
        <v>9.9557660629820995E-6</v>
      </c>
      <c r="L12" s="7">
        <f>$B12 * IFERROR(VLOOKUP("LULUCF|NOx|Respiratory hospital admissions", US_national_yearly!$D:$AM, 20, FALSE) / VLOOKUP("LULUCF|NOx|Respiratory hospital admissions", US_national_yearly!$D:$AM, 10, FALSE), 1)</f>
        <v>1.0122605632780423E-5</v>
      </c>
      <c r="M12" s="7">
        <f>$B12 * IFERROR(VLOOKUP("LULUCF|NOx|Respiratory hospital admissions", US_national_yearly!$D:$AM, 21, FALSE) / VLOOKUP("LULUCF|NOx|Respiratory hospital admissions", US_national_yearly!$D:$AM, 10, FALSE), 1)</f>
        <v>1.0289445202578746E-5</v>
      </c>
      <c r="N12" s="7">
        <f>$B12 * IFERROR(VLOOKUP("LULUCF|NOx|Respiratory hospital admissions", US_national_yearly!$D:$AM, 22, FALSE) / VLOOKUP("LULUCF|NOx|Respiratory hospital admissions", US_national_yearly!$D:$AM, 10, FALSE), 1)</f>
        <v>1.0400980458861862E-5</v>
      </c>
      <c r="O12" s="7">
        <f>$B12 * IFERROR(VLOOKUP("LULUCF|NOx|Respiratory hospital admissions", US_national_yearly!$D:$AM, 23, FALSE) / VLOOKUP("LULUCF|NOx|Respiratory hospital admissions", US_national_yearly!$D:$AM, 10, FALSE), 1)</f>
        <v>1.051251571514498E-5</v>
      </c>
      <c r="P12" s="7">
        <f>$B12 * IFERROR(VLOOKUP("LULUCF|NOx|Respiratory hospital admissions", US_national_yearly!$D:$AM, 24, FALSE) / VLOOKUP("LULUCF|NOx|Respiratory hospital admissions", US_national_yearly!$D:$AM, 10, FALSE), 1)</f>
        <v>1.0624050971428098E-5</v>
      </c>
      <c r="Q12" s="7">
        <f>$B12 * IFERROR(VLOOKUP("LULUCF|NOx|Respiratory hospital admissions", US_national_yearly!$D:$AM, 25, FALSE) / VLOOKUP("LULUCF|NOx|Respiratory hospital admissions", US_national_yearly!$D:$AM, 10, FALSE), 1)</f>
        <v>1.0735586227711216E-5</v>
      </c>
      <c r="R12" s="7">
        <f>$B12 * IFERROR(VLOOKUP("LULUCF|NOx|Respiratory hospital admissions", US_national_yearly!$D:$AM, 26, FALSE) / VLOOKUP("LULUCF|NOx|Respiratory hospital admissions", US_national_yearly!$D:$AM, 10, FALSE), 1)</f>
        <v>1.0847121483994334E-5</v>
      </c>
      <c r="S12" s="7">
        <f>$B12 * IFERROR(VLOOKUP("LULUCF|NOx|Respiratory hospital admissions", US_national_yearly!$D:$AM, 27, FALSE) / VLOOKUP("LULUCF|NOx|Respiratory hospital admissions", US_national_yearly!$D:$AM, 10, FALSE), 1)</f>
        <v>1.090687905205546E-5</v>
      </c>
      <c r="T12" s="7">
        <f>$B12 * IFERROR(VLOOKUP("LULUCF|NOx|Respiratory hospital admissions", US_national_yearly!$D:$AM, 28, FALSE) / VLOOKUP("LULUCF|NOx|Respiratory hospital admissions", US_national_yearly!$D:$AM, 10, FALSE), 1)</f>
        <v>1.0966636620116586E-5</v>
      </c>
      <c r="U12" s="7">
        <f>$B12 * IFERROR(VLOOKUP("LULUCF|NOx|Respiratory hospital admissions", US_national_yearly!$D:$AM, 29, FALSE) / VLOOKUP("LULUCF|NOx|Respiratory hospital admissions", US_national_yearly!$D:$AM, 10, FALSE), 1)</f>
        <v>1.1026394188177714E-5</v>
      </c>
      <c r="V12" s="7">
        <f>$B12 * IFERROR(VLOOKUP("LULUCF|NOx|Respiratory hospital admissions", US_national_yearly!$D:$AM, 30, FALSE) / VLOOKUP("LULUCF|NOx|Respiratory hospital admissions", US_national_yearly!$D:$AM, 10, FALSE), 1)</f>
        <v>1.1086151756238838E-5</v>
      </c>
      <c r="W12" s="7">
        <f>$B12 * IFERROR(VLOOKUP("LULUCF|NOx|Respiratory hospital admissions", US_national_yearly!$D:$AM, 31, FALSE) / VLOOKUP("LULUCF|NOx|Respiratory hospital admissions", US_national_yearly!$D:$AM, 10, FALSE), 1)</f>
        <v>1.1145909324299966E-5</v>
      </c>
      <c r="X12" s="7">
        <f>$B12 * IFERROR(VLOOKUP("LULUCF|NOx|Respiratory hospital admissions", US_national_yearly!$D:$AM, 32, FALSE) / VLOOKUP("LULUCF|NOx|Respiratory hospital admissions", US_national_yearly!$D:$AM, 10, FALSE), 1)</f>
        <v>1.1186745858576553E-5</v>
      </c>
      <c r="Y12" s="7">
        <f>$B12 * IFERROR(VLOOKUP("LULUCF|NOx|Respiratory hospital admissions", US_national_yearly!$D:$AM, 33, FALSE) / VLOOKUP("LULUCF|NOx|Respiratory hospital admissions", US_national_yearly!$D:$AM, 10, FALSE), 1)</f>
        <v>1.1227582392853142E-5</v>
      </c>
      <c r="Z12" s="7">
        <f>$B12 * IFERROR(VLOOKUP("LULUCF|NOx|Respiratory hospital admissions", US_national_yearly!$D:$AM, 34, FALSE) / VLOOKUP("LULUCF|NOx|Respiratory hospital admissions", US_national_yearly!$D:$AM, 10, FALSE), 1)</f>
        <v>1.1268418927129731E-5</v>
      </c>
      <c r="AA12" s="7">
        <f>$B12 * IFERROR(VLOOKUP("LULUCF|NOx|Respiratory hospital admissions", US_national_yearly!$D:$AM, 35, FALSE) / VLOOKUP("LULUCF|NOx|Respiratory hospital admissions", US_national_yearly!$D:$AM, 10, FALSE), 1)</f>
        <v>1.130925546140632E-5</v>
      </c>
      <c r="AB12" s="7">
        <f>$B12 * IFERROR(VLOOKUP("LULUCF|NOx|Respiratory hospital admissions", US_national_yearly!$D:$AM, 36, FALSE) / VLOOKUP("LULUCF|NOx|Respiratory hospital admissions", US_national_yearly!$D:$AM, 10, FALSE), 1)</f>
        <v>1.1350091995682905E-5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6.4966864933188562E-5</v>
      </c>
      <c r="C13" s="7">
        <f>$B13 * IFERROR(VLOOKUP("LULUCF|NOx|Non-fatal heart attacks", US_national_yearly!$D:$AM, 11, FALSE) / VLOOKUP("LULUCF|NOx|Non-fatal heart attacks", US_national_yearly!$D:$AM, 10, FALSE), 1)</f>
        <v>6.6824210362168409E-5</v>
      </c>
      <c r="D13" s="7">
        <f>$B13 * IFERROR(VLOOKUP("LULUCF|NOx|Non-fatal heart attacks", US_national_yearly!$D:$AM, 12, FALSE) / VLOOKUP("LULUCF|NOx|Non-fatal heart attacks", US_national_yearly!$D:$AM, 10, FALSE), 1)</f>
        <v>6.8681555791148255E-5</v>
      </c>
      <c r="E13" s="7">
        <f>$B13 * IFERROR(VLOOKUP("LULUCF|NOx|Non-fatal heart attacks", US_national_yearly!$D:$AM, 13, FALSE) / VLOOKUP("LULUCF|NOx|Non-fatal heart attacks", US_national_yearly!$D:$AM, 10, FALSE), 1)</f>
        <v>7.0538901220128087E-5</v>
      </c>
      <c r="F13" s="7">
        <f>$B13 * IFERROR(VLOOKUP("LULUCF|NOx|Non-fatal heart attacks", US_national_yearly!$D:$AM, 14, FALSE) / VLOOKUP("LULUCF|NOx|Non-fatal heart attacks", US_national_yearly!$D:$AM, 10, FALSE), 1)</f>
        <v>7.2396246649107933E-5</v>
      </c>
      <c r="G13" s="7">
        <f>$B13 * IFERROR(VLOOKUP("LULUCF|NOx|Non-fatal heart attacks", US_national_yearly!$D:$AM, 15, FALSE) / VLOOKUP("LULUCF|NOx|Non-fatal heart attacks", US_national_yearly!$D:$AM, 10, FALSE), 1)</f>
        <v>7.413193209228107E-5</v>
      </c>
      <c r="H13" s="7">
        <f>$B13 * IFERROR(VLOOKUP("LULUCF|NOx|Non-fatal heart attacks", US_national_yearly!$D:$AM, 16, FALSE) / VLOOKUP("LULUCF|NOx|Non-fatal heart attacks", US_national_yearly!$D:$AM, 10, FALSE), 1)</f>
        <v>7.5867617535454221E-5</v>
      </c>
      <c r="I13" s="7">
        <f>$B13 * IFERROR(VLOOKUP("LULUCF|NOx|Non-fatal heart attacks", US_national_yearly!$D:$AM, 17, FALSE) / VLOOKUP("LULUCF|NOx|Non-fatal heart attacks", US_national_yearly!$D:$AM, 10, FALSE), 1)</f>
        <v>7.7236007099605846E-5</v>
      </c>
      <c r="J13" s="7">
        <f>$B13 * IFERROR(VLOOKUP("LULUCF|NOx|Non-fatal heart attacks", US_national_yearly!$D:$AM, 18, FALSE) / VLOOKUP("LULUCF|NOx|Non-fatal heart attacks", US_national_yearly!$D:$AM, 10, FALSE), 1)</f>
        <v>7.8604396663757499E-5</v>
      </c>
      <c r="K13" s="7">
        <f>$B13 * IFERROR(VLOOKUP("LULUCF|NOx|Non-fatal heart attacks", US_national_yearly!$D:$AM, 19, FALSE) / VLOOKUP("LULUCF|NOx|Non-fatal heart attacks", US_national_yearly!$D:$AM, 10, FALSE), 1)</f>
        <v>7.9972786227909084E-5</v>
      </c>
      <c r="L13" s="7">
        <f>$B13 * IFERROR(VLOOKUP("LULUCF|NOx|Non-fatal heart attacks", US_national_yearly!$D:$AM, 20, FALSE) / VLOOKUP("LULUCF|NOx|Non-fatal heart attacks", US_national_yearly!$D:$AM, 10, FALSE), 1)</f>
        <v>8.1341175792060764E-5</v>
      </c>
      <c r="M13" s="7">
        <f>$B13 * IFERROR(VLOOKUP("LULUCF|NOx|Non-fatal heart attacks", US_national_yearly!$D:$AM, 21, FALSE) / VLOOKUP("LULUCF|NOx|Non-fatal heart attacks", US_national_yearly!$D:$AM, 10, FALSE), 1)</f>
        <v>8.270956535621239E-5</v>
      </c>
      <c r="N13" s="7">
        <f>$B13 * IFERROR(VLOOKUP("LULUCF|NOx|Non-fatal heart attacks", US_national_yearly!$D:$AM, 22, FALSE) / VLOOKUP("LULUCF|NOx|Non-fatal heart attacks", US_national_yearly!$D:$AM, 10, FALSE), 1)</f>
        <v>8.3532830016578498E-5</v>
      </c>
      <c r="O13" s="7">
        <f>$B13 * IFERROR(VLOOKUP("LULUCF|NOx|Non-fatal heart attacks", US_national_yearly!$D:$AM, 23, FALSE) / VLOOKUP("LULUCF|NOx|Non-fatal heart attacks", US_national_yearly!$D:$AM, 10, FALSE), 1)</f>
        <v>8.4356094676944619E-5</v>
      </c>
      <c r="P13" s="7">
        <f>$B13 * IFERROR(VLOOKUP("LULUCF|NOx|Non-fatal heart attacks", US_national_yearly!$D:$AM, 24, FALSE) / VLOOKUP("LULUCF|NOx|Non-fatal heart attacks", US_national_yearly!$D:$AM, 10, FALSE), 1)</f>
        <v>8.5179359337310713E-5</v>
      </c>
      <c r="Q13" s="7">
        <f>$B13 * IFERROR(VLOOKUP("LULUCF|NOx|Non-fatal heart attacks", US_national_yearly!$D:$AM, 25, FALSE) / VLOOKUP("LULUCF|NOx|Non-fatal heart attacks", US_national_yearly!$D:$AM, 10, FALSE), 1)</f>
        <v>8.6002623997676847E-5</v>
      </c>
      <c r="R13" s="7">
        <f>$B13 * IFERROR(VLOOKUP("LULUCF|NOx|Non-fatal heart attacks", US_national_yearly!$D:$AM, 26, FALSE) / VLOOKUP("LULUCF|NOx|Non-fatal heart attacks", US_national_yearly!$D:$AM, 10, FALSE), 1)</f>
        <v>8.6825888658042955E-5</v>
      </c>
      <c r="S13" s="7">
        <f>$B13 * IFERROR(VLOOKUP("LULUCF|NOx|Non-fatal heart attacks", US_national_yearly!$D:$AM, 27, FALSE) / VLOOKUP("LULUCF|NOx|Non-fatal heart attacks", US_national_yearly!$D:$AM, 10, FALSE), 1)</f>
        <v>8.7199327201989681E-5</v>
      </c>
      <c r="T13" s="7">
        <f>$B13 * IFERROR(VLOOKUP("LULUCF|NOx|Non-fatal heart attacks", US_national_yearly!$D:$AM, 28, FALSE) / VLOOKUP("LULUCF|NOx|Non-fatal heart attacks", US_national_yearly!$D:$AM, 10, FALSE), 1)</f>
        <v>8.7572765745936408E-5</v>
      </c>
      <c r="U13" s="7">
        <f>$B13 * IFERROR(VLOOKUP("LULUCF|NOx|Non-fatal heart attacks", US_national_yearly!$D:$AM, 29, FALSE) / VLOOKUP("LULUCF|NOx|Non-fatal heart attacks", US_national_yearly!$D:$AM, 10, FALSE), 1)</f>
        <v>8.7946204289883134E-5</v>
      </c>
      <c r="V13" s="7">
        <f>$B13 * IFERROR(VLOOKUP("LULUCF|NOx|Non-fatal heart attacks", US_national_yearly!$D:$AM, 30, FALSE) / VLOOKUP("LULUCF|NOx|Non-fatal heart attacks", US_national_yearly!$D:$AM, 10, FALSE), 1)</f>
        <v>8.8319642833829861E-5</v>
      </c>
      <c r="W13" s="7">
        <f>$B13 * IFERROR(VLOOKUP("LULUCF|NOx|Non-fatal heart attacks", US_national_yearly!$D:$AM, 31, FALSE) / VLOOKUP("LULUCF|NOx|Non-fatal heart attacks", US_national_yearly!$D:$AM, 10, FALSE), 1)</f>
        <v>8.8693081377776587E-5</v>
      </c>
      <c r="X13" s="7">
        <f>$B13 * IFERROR(VLOOKUP("LULUCF|NOx|Non-fatal heart attacks", US_national_yearly!$D:$AM, 32, FALSE) / VLOOKUP("LULUCF|NOx|Non-fatal heart attacks", US_national_yearly!$D:$AM, 10, FALSE), 1)</f>
        <v>8.8942632662509705E-5</v>
      </c>
      <c r="Y13" s="7">
        <f>$B13 * IFERROR(VLOOKUP("LULUCF|NOx|Non-fatal heart attacks", US_national_yearly!$D:$AM, 33, FALSE) / VLOOKUP("LULUCF|NOx|Non-fatal heart attacks", US_national_yearly!$D:$AM, 10, FALSE), 1)</f>
        <v>8.9192183947242837E-5</v>
      </c>
      <c r="Z13" s="7">
        <f>$B13 * IFERROR(VLOOKUP("LULUCF|NOx|Non-fatal heart attacks", US_national_yearly!$D:$AM, 34, FALSE) / VLOOKUP("LULUCF|NOx|Non-fatal heart attacks", US_national_yearly!$D:$AM, 10, FALSE), 1)</f>
        <v>8.9441735231975928E-5</v>
      </c>
      <c r="AA13" s="7">
        <f>$B13 * IFERROR(VLOOKUP("LULUCF|NOx|Non-fatal heart attacks", US_national_yearly!$D:$AM, 35, FALSE) / VLOOKUP("LULUCF|NOx|Non-fatal heart attacks", US_national_yearly!$D:$AM, 10, FALSE), 1)</f>
        <v>8.9691286516709046E-5</v>
      </c>
      <c r="AB13" s="7">
        <f>$B13 * IFERROR(VLOOKUP("LULUCF|NOx|Non-fatal heart attacks", US_national_yearly!$D:$AM, 36, FALSE) / VLOOKUP("LULUCF|NOx|Non-fatal heart attacks", US_national_yearly!$D:$AM, 10, FALSE), 1)</f>
        <v>8.9940837801442177E-5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1.98539817374675E-2</v>
      </c>
      <c r="C14" s="7">
        <f>$B14 * IFERROR(VLOOKUP("LULUCF|NOx|Minor restricted activity days", US_national_yearly!$D:$AM, 11, FALSE) / VLOOKUP("LULUCF|NOx|Minor restricted activity days", US_national_yearly!$D:$AM, 10, FALSE), 1)</f>
        <v>1.9884421223338902E-2</v>
      </c>
      <c r="D14" s="7">
        <f>$B14 * IFERROR(VLOOKUP("LULUCF|NOx|Minor restricted activity days", US_national_yearly!$D:$AM, 12, FALSE) / VLOOKUP("LULUCF|NOx|Minor restricted activity days", US_national_yearly!$D:$AM, 10, FALSE), 1)</f>
        <v>1.9914860709210305E-2</v>
      </c>
      <c r="E14" s="7">
        <f>$B14 * IFERROR(VLOOKUP("LULUCF|NOx|Minor restricted activity days", US_national_yearly!$D:$AM, 13, FALSE) / VLOOKUP("LULUCF|NOx|Minor restricted activity days", US_national_yearly!$D:$AM, 10, FALSE), 1)</f>
        <v>1.994530019508171E-2</v>
      </c>
      <c r="F14" s="7">
        <f>$B14 * IFERROR(VLOOKUP("LULUCF|NOx|Minor restricted activity days", US_national_yearly!$D:$AM, 14, FALSE) / VLOOKUP("LULUCF|NOx|Minor restricted activity days", US_national_yearly!$D:$AM, 10, FALSE), 1)</f>
        <v>1.9975739680953113E-2</v>
      </c>
      <c r="G14" s="7">
        <f>$B14 * IFERROR(VLOOKUP("LULUCF|NOx|Minor restricted activity days", US_national_yearly!$D:$AM, 15, FALSE) / VLOOKUP("LULUCF|NOx|Minor restricted activity days", US_national_yearly!$D:$AM, 10, FALSE), 1)</f>
        <v>2.0030706147216654E-2</v>
      </c>
      <c r="H14" s="7">
        <f>$B14 * IFERROR(VLOOKUP("LULUCF|NOx|Minor restricted activity days", US_national_yearly!$D:$AM, 16, FALSE) / VLOOKUP("LULUCF|NOx|Minor restricted activity days", US_national_yearly!$D:$AM, 10, FALSE), 1)</f>
        <v>2.0085672613480196E-2</v>
      </c>
      <c r="I14" s="7">
        <f>$B14 * IFERROR(VLOOKUP("LULUCF|NOx|Minor restricted activity days", US_national_yearly!$D:$AM, 17, FALSE) / VLOOKUP("LULUCF|NOx|Minor restricted activity days", US_national_yearly!$D:$AM, 10, FALSE), 1)</f>
        <v>2.0193184847892693E-2</v>
      </c>
      <c r="J14" s="7">
        <f>$B14 * IFERROR(VLOOKUP("LULUCF|NOx|Minor restricted activity days", US_national_yearly!$D:$AM, 18, FALSE) / VLOOKUP("LULUCF|NOx|Minor restricted activity days", US_national_yearly!$D:$AM, 10, FALSE), 1)</f>
        <v>2.030069708230519E-2</v>
      </c>
      <c r="K14" s="7">
        <f>$B14 * IFERROR(VLOOKUP("LULUCF|NOx|Minor restricted activity days", US_national_yearly!$D:$AM, 19, FALSE) / VLOOKUP("LULUCF|NOx|Minor restricted activity days", US_national_yearly!$D:$AM, 10, FALSE), 1)</f>
        <v>2.040820931671769E-2</v>
      </c>
      <c r="L14" s="7">
        <f>$B14 * IFERROR(VLOOKUP("LULUCF|NOx|Minor restricted activity days", US_national_yearly!$D:$AM, 20, FALSE) / VLOOKUP("LULUCF|NOx|Minor restricted activity days", US_national_yearly!$D:$AM, 10, FALSE), 1)</f>
        <v>2.0515721551130187E-2</v>
      </c>
      <c r="M14" s="7">
        <f>$B14 * IFERROR(VLOOKUP("LULUCF|NOx|Minor restricted activity days", US_national_yearly!$D:$AM, 21, FALSE) / VLOOKUP("LULUCF|NOx|Minor restricted activity days", US_national_yearly!$D:$AM, 10, FALSE), 1)</f>
        <v>2.0623233785542688E-2</v>
      </c>
      <c r="N14" s="7">
        <f>$B14 * IFERROR(VLOOKUP("LULUCF|NOx|Minor restricted activity days", US_national_yearly!$D:$AM, 22, FALSE) / VLOOKUP("LULUCF|NOx|Minor restricted activity days", US_national_yearly!$D:$AM, 10, FALSE), 1)</f>
        <v>2.0777166927350241E-2</v>
      </c>
      <c r="O14" s="7">
        <f>$B14 * IFERROR(VLOOKUP("LULUCF|NOx|Minor restricted activity days", US_national_yearly!$D:$AM, 23, FALSE) / VLOOKUP("LULUCF|NOx|Minor restricted activity days", US_national_yearly!$D:$AM, 10, FALSE), 1)</f>
        <v>2.0931100069157799E-2</v>
      </c>
      <c r="P14" s="7">
        <f>$B14 * IFERROR(VLOOKUP("LULUCF|NOx|Minor restricted activity days", US_national_yearly!$D:$AM, 24, FALSE) / VLOOKUP("LULUCF|NOx|Minor restricted activity days", US_national_yearly!$D:$AM, 10, FALSE), 1)</f>
        <v>2.1085033210965356E-2</v>
      </c>
      <c r="Q14" s="7">
        <f>$B14 * IFERROR(VLOOKUP("LULUCF|NOx|Minor restricted activity days", US_national_yearly!$D:$AM, 25, FALSE) / VLOOKUP("LULUCF|NOx|Minor restricted activity days", US_national_yearly!$D:$AM, 10, FALSE), 1)</f>
        <v>2.1238966352772913E-2</v>
      </c>
      <c r="R14" s="7">
        <f>$B14 * IFERROR(VLOOKUP("LULUCF|NOx|Minor restricted activity days", US_national_yearly!$D:$AM, 26, FALSE) / VLOOKUP("LULUCF|NOx|Minor restricted activity days", US_national_yearly!$D:$AM, 10, FALSE), 1)</f>
        <v>2.139289949458047E-2</v>
      </c>
      <c r="S14" s="7">
        <f>$B14 * IFERROR(VLOOKUP("LULUCF|NOx|Minor restricted activity days", US_national_yearly!$D:$AM, 27, FALSE) / VLOOKUP("LULUCF|NOx|Minor restricted activity days", US_national_yearly!$D:$AM, 10, FALSE), 1)</f>
        <v>2.154680027227443E-2</v>
      </c>
      <c r="T14" s="7">
        <f>$B14 * IFERROR(VLOOKUP("LULUCF|NOx|Minor restricted activity days", US_national_yearly!$D:$AM, 28, FALSE) / VLOOKUP("LULUCF|NOx|Minor restricted activity days", US_national_yearly!$D:$AM, 10, FALSE), 1)</f>
        <v>2.1700701049968386E-2</v>
      </c>
      <c r="U14" s="7">
        <f>$B14 * IFERROR(VLOOKUP("LULUCF|NOx|Minor restricted activity days", US_national_yearly!$D:$AM, 29, FALSE) / VLOOKUP("LULUCF|NOx|Minor restricted activity days", US_national_yearly!$D:$AM, 10, FALSE), 1)</f>
        <v>2.185460182766235E-2</v>
      </c>
      <c r="V14" s="7">
        <f>$B14 * IFERROR(VLOOKUP("LULUCF|NOx|Minor restricted activity days", US_national_yearly!$D:$AM, 30, FALSE) / VLOOKUP("LULUCF|NOx|Minor restricted activity days", US_national_yearly!$D:$AM, 10, FALSE), 1)</f>
        <v>2.2008502605356309E-2</v>
      </c>
      <c r="W14" s="7">
        <f>$B14 * IFERROR(VLOOKUP("LULUCF|NOx|Minor restricted activity days", US_national_yearly!$D:$AM, 31, FALSE) / VLOOKUP("LULUCF|NOx|Minor restricted activity days", US_national_yearly!$D:$AM, 10, FALSE), 1)</f>
        <v>2.2162403383050269E-2</v>
      </c>
      <c r="X14" s="7">
        <f>$B14 * IFERROR(VLOOKUP("LULUCF|NOx|Minor restricted activity days", US_national_yearly!$D:$AM, 32, FALSE) / VLOOKUP("LULUCF|NOx|Minor restricted activity days", US_national_yearly!$D:$AM, 10, FALSE), 1)</f>
        <v>2.2292520627612666E-2</v>
      </c>
      <c r="Y14" s="7">
        <f>$B14 * IFERROR(VLOOKUP("LULUCF|NOx|Minor restricted activity days", US_national_yearly!$D:$AM, 33, FALSE) / VLOOKUP("LULUCF|NOx|Minor restricted activity days", US_national_yearly!$D:$AM, 10, FALSE), 1)</f>
        <v>2.2422637872175067E-2</v>
      </c>
      <c r="Z14" s="7">
        <f>$B14 * IFERROR(VLOOKUP("LULUCF|NOx|Minor restricted activity days", US_national_yearly!$D:$AM, 34, FALSE) / VLOOKUP("LULUCF|NOx|Minor restricted activity days", US_national_yearly!$D:$AM, 10, FALSE), 1)</f>
        <v>2.2552755116737468E-2</v>
      </c>
      <c r="AA14" s="7">
        <f>$B14 * IFERROR(VLOOKUP("LULUCF|NOx|Minor restricted activity days", US_national_yearly!$D:$AM, 35, FALSE) / VLOOKUP("LULUCF|NOx|Minor restricted activity days", US_national_yearly!$D:$AM, 10, FALSE), 1)</f>
        <v>2.2682872361299868E-2</v>
      </c>
      <c r="AB14" s="7">
        <f>$B14 * IFERROR(VLOOKUP("LULUCF|NOx|Minor restricted activity days", US_national_yearly!$D:$AM, 36, FALSE) / VLOOKUP("LULUCF|NOx|Minor restricted activity days", US_national_yearly!$D:$AM, 10, FALSE), 1)</f>
        <v>2.2812989605862265E-2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3.3072972093083344E-3</v>
      </c>
      <c r="C15" s="7">
        <f>$B15 * IFERROR(VLOOKUP("LULUCF|NOx|Work loss days", US_national_yearly!$D:$AM, 11, FALSE) / VLOOKUP("LULUCF|NOx|Work loss days", US_national_yearly!$D:$AM, 10, FALSE), 1)</f>
        <v>3.3146541140290898E-3</v>
      </c>
      <c r="D15" s="7">
        <f>$B15 * IFERROR(VLOOKUP("LULUCF|NOx|Work loss days", US_national_yearly!$D:$AM, 12, FALSE) / VLOOKUP("LULUCF|NOx|Work loss days", US_national_yearly!$D:$AM, 10, FALSE), 1)</f>
        <v>3.322011018749846E-3</v>
      </c>
      <c r="E15" s="7">
        <f>$B15 * IFERROR(VLOOKUP("LULUCF|NOx|Work loss days", US_national_yearly!$D:$AM, 13, FALSE) / VLOOKUP("LULUCF|NOx|Work loss days", US_national_yearly!$D:$AM, 10, FALSE), 1)</f>
        <v>3.3293679234706018E-3</v>
      </c>
      <c r="F15" s="7">
        <f>$B15 * IFERROR(VLOOKUP("LULUCF|NOx|Work loss days", US_national_yearly!$D:$AM, 14, FALSE) / VLOOKUP("LULUCF|NOx|Work loss days", US_national_yearly!$D:$AM, 10, FALSE), 1)</f>
        <v>3.3367248281913581E-3</v>
      </c>
      <c r="G15" s="7">
        <f>$B15 * IFERROR(VLOOKUP("LULUCF|NOx|Work loss days", US_national_yearly!$D:$AM, 15, FALSE) / VLOOKUP("LULUCF|NOx|Work loss days", US_national_yearly!$D:$AM, 10, FALSE), 1)</f>
        <v>3.3474659718413249E-3</v>
      </c>
      <c r="H15" s="7">
        <f>$B15 * IFERROR(VLOOKUP("LULUCF|NOx|Work loss days", US_national_yearly!$D:$AM, 16, FALSE) / VLOOKUP("LULUCF|NOx|Work loss days", US_national_yearly!$D:$AM, 10, FALSE), 1)</f>
        <v>3.358207115491293E-3</v>
      </c>
      <c r="I15" s="7">
        <f>$B15 * IFERROR(VLOOKUP("LULUCF|NOx|Work loss days", US_national_yearly!$D:$AM, 17, FALSE) / VLOOKUP("LULUCF|NOx|Work loss days", US_national_yearly!$D:$AM, 10, FALSE), 1)</f>
        <v>3.3756071860748908E-3</v>
      </c>
      <c r="J15" s="7">
        <f>$B15 * IFERROR(VLOOKUP("LULUCF|NOx|Work loss days", US_national_yearly!$D:$AM, 18, FALSE) / VLOOKUP("LULUCF|NOx|Work loss days", US_national_yearly!$D:$AM, 10, FALSE), 1)</f>
        <v>3.3930072566584896E-3</v>
      </c>
      <c r="K15" s="7">
        <f>$B15 * IFERROR(VLOOKUP("LULUCF|NOx|Work loss days", US_national_yearly!$D:$AM, 19, FALSE) / VLOOKUP("LULUCF|NOx|Work loss days", US_national_yearly!$D:$AM, 10, FALSE), 1)</f>
        <v>3.4104073272420874E-3</v>
      </c>
      <c r="L15" s="7">
        <f>$B15 * IFERROR(VLOOKUP("LULUCF|NOx|Work loss days", US_national_yearly!$D:$AM, 20, FALSE) / VLOOKUP("LULUCF|NOx|Work loss days", US_national_yearly!$D:$AM, 10, FALSE), 1)</f>
        <v>3.4278073978256858E-3</v>
      </c>
      <c r="M15" s="7">
        <f>$B15 * IFERROR(VLOOKUP("LULUCF|NOx|Work loss days", US_national_yearly!$D:$AM, 21, FALSE) / VLOOKUP("LULUCF|NOx|Work loss days", US_national_yearly!$D:$AM, 10, FALSE), 1)</f>
        <v>3.4452074684092845E-3</v>
      </c>
      <c r="N15" s="7">
        <f>$B15 * IFERROR(VLOOKUP("LULUCF|NOx|Work loss days", US_national_yearly!$D:$AM, 22, FALSE) / VLOOKUP("LULUCF|NOx|Work loss days", US_national_yearly!$D:$AM, 10, FALSE), 1)</f>
        <v>3.4678525925579472E-3</v>
      </c>
      <c r="O15" s="7">
        <f>$B15 * IFERROR(VLOOKUP("LULUCF|NOx|Work loss days", US_national_yearly!$D:$AM, 23, FALSE) / VLOOKUP("LULUCF|NOx|Work loss days", US_national_yearly!$D:$AM, 10, FALSE), 1)</f>
        <v>3.4904977167066098E-3</v>
      </c>
      <c r="P15" s="7">
        <f>$B15 * IFERROR(VLOOKUP("LULUCF|NOx|Work loss days", US_national_yearly!$D:$AM, 24, FALSE) / VLOOKUP("LULUCF|NOx|Work loss days", US_national_yearly!$D:$AM, 10, FALSE), 1)</f>
        <v>3.5131428408552725E-3</v>
      </c>
      <c r="Q15" s="7">
        <f>$B15 * IFERROR(VLOOKUP("LULUCF|NOx|Work loss days", US_national_yearly!$D:$AM, 25, FALSE) / VLOOKUP("LULUCF|NOx|Work loss days", US_national_yearly!$D:$AM, 10, FALSE), 1)</f>
        <v>3.5357879650039343E-3</v>
      </c>
      <c r="R15" s="7">
        <f>$B15 * IFERROR(VLOOKUP("LULUCF|NOx|Work loss days", US_national_yearly!$D:$AM, 26, FALSE) / VLOOKUP("LULUCF|NOx|Work loss days", US_national_yearly!$D:$AM, 10, FALSE), 1)</f>
        <v>3.5584330891525978E-3</v>
      </c>
      <c r="S15" s="7">
        <f>$B15 * IFERROR(VLOOKUP("LULUCF|NOx|Work loss days", US_national_yearly!$D:$AM, 27, FALSE) / VLOOKUP("LULUCF|NOx|Work loss days", US_national_yearly!$D:$AM, 10, FALSE), 1)</f>
        <v>3.5836795071273867E-3</v>
      </c>
      <c r="T15" s="7">
        <f>$B15 * IFERROR(VLOOKUP("LULUCF|NOx|Work loss days", US_national_yearly!$D:$AM, 28, FALSE) / VLOOKUP("LULUCF|NOx|Work loss days", US_national_yearly!$D:$AM, 10, FALSE), 1)</f>
        <v>3.6089259251021757E-3</v>
      </c>
      <c r="U15" s="7">
        <f>$B15 * IFERROR(VLOOKUP("LULUCF|NOx|Work loss days", US_national_yearly!$D:$AM, 29, FALSE) / VLOOKUP("LULUCF|NOx|Work loss days", US_national_yearly!$D:$AM, 10, FALSE), 1)</f>
        <v>3.6341723430769637E-3</v>
      </c>
      <c r="V15" s="7">
        <f>$B15 * IFERROR(VLOOKUP("LULUCF|NOx|Work loss days", US_national_yearly!$D:$AM, 30, FALSE) / VLOOKUP("LULUCF|NOx|Work loss days", US_national_yearly!$D:$AM, 10, FALSE), 1)</f>
        <v>3.6594187610517527E-3</v>
      </c>
      <c r="W15" s="7">
        <f>$B15 * IFERROR(VLOOKUP("LULUCF|NOx|Work loss days", US_national_yearly!$D:$AM, 31, FALSE) / VLOOKUP("LULUCF|NOx|Work loss days", US_national_yearly!$D:$AM, 10, FALSE), 1)</f>
        <v>3.6846651790265416E-3</v>
      </c>
      <c r="X15" s="7">
        <f>$B15 * IFERROR(VLOOKUP("LULUCF|NOx|Work loss days", US_national_yearly!$D:$AM, 32, FALSE) / VLOOKUP("LULUCF|NOx|Work loss days", US_national_yearly!$D:$AM, 10, FALSE), 1)</f>
        <v>3.7065777237719408E-3</v>
      </c>
      <c r="Y15" s="7">
        <f>$B15 * IFERROR(VLOOKUP("LULUCF|NOx|Work loss days", US_national_yearly!$D:$AM, 33, FALSE) / VLOOKUP("LULUCF|NOx|Work loss days", US_national_yearly!$D:$AM, 10, FALSE), 1)</f>
        <v>3.7284902685173395E-3</v>
      </c>
      <c r="Z15" s="7">
        <f>$B15 * IFERROR(VLOOKUP("LULUCF|NOx|Work loss days", US_national_yearly!$D:$AM, 34, FALSE) / VLOOKUP("LULUCF|NOx|Work loss days", US_national_yearly!$D:$AM, 10, FALSE), 1)</f>
        <v>3.7504028132627387E-3</v>
      </c>
      <c r="AA15" s="7">
        <f>$B15 * IFERROR(VLOOKUP("LULUCF|NOx|Work loss days", US_national_yearly!$D:$AM, 35, FALSE) / VLOOKUP("LULUCF|NOx|Work loss days", US_national_yearly!$D:$AM, 10, FALSE), 1)</f>
        <v>3.7723153580081379E-3</v>
      </c>
      <c r="AB15" s="7">
        <f>$B15 * IFERROR(VLOOKUP("LULUCF|NOx|Work loss days", US_national_yearly!$D:$AM, 36, FALSE) / VLOOKUP("LULUCF|NOx|Work loss days", US_national_yearly!$D:$AM, 10, FALSE), 1)</f>
        <v>3.7942279027535367E-3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8.9837180633639828E-6</v>
      </c>
      <c r="C17" s="7">
        <f>$B17 * IFERROR(VLOOKUP("LULUCF|NOx|Cardiovascular hospital admissions", US_national_yearly!$D:$AM, 11, FALSE) / VLOOKUP("LULUCF|NOx|Cardiovascular hospital admissions", US_national_yearly!$D:$AM, 10, FALSE), 1)</f>
        <v>9.247701310100887E-6</v>
      </c>
      <c r="D17" s="7">
        <f>$B17 * IFERROR(VLOOKUP("LULUCF|NOx|Cardiovascular hospital admissions", US_national_yearly!$D:$AM, 12, FALSE) / VLOOKUP("LULUCF|NOx|Cardiovascular hospital admissions", US_national_yearly!$D:$AM, 10, FALSE), 1)</f>
        <v>9.5116845568377878E-6</v>
      </c>
      <c r="E17" s="7">
        <f>$B17 * IFERROR(VLOOKUP("LULUCF|NOx|Cardiovascular hospital admissions", US_national_yearly!$D:$AM, 13, FALSE) / VLOOKUP("LULUCF|NOx|Cardiovascular hospital admissions", US_national_yearly!$D:$AM, 10, FALSE), 1)</f>
        <v>9.7756678035746903E-6</v>
      </c>
      <c r="F17" s="7">
        <f>$B17 * IFERROR(VLOOKUP("LULUCF|NOx|Cardiovascular hospital admissions", US_national_yearly!$D:$AM, 14, FALSE) / VLOOKUP("LULUCF|NOx|Cardiovascular hospital admissions", US_national_yearly!$D:$AM, 10, FALSE), 1)</f>
        <v>1.0039651050311594E-5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1.0290391478588209E-5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1.0541131906864828E-5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1.0751985263513231E-5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1.0962838620161634E-5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1.1173691976810036E-5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1.1384545333458439E-5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1.1595398690106845E-5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1.1727252280599904E-5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1.1859105871092964E-5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1.1990959461586023E-5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1.2122813052079083E-5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1.2254666642572142E-5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1.2314827815151149E-5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1.2374988987730154E-5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1.2435150160309158E-5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1.2495311332888165E-5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1.2555472505467171E-5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1.258895428377207E-5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1.2622436062076969E-5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1.2655917840381868E-5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1.2689399618686766E-5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1.2722881396991665E-5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8.5018473727550506E-5</v>
      </c>
      <c r="C2" s="7">
        <f>$B2 * IFERROR(VLOOKUP("LULUCF|SO2|Premature mortality", US_national_yearly!$D:$AM, 11, FALSE) / VLOOKUP("LULUCF|SO2|Premature mortality", US_national_yearly!$D:$AM, 10, FALSE), 1)</f>
        <v>8.6095186696837834E-5</v>
      </c>
      <c r="D2" s="7">
        <f>$B2 * IFERROR(VLOOKUP("LULUCF|SO2|Premature mortality", US_national_yearly!$D:$AM, 12, FALSE) / VLOOKUP("LULUCF|SO2|Premature mortality", US_national_yearly!$D:$AM, 10, FALSE), 1)</f>
        <v>8.7171899666125177E-5</v>
      </c>
      <c r="E2" s="7">
        <f>$B2 * IFERROR(VLOOKUP("LULUCF|SO2|Premature mortality", US_national_yearly!$D:$AM, 13, FALSE) / VLOOKUP("LULUCF|SO2|Premature mortality", US_national_yearly!$D:$AM, 10, FALSE), 1)</f>
        <v>8.8248612635412492E-5</v>
      </c>
      <c r="F2" s="7">
        <f>$B2 * IFERROR(VLOOKUP("LULUCF|SO2|Premature mortality", US_national_yearly!$D:$AM, 14, FALSE) / VLOOKUP("LULUCF|SO2|Premature mortality", US_national_yearly!$D:$AM, 10, FALSE), 1)</f>
        <v>8.9325325604699821E-5</v>
      </c>
      <c r="G2" s="7">
        <f>$B2 * IFERROR(VLOOKUP("LULUCF|SO2|Premature mortality", US_national_yearly!$D:$AM, 15, FALSE) / VLOOKUP("LULUCF|SO2|Premature mortality", US_national_yearly!$D:$AM, 10, FALSE), 1)</f>
        <v>9.1400090475045301E-5</v>
      </c>
      <c r="H2" s="7">
        <f>$B2 * IFERROR(VLOOKUP("LULUCF|SO2|Premature mortality", US_national_yearly!$D:$AM, 16, FALSE) / VLOOKUP("LULUCF|SO2|Premature mortality", US_national_yearly!$D:$AM, 10, FALSE), 1)</f>
        <v>9.3474855345390768E-5</v>
      </c>
      <c r="I2" s="7">
        <f>$B2 * IFERROR(VLOOKUP("LULUCF|SO2|Premature mortality", US_national_yearly!$D:$AM, 17, FALSE) / VLOOKUP("LULUCF|SO2|Premature mortality", US_national_yearly!$D:$AM, 10, FALSE), 1)</f>
        <v>9.484598710089804E-5</v>
      </c>
      <c r="J2" s="7">
        <f>$B2 * IFERROR(VLOOKUP("LULUCF|SO2|Premature mortality", US_national_yearly!$D:$AM, 18, FALSE) / VLOOKUP("LULUCF|SO2|Premature mortality", US_national_yearly!$D:$AM, 10, FALSE), 1)</f>
        <v>9.6217118856405299E-5</v>
      </c>
      <c r="K2" s="7">
        <f>$B2 * IFERROR(VLOOKUP("LULUCF|SO2|Premature mortality", US_national_yearly!$D:$AM, 19, FALSE) / VLOOKUP("LULUCF|SO2|Premature mortality", US_national_yearly!$D:$AM, 10, FALSE), 1)</f>
        <v>9.7588250611912544E-5</v>
      </c>
      <c r="L2" s="7">
        <f>$B2 * IFERROR(VLOOKUP("LULUCF|SO2|Premature mortality", US_national_yearly!$D:$AM, 20, FALSE) / VLOOKUP("LULUCF|SO2|Premature mortality", US_national_yearly!$D:$AM, 10, FALSE), 1)</f>
        <v>9.8959382367419817E-5</v>
      </c>
      <c r="M2" s="7">
        <f>$B2 * IFERROR(VLOOKUP("LULUCF|SO2|Premature mortality", US_national_yearly!$D:$AM, 21, FALSE) / VLOOKUP("LULUCF|SO2|Premature mortality", US_national_yearly!$D:$AM, 10, FALSE), 1)</f>
        <v>1.0033051412292708E-4</v>
      </c>
      <c r="N2" s="7">
        <f>$B2 * IFERROR(VLOOKUP("LULUCF|SO2|Premature mortality", US_national_yearly!$D:$AM, 22, FALSE) / VLOOKUP("LULUCF|SO2|Premature mortality", US_national_yearly!$D:$AM, 10, FALSE), 1)</f>
        <v>1.0140184210275534E-4</v>
      </c>
      <c r="O2" s="7">
        <f>$B2 * IFERROR(VLOOKUP("LULUCF|SO2|Premature mortality", US_national_yearly!$D:$AM, 23, FALSE) / VLOOKUP("LULUCF|SO2|Premature mortality", US_national_yearly!$D:$AM, 10, FALSE), 1)</f>
        <v>1.0247317008258359E-4</v>
      </c>
      <c r="P2" s="7">
        <f>$B2 * IFERROR(VLOOKUP("LULUCF|SO2|Premature mortality", US_national_yearly!$D:$AM, 24, FALSE) / VLOOKUP("LULUCF|SO2|Premature mortality", US_national_yearly!$D:$AM, 10, FALSE), 1)</f>
        <v>1.0354449806241185E-4</v>
      </c>
      <c r="Q2" s="7">
        <f>$B2 * IFERROR(VLOOKUP("LULUCF|SO2|Premature mortality", US_national_yearly!$D:$AM, 25, FALSE) / VLOOKUP("LULUCF|SO2|Premature mortality", US_national_yearly!$D:$AM, 10, FALSE), 1)</f>
        <v>1.046158260422401E-4</v>
      </c>
      <c r="R2" s="7">
        <f>$B2 * IFERROR(VLOOKUP("LULUCF|SO2|Premature mortality", US_national_yearly!$D:$AM, 26, FALSE) / VLOOKUP("LULUCF|SO2|Premature mortality", US_national_yearly!$D:$AM, 10, FALSE), 1)</f>
        <v>1.0568715402206835E-4</v>
      </c>
      <c r="S2" s="7">
        <f>$B2 * IFERROR(VLOOKUP("LULUCF|SO2|Premature mortality", US_national_yearly!$D:$AM, 27, FALSE) / VLOOKUP("LULUCF|SO2|Premature mortality", US_national_yearly!$D:$AM, 10, FALSE), 1)</f>
        <v>1.062608644202119E-4</v>
      </c>
      <c r="T2" s="7">
        <f>$B2 * IFERROR(VLOOKUP("LULUCF|SO2|Premature mortality", US_national_yearly!$D:$AM, 28, FALSE) / VLOOKUP("LULUCF|SO2|Premature mortality", US_national_yearly!$D:$AM, 10, FALSE), 1)</f>
        <v>1.0683457481835542E-4</v>
      </c>
      <c r="U2" s="7">
        <f>$B2 * IFERROR(VLOOKUP("LULUCF|SO2|Premature mortality", US_national_yearly!$D:$AM, 29, FALSE) / VLOOKUP("LULUCF|SO2|Premature mortality", US_national_yearly!$D:$AM, 10, FALSE), 1)</f>
        <v>1.0740828521649895E-4</v>
      </c>
      <c r="V2" s="7">
        <f>$B2 * IFERROR(VLOOKUP("LULUCF|SO2|Premature mortality", US_national_yearly!$D:$AM, 30, FALSE) / VLOOKUP("LULUCF|SO2|Premature mortality", US_national_yearly!$D:$AM, 10, FALSE), 1)</f>
        <v>1.0798199561464248E-4</v>
      </c>
      <c r="W2" s="7">
        <f>$B2 * IFERROR(VLOOKUP("LULUCF|SO2|Premature mortality", US_national_yearly!$D:$AM, 31, FALSE) / VLOOKUP("LULUCF|SO2|Premature mortality", US_national_yearly!$D:$AM, 10, FALSE), 1)</f>
        <v>1.0855570601278603E-4</v>
      </c>
      <c r="X2" s="7">
        <f>$B2 * IFERROR(VLOOKUP("LULUCF|SO2|Premature mortality", US_national_yearly!$D:$AM, 32, FALSE) / VLOOKUP("LULUCF|SO2|Premature mortality", US_national_yearly!$D:$AM, 10, FALSE), 1)</f>
        <v>1.0867225703501701E-4</v>
      </c>
      <c r="Y2" s="7">
        <f>$B2 * IFERROR(VLOOKUP("LULUCF|SO2|Premature mortality", US_national_yearly!$D:$AM, 33, FALSE) / VLOOKUP("LULUCF|SO2|Premature mortality", US_national_yearly!$D:$AM, 10, FALSE), 1)</f>
        <v>1.0878880805724803E-4</v>
      </c>
      <c r="Z2" s="7">
        <f>$B2 * IFERROR(VLOOKUP("LULUCF|SO2|Premature mortality", US_national_yearly!$D:$AM, 34, FALSE) / VLOOKUP("LULUCF|SO2|Premature mortality", US_national_yearly!$D:$AM, 10, FALSE), 1)</f>
        <v>1.0890535907947904E-4</v>
      </c>
      <c r="AA2" s="7">
        <f>$B2 * IFERROR(VLOOKUP("LULUCF|SO2|Premature mortality", US_national_yearly!$D:$AM, 35, FALSE) / VLOOKUP("LULUCF|SO2|Premature mortality", US_national_yearly!$D:$AM, 10, FALSE), 1)</f>
        <v>1.0902191010171006E-4</v>
      </c>
      <c r="AB2" s="7">
        <f>$B2 * IFERROR(VLOOKUP("LULUCF|SO2|Premature mortality", US_national_yearly!$D:$AM, 36, FALSE) / VLOOKUP("LULUCF|SO2|Premature mortality", US_national_yearly!$D:$AM, 10, FALSE), 1)</f>
        <v>1.0913846112394104E-4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1.4300589286268917E-7</v>
      </c>
      <c r="C3" s="7">
        <f>$B3 * IFERROR(VLOOKUP("LULUCF|SO2|Infant mortality", US_national_yearly!$D:$AM, 11, FALSE) / VLOOKUP("LULUCF|SO2|Infant mortality", US_national_yearly!$D:$AM, 10, FALSE), 1)</f>
        <v>1.4177744615792714E-7</v>
      </c>
      <c r="D3" s="7">
        <f>$B3 * IFERROR(VLOOKUP("LULUCF|SO2|Infant mortality", US_national_yearly!$D:$AM, 12, FALSE) / VLOOKUP("LULUCF|SO2|Infant mortality", US_national_yearly!$D:$AM, 10, FALSE), 1)</f>
        <v>1.4054899945316511E-7</v>
      </c>
      <c r="E3" s="7">
        <f>$B3 * IFERROR(VLOOKUP("LULUCF|SO2|Infant mortality", US_national_yearly!$D:$AM, 13, FALSE) / VLOOKUP("LULUCF|SO2|Infant mortality", US_national_yearly!$D:$AM, 10, FALSE), 1)</f>
        <v>1.3932055274840305E-7</v>
      </c>
      <c r="F3" s="7">
        <f>$B3 * IFERROR(VLOOKUP("LULUCF|SO2|Infant mortality", US_national_yearly!$D:$AM, 14, FALSE) / VLOOKUP("LULUCF|SO2|Infant mortality", US_national_yearly!$D:$AM, 10, FALSE), 1)</f>
        <v>1.3809210604364102E-7</v>
      </c>
      <c r="G3" s="7">
        <f>$B3 * IFERROR(VLOOKUP("LULUCF|SO2|Infant mortality", US_national_yearly!$D:$AM, 15, FALSE) / VLOOKUP("LULUCF|SO2|Infant mortality", US_national_yearly!$D:$AM, 10, FALSE), 1)</f>
        <v>9.1980464781566627E-8</v>
      </c>
      <c r="H3" s="7">
        <f>$B3 * IFERROR(VLOOKUP("LULUCF|SO2|Infant mortality", US_national_yearly!$D:$AM, 16, FALSE) / VLOOKUP("LULUCF|SO2|Infant mortality", US_national_yearly!$D:$AM, 10, FALSE), 1)</f>
        <v>4.5868823519492286E-8</v>
      </c>
      <c r="I3" s="7">
        <f>$B3 * IFERROR(VLOOKUP("LULUCF|SO2|Infant mortality", US_national_yearly!$D:$AM, 17, FALSE) / VLOOKUP("LULUCF|SO2|Infant mortality", US_national_yearly!$D:$AM, 10, FALSE), 1)</f>
        <v>4.5581074538359034E-8</v>
      </c>
      <c r="J3" s="7">
        <f>$B3 * IFERROR(VLOOKUP("LULUCF|SO2|Infant mortality", US_national_yearly!$D:$AM, 18, FALSE) / VLOOKUP("LULUCF|SO2|Infant mortality", US_national_yearly!$D:$AM, 10, FALSE), 1)</f>
        <v>4.5293325557225788E-8</v>
      </c>
      <c r="K3" s="7">
        <f>$B3 * IFERROR(VLOOKUP("LULUCF|SO2|Infant mortality", US_national_yearly!$D:$AM, 19, FALSE) / VLOOKUP("LULUCF|SO2|Infant mortality", US_national_yearly!$D:$AM, 10, FALSE), 1)</f>
        <v>4.5005576576092535E-8</v>
      </c>
      <c r="L3" s="7">
        <f>$B3 * IFERROR(VLOOKUP("LULUCF|SO2|Infant mortality", US_national_yearly!$D:$AM, 20, FALSE) / VLOOKUP("LULUCF|SO2|Infant mortality", US_national_yearly!$D:$AM, 10, FALSE), 1)</f>
        <v>4.4717827594959295E-8</v>
      </c>
      <c r="M3" s="7">
        <f>$B3 * IFERROR(VLOOKUP("LULUCF|SO2|Infant mortality", US_national_yearly!$D:$AM, 21, FALSE) / VLOOKUP("LULUCF|SO2|Infant mortality", US_national_yearly!$D:$AM, 10, FALSE), 1)</f>
        <v>4.4430078613826043E-8</v>
      </c>
      <c r="N3" s="7">
        <f>$B3 * IFERROR(VLOOKUP("LULUCF|SO2|Infant mortality", US_national_yearly!$D:$AM, 22, FALSE) / VLOOKUP("LULUCF|SO2|Infant mortality", US_national_yearly!$D:$AM, 10, FALSE), 1)</f>
        <v>4.4249460732648132E-8</v>
      </c>
      <c r="O3" s="7">
        <f>$B3 * IFERROR(VLOOKUP("LULUCF|SO2|Infant mortality", US_national_yearly!$D:$AM, 23, FALSE) / VLOOKUP("LULUCF|SO2|Infant mortality", US_national_yearly!$D:$AM, 10, FALSE), 1)</f>
        <v>4.406884285147022E-8</v>
      </c>
      <c r="P3" s="7">
        <f>$B3 * IFERROR(VLOOKUP("LULUCF|SO2|Infant mortality", US_national_yearly!$D:$AM, 24, FALSE) / VLOOKUP("LULUCF|SO2|Infant mortality", US_national_yearly!$D:$AM, 10, FALSE), 1)</f>
        <v>4.3888224970292296E-8</v>
      </c>
      <c r="Q3" s="7">
        <f>$B3 * IFERROR(VLOOKUP("LULUCF|SO2|Infant mortality", US_national_yearly!$D:$AM, 25, FALSE) / VLOOKUP("LULUCF|SO2|Infant mortality", US_national_yearly!$D:$AM, 10, FALSE), 1)</f>
        <v>4.3707607089114385E-8</v>
      </c>
      <c r="R3" s="7">
        <f>$B3 * IFERROR(VLOOKUP("LULUCF|SO2|Infant mortality", US_national_yearly!$D:$AM, 26, FALSE) / VLOOKUP("LULUCF|SO2|Infant mortality", US_national_yearly!$D:$AM, 10, FALSE), 1)</f>
        <v>4.3526989207936467E-8</v>
      </c>
      <c r="S3" s="7">
        <f>$B3 * IFERROR(VLOOKUP("LULUCF|SO2|Infant mortality", US_national_yearly!$D:$AM, 27, FALSE) / VLOOKUP("LULUCF|SO2|Infant mortality", US_national_yearly!$D:$AM, 10, FALSE), 1)</f>
        <v>4.3300212454640731E-8</v>
      </c>
      <c r="T3" s="7">
        <f>$B3 * IFERROR(VLOOKUP("LULUCF|SO2|Infant mortality", US_national_yearly!$D:$AM, 28, FALSE) / VLOOKUP("LULUCF|SO2|Infant mortality", US_national_yearly!$D:$AM, 10, FALSE), 1)</f>
        <v>4.3073435701345002E-8</v>
      </c>
      <c r="U3" s="7">
        <f>$B3 * IFERROR(VLOOKUP("LULUCF|SO2|Infant mortality", US_national_yearly!$D:$AM, 29, FALSE) / VLOOKUP("LULUCF|SO2|Infant mortality", US_national_yearly!$D:$AM, 10, FALSE), 1)</f>
        <v>4.2846658948049259E-8</v>
      </c>
      <c r="V3" s="7">
        <f>$B3 * IFERROR(VLOOKUP("LULUCF|SO2|Infant mortality", US_national_yearly!$D:$AM, 30, FALSE) / VLOOKUP("LULUCF|SO2|Infant mortality", US_national_yearly!$D:$AM, 10, FALSE), 1)</f>
        <v>4.2619882194753537E-8</v>
      </c>
      <c r="W3" s="7">
        <f>$B3 * IFERROR(VLOOKUP("LULUCF|SO2|Infant mortality", US_national_yearly!$D:$AM, 31, FALSE) / VLOOKUP("LULUCF|SO2|Infant mortality", US_national_yearly!$D:$AM, 10, FALSE), 1)</f>
        <v>4.2393105441457794E-8</v>
      </c>
      <c r="X3" s="7">
        <f>$B3 * IFERROR(VLOOKUP("LULUCF|SO2|Infant mortality", US_national_yearly!$D:$AM, 32, FALSE) / VLOOKUP("LULUCF|SO2|Infant mortality", US_national_yearly!$D:$AM, 10, FALSE), 1)</f>
        <v>4.214516845045529E-8</v>
      </c>
      <c r="Y3" s="7">
        <f>$B3 * IFERROR(VLOOKUP("LULUCF|SO2|Infant mortality", US_national_yearly!$D:$AM, 33, FALSE) / VLOOKUP("LULUCF|SO2|Infant mortality", US_national_yearly!$D:$AM, 10, FALSE), 1)</f>
        <v>4.1897231459452765E-8</v>
      </c>
      <c r="Z3" s="7">
        <f>$B3 * IFERROR(VLOOKUP("LULUCF|SO2|Infant mortality", US_national_yearly!$D:$AM, 34, FALSE) / VLOOKUP("LULUCF|SO2|Infant mortality", US_national_yearly!$D:$AM, 10, FALSE), 1)</f>
        <v>4.1649294468450254E-8</v>
      </c>
      <c r="AA3" s="7">
        <f>$B3 * IFERROR(VLOOKUP("LULUCF|SO2|Infant mortality", US_national_yearly!$D:$AM, 35, FALSE) / VLOOKUP("LULUCF|SO2|Infant mortality", US_national_yearly!$D:$AM, 10, FALSE), 1)</f>
        <v>4.1401357477447729E-8</v>
      </c>
      <c r="AB3" s="7">
        <f>$B3 * IFERROR(VLOOKUP("LULUCF|SO2|Infant mortality", US_national_yearly!$D:$AM, 36, FALSE) / VLOOKUP("LULUCF|SO2|Infant mortality", US_national_yearly!$D:$AM, 10, FALSE), 1)</f>
        <v>4.1153420486445224E-8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1.4247621241987761E-4</v>
      </c>
      <c r="C6" s="7">
        <f>$B6 * IFERROR(VLOOKUP("LULUCF|SO2|Asthma symptoms cough", US_national_yearly!$D:$AM, 11, FALSE) / VLOOKUP("LULUCF|SO2|Asthma symptoms cough", US_national_yearly!$D:$AM, 10, FALSE), 1)</f>
        <v>1.4247621241987761E-4</v>
      </c>
      <c r="D6" s="7">
        <f>$B6 * IFERROR(VLOOKUP("LULUCF|SO2|Asthma symptoms cough", US_national_yearly!$D:$AM, 12, FALSE) / VLOOKUP("LULUCF|SO2|Asthma symptoms cough", US_national_yearly!$D:$AM, 10, FALSE), 1)</f>
        <v>1.4247621241987761E-4</v>
      </c>
      <c r="E6" s="7">
        <f>$B6 * IFERROR(VLOOKUP("LULUCF|SO2|Asthma symptoms cough", US_national_yearly!$D:$AM, 13, FALSE) / VLOOKUP("LULUCF|SO2|Asthma symptoms cough", US_national_yearly!$D:$AM, 10, FALSE), 1)</f>
        <v>1.4247621241987761E-4</v>
      </c>
      <c r="F6" s="7">
        <f>$B6 * IFERROR(VLOOKUP("LULUCF|SO2|Asthma symptoms cough", US_national_yearly!$D:$AM, 14, FALSE) / VLOOKUP("LULUCF|SO2|Asthma symptoms cough", US_national_yearly!$D:$AM, 10, FALSE), 1)</f>
        <v>1.4247621241987761E-4</v>
      </c>
      <c r="G6" s="7">
        <f>$B6 * IFERROR(VLOOKUP("LULUCF|SO2|Asthma symptoms cough", US_national_yearly!$D:$AM, 15, FALSE) / VLOOKUP("LULUCF|SO2|Asthma symptoms cough", US_national_yearly!$D:$AM, 10, FALSE), 1)</f>
        <v>1.4247621241987761E-4</v>
      </c>
      <c r="H6" s="7">
        <f>$B6 * IFERROR(VLOOKUP("LULUCF|SO2|Asthma symptoms cough", US_national_yearly!$D:$AM, 16, FALSE) / VLOOKUP("LULUCF|SO2|Asthma symptoms cough", US_national_yearly!$D:$AM, 10, FALSE), 1)</f>
        <v>1.4247621241987761E-4</v>
      </c>
      <c r="I6" s="7">
        <f>$B6 * IFERROR(VLOOKUP("LULUCF|SO2|Asthma symptoms cough", US_national_yearly!$D:$AM, 17, FALSE) / VLOOKUP("LULUCF|SO2|Asthma symptoms cough", US_national_yearly!$D:$AM, 10, FALSE), 1)</f>
        <v>1.4247621241987761E-4</v>
      </c>
      <c r="J6" s="7">
        <f>$B6 * IFERROR(VLOOKUP("LULUCF|SO2|Asthma symptoms cough", US_national_yearly!$D:$AM, 18, FALSE) / VLOOKUP("LULUCF|SO2|Asthma symptoms cough", US_national_yearly!$D:$AM, 10, FALSE), 1)</f>
        <v>1.4247621241987761E-4</v>
      </c>
      <c r="K6" s="7">
        <f>$B6 * IFERROR(VLOOKUP("LULUCF|SO2|Asthma symptoms cough", US_national_yearly!$D:$AM, 19, FALSE) / VLOOKUP("LULUCF|SO2|Asthma symptoms cough", US_national_yearly!$D:$AM, 10, FALSE), 1)</f>
        <v>1.4247621241987761E-4</v>
      </c>
      <c r="L6" s="7">
        <f>$B6 * IFERROR(VLOOKUP("LULUCF|SO2|Asthma symptoms cough", US_national_yearly!$D:$AM, 20, FALSE) / VLOOKUP("LULUCF|SO2|Asthma symptoms cough", US_national_yearly!$D:$AM, 10, FALSE), 1)</f>
        <v>1.4247621241987761E-4</v>
      </c>
      <c r="M6" s="7">
        <f>$B6 * IFERROR(VLOOKUP("LULUCF|SO2|Asthma symptoms cough", US_national_yearly!$D:$AM, 21, FALSE) / VLOOKUP("LULUCF|SO2|Asthma symptoms cough", US_national_yearly!$D:$AM, 10, FALSE), 1)</f>
        <v>1.4247621241987761E-4</v>
      </c>
      <c r="N6" s="7">
        <f>$B6 * IFERROR(VLOOKUP("LULUCF|SO2|Asthma symptoms cough", US_national_yearly!$D:$AM, 22, FALSE) / VLOOKUP("LULUCF|SO2|Asthma symptoms cough", US_national_yearly!$D:$AM, 10, FALSE), 1)</f>
        <v>1.4247621241987761E-4</v>
      </c>
      <c r="O6" s="7">
        <f>$B6 * IFERROR(VLOOKUP("LULUCF|SO2|Asthma symptoms cough", US_national_yearly!$D:$AM, 23, FALSE) / VLOOKUP("LULUCF|SO2|Asthma symptoms cough", US_national_yearly!$D:$AM, 10, FALSE), 1)</f>
        <v>1.4247621241987761E-4</v>
      </c>
      <c r="P6" s="7">
        <f>$B6 * IFERROR(VLOOKUP("LULUCF|SO2|Asthma symptoms cough", US_national_yearly!$D:$AM, 24, FALSE) / VLOOKUP("LULUCF|SO2|Asthma symptoms cough", US_national_yearly!$D:$AM, 10, FALSE), 1)</f>
        <v>1.4247621241987761E-4</v>
      </c>
      <c r="Q6" s="7">
        <f>$B6 * IFERROR(VLOOKUP("LULUCF|SO2|Asthma symptoms cough", US_national_yearly!$D:$AM, 25, FALSE) / VLOOKUP("LULUCF|SO2|Asthma symptoms cough", US_national_yearly!$D:$AM, 10, FALSE), 1)</f>
        <v>1.4247621241987761E-4</v>
      </c>
      <c r="R6" s="7">
        <f>$B6 * IFERROR(VLOOKUP("LULUCF|SO2|Asthma symptoms cough", US_national_yearly!$D:$AM, 26, FALSE) / VLOOKUP("LULUCF|SO2|Asthma symptoms cough", US_national_yearly!$D:$AM, 10, FALSE), 1)</f>
        <v>1.4247621241987761E-4</v>
      </c>
      <c r="S6" s="7">
        <f>$B6 * IFERROR(VLOOKUP("LULUCF|SO2|Asthma symptoms cough", US_national_yearly!$D:$AM, 27, FALSE) / VLOOKUP("LULUCF|SO2|Asthma symptoms cough", US_national_yearly!$D:$AM, 10, FALSE), 1)</f>
        <v>1.4247621241987761E-4</v>
      </c>
      <c r="T6" s="7">
        <f>$B6 * IFERROR(VLOOKUP("LULUCF|SO2|Asthma symptoms cough", US_national_yearly!$D:$AM, 28, FALSE) / VLOOKUP("LULUCF|SO2|Asthma symptoms cough", US_national_yearly!$D:$AM, 10, FALSE), 1)</f>
        <v>1.4247621241987761E-4</v>
      </c>
      <c r="U6" s="7">
        <f>$B6 * IFERROR(VLOOKUP("LULUCF|SO2|Asthma symptoms cough", US_national_yearly!$D:$AM, 29, FALSE) / VLOOKUP("LULUCF|SO2|Asthma symptoms cough", US_national_yearly!$D:$AM, 10, FALSE), 1)</f>
        <v>1.4247621241987761E-4</v>
      </c>
      <c r="V6" s="7">
        <f>$B6 * IFERROR(VLOOKUP("LULUCF|SO2|Asthma symptoms cough", US_national_yearly!$D:$AM, 30, FALSE) / VLOOKUP("LULUCF|SO2|Asthma symptoms cough", US_national_yearly!$D:$AM, 10, FALSE), 1)</f>
        <v>1.4247621241987761E-4</v>
      </c>
      <c r="W6" s="7">
        <f>$B6 * IFERROR(VLOOKUP("LULUCF|SO2|Asthma symptoms cough", US_national_yearly!$D:$AM, 31, FALSE) / VLOOKUP("LULUCF|SO2|Asthma symptoms cough", US_national_yearly!$D:$AM, 10, FALSE), 1)</f>
        <v>1.4247621241987761E-4</v>
      </c>
      <c r="X6" s="7">
        <f>$B6 * IFERROR(VLOOKUP("LULUCF|SO2|Asthma symptoms cough", US_national_yearly!$D:$AM, 32, FALSE) / VLOOKUP("LULUCF|SO2|Asthma symptoms cough", US_national_yearly!$D:$AM, 10, FALSE), 1)</f>
        <v>1.4247621241987761E-4</v>
      </c>
      <c r="Y6" s="7">
        <f>$B6 * IFERROR(VLOOKUP("LULUCF|SO2|Asthma symptoms cough", US_national_yearly!$D:$AM, 33, FALSE) / VLOOKUP("LULUCF|SO2|Asthma symptoms cough", US_national_yearly!$D:$AM, 10, FALSE), 1)</f>
        <v>1.4247621241987761E-4</v>
      </c>
      <c r="Z6" s="7">
        <f>$B6 * IFERROR(VLOOKUP("LULUCF|SO2|Asthma symptoms cough", US_national_yearly!$D:$AM, 34, FALSE) / VLOOKUP("LULUCF|SO2|Asthma symptoms cough", US_national_yearly!$D:$AM, 10, FALSE), 1)</f>
        <v>1.4247621241987761E-4</v>
      </c>
      <c r="AA6" s="7">
        <f>$B6 * IFERROR(VLOOKUP("LULUCF|SO2|Asthma symptoms cough", US_national_yearly!$D:$AM, 35, FALSE) / VLOOKUP("LULUCF|SO2|Asthma symptoms cough", US_national_yearly!$D:$AM, 10, FALSE), 1)</f>
        <v>1.4247621241987761E-4</v>
      </c>
      <c r="AB6" s="7">
        <f>$B6 * IFERROR(VLOOKUP("LULUCF|SO2|Asthma symptoms cough", US_national_yearly!$D:$AM, 36, FALSE) / VLOOKUP("LULUCF|SO2|Asthma symptoms cough", US_national_yearly!$D:$AM, 10, FALSE), 1)</f>
        <v>1.4247621241987761E-4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1.9186496107106104E-4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1.9186496107106104E-4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1.9186496107106104E-4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1.9186496107106104E-4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1.9186496107106104E-4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1.9186496107106104E-4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1.9186496107106104E-4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1.9186496107106104E-4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1.9186496107106104E-4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1.9186496107106104E-4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1.9186496107106104E-4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1.9186496107106104E-4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1.9186496107106104E-4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1.9186496107106104E-4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1.9186496107106104E-4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1.9186496107106104E-4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1.9186496107106104E-4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1.9186496107106104E-4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1.9186496107106104E-4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1.9186496107106104E-4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1.9186496107106104E-4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1.9186496107106104E-4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1.9186496107106104E-4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1.9186496107106104E-4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1.9186496107106104E-4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1.9186496107106104E-4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1.9186496107106104E-4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2.9313690352149411E-4</v>
      </c>
      <c r="C8" s="7">
        <f>$B8 * IFERROR(VLOOKUP("LULUCF|SO2|Asthma symptoms wheeze", US_national_yearly!$D:$AM, 11, FALSE) / VLOOKUP("LULUCF|SO2|Asthma symptoms wheeze", US_national_yearly!$D:$AM, 10, FALSE), 1)</f>
        <v>2.9313690352149411E-4</v>
      </c>
      <c r="D8" s="7">
        <f>$B8 * IFERROR(VLOOKUP("LULUCF|SO2|Asthma symptoms wheeze", US_national_yearly!$D:$AM, 12, FALSE) / VLOOKUP("LULUCF|SO2|Asthma symptoms wheeze", US_national_yearly!$D:$AM, 10, FALSE), 1)</f>
        <v>2.9313690352149411E-4</v>
      </c>
      <c r="E8" s="7">
        <f>$B8 * IFERROR(VLOOKUP("LULUCF|SO2|Asthma symptoms wheeze", US_national_yearly!$D:$AM, 13, FALSE) / VLOOKUP("LULUCF|SO2|Asthma symptoms wheeze", US_national_yearly!$D:$AM, 10, FALSE), 1)</f>
        <v>2.9313690352149411E-4</v>
      </c>
      <c r="F8" s="7">
        <f>$B8 * IFERROR(VLOOKUP("LULUCF|SO2|Asthma symptoms wheeze", US_national_yearly!$D:$AM, 14, FALSE) / VLOOKUP("LULUCF|SO2|Asthma symptoms wheeze", US_national_yearly!$D:$AM, 10, FALSE), 1)</f>
        <v>2.9313690352149411E-4</v>
      </c>
      <c r="G8" s="7">
        <f>$B8 * IFERROR(VLOOKUP("LULUCF|SO2|Asthma symptoms wheeze", US_national_yearly!$D:$AM, 15, FALSE) / VLOOKUP("LULUCF|SO2|Asthma symptoms wheeze", US_national_yearly!$D:$AM, 10, FALSE), 1)</f>
        <v>2.9313690352149411E-4</v>
      </c>
      <c r="H8" s="7">
        <f>$B8 * IFERROR(VLOOKUP("LULUCF|SO2|Asthma symptoms wheeze", US_national_yearly!$D:$AM, 16, FALSE) / VLOOKUP("LULUCF|SO2|Asthma symptoms wheeze", US_national_yearly!$D:$AM, 10, FALSE), 1)</f>
        <v>2.9313690352149411E-4</v>
      </c>
      <c r="I8" s="7">
        <f>$B8 * IFERROR(VLOOKUP("LULUCF|SO2|Asthma symptoms wheeze", US_national_yearly!$D:$AM, 17, FALSE) / VLOOKUP("LULUCF|SO2|Asthma symptoms wheeze", US_national_yearly!$D:$AM, 10, FALSE), 1)</f>
        <v>2.9313690352149411E-4</v>
      </c>
      <c r="J8" s="7">
        <f>$B8 * IFERROR(VLOOKUP("LULUCF|SO2|Asthma symptoms wheeze", US_national_yearly!$D:$AM, 18, FALSE) / VLOOKUP("LULUCF|SO2|Asthma symptoms wheeze", US_national_yearly!$D:$AM, 10, FALSE), 1)</f>
        <v>2.9313690352149411E-4</v>
      </c>
      <c r="K8" s="7">
        <f>$B8 * IFERROR(VLOOKUP("LULUCF|SO2|Asthma symptoms wheeze", US_national_yearly!$D:$AM, 19, FALSE) / VLOOKUP("LULUCF|SO2|Asthma symptoms wheeze", US_national_yearly!$D:$AM, 10, FALSE), 1)</f>
        <v>2.9313690352149411E-4</v>
      </c>
      <c r="L8" s="7">
        <f>$B8 * IFERROR(VLOOKUP("LULUCF|SO2|Asthma symptoms wheeze", US_national_yearly!$D:$AM, 20, FALSE) / VLOOKUP("LULUCF|SO2|Asthma symptoms wheeze", US_national_yearly!$D:$AM, 10, FALSE), 1)</f>
        <v>2.9313690352149411E-4</v>
      </c>
      <c r="M8" s="7">
        <f>$B8 * IFERROR(VLOOKUP("LULUCF|SO2|Asthma symptoms wheeze", US_national_yearly!$D:$AM, 21, FALSE) / VLOOKUP("LULUCF|SO2|Asthma symptoms wheeze", US_national_yearly!$D:$AM, 10, FALSE), 1)</f>
        <v>2.9313690352149411E-4</v>
      </c>
      <c r="N8" s="7">
        <f>$B8 * IFERROR(VLOOKUP("LULUCF|SO2|Asthma symptoms wheeze", US_national_yearly!$D:$AM, 22, FALSE) / VLOOKUP("LULUCF|SO2|Asthma symptoms wheeze", US_national_yearly!$D:$AM, 10, FALSE), 1)</f>
        <v>2.9313690352149411E-4</v>
      </c>
      <c r="O8" s="7">
        <f>$B8 * IFERROR(VLOOKUP("LULUCF|SO2|Asthma symptoms wheeze", US_national_yearly!$D:$AM, 23, FALSE) / VLOOKUP("LULUCF|SO2|Asthma symptoms wheeze", US_national_yearly!$D:$AM, 10, FALSE), 1)</f>
        <v>2.9313690352149411E-4</v>
      </c>
      <c r="P8" s="7">
        <f>$B8 * IFERROR(VLOOKUP("LULUCF|SO2|Asthma symptoms wheeze", US_national_yearly!$D:$AM, 24, FALSE) / VLOOKUP("LULUCF|SO2|Asthma symptoms wheeze", US_national_yearly!$D:$AM, 10, FALSE), 1)</f>
        <v>2.9313690352149411E-4</v>
      </c>
      <c r="Q8" s="7">
        <f>$B8 * IFERROR(VLOOKUP("LULUCF|SO2|Asthma symptoms wheeze", US_national_yearly!$D:$AM, 25, FALSE) / VLOOKUP("LULUCF|SO2|Asthma symptoms wheeze", US_national_yearly!$D:$AM, 10, FALSE), 1)</f>
        <v>2.9313690352149411E-4</v>
      </c>
      <c r="R8" s="7">
        <f>$B8 * IFERROR(VLOOKUP("LULUCF|SO2|Asthma symptoms wheeze", US_national_yearly!$D:$AM, 26, FALSE) / VLOOKUP("LULUCF|SO2|Asthma symptoms wheeze", US_national_yearly!$D:$AM, 10, FALSE), 1)</f>
        <v>2.9313690352149411E-4</v>
      </c>
      <c r="S8" s="7">
        <f>$B8 * IFERROR(VLOOKUP("LULUCF|SO2|Asthma symptoms wheeze", US_national_yearly!$D:$AM, 27, FALSE) / VLOOKUP("LULUCF|SO2|Asthma symptoms wheeze", US_national_yearly!$D:$AM, 10, FALSE), 1)</f>
        <v>2.9313690352149411E-4</v>
      </c>
      <c r="T8" s="7">
        <f>$B8 * IFERROR(VLOOKUP("LULUCF|SO2|Asthma symptoms wheeze", US_national_yearly!$D:$AM, 28, FALSE) / VLOOKUP("LULUCF|SO2|Asthma symptoms wheeze", US_national_yearly!$D:$AM, 10, FALSE), 1)</f>
        <v>2.9313690352149411E-4</v>
      </c>
      <c r="U8" s="7">
        <f>$B8 * IFERROR(VLOOKUP("LULUCF|SO2|Asthma symptoms wheeze", US_national_yearly!$D:$AM, 29, FALSE) / VLOOKUP("LULUCF|SO2|Asthma symptoms wheeze", US_national_yearly!$D:$AM, 10, FALSE), 1)</f>
        <v>2.9313690352149411E-4</v>
      </c>
      <c r="V8" s="7">
        <f>$B8 * IFERROR(VLOOKUP("LULUCF|SO2|Asthma symptoms wheeze", US_national_yearly!$D:$AM, 30, FALSE) / VLOOKUP("LULUCF|SO2|Asthma symptoms wheeze", US_national_yearly!$D:$AM, 10, FALSE), 1)</f>
        <v>2.9313690352149411E-4</v>
      </c>
      <c r="W8" s="7">
        <f>$B8 * IFERROR(VLOOKUP("LULUCF|SO2|Asthma symptoms wheeze", US_national_yearly!$D:$AM, 31, FALSE) / VLOOKUP("LULUCF|SO2|Asthma symptoms wheeze", US_national_yearly!$D:$AM, 10, FALSE), 1)</f>
        <v>2.9313690352149411E-4</v>
      </c>
      <c r="X8" s="7">
        <f>$B8 * IFERROR(VLOOKUP("LULUCF|SO2|Asthma symptoms wheeze", US_national_yearly!$D:$AM, 32, FALSE) / VLOOKUP("LULUCF|SO2|Asthma symptoms wheeze", US_national_yearly!$D:$AM, 10, FALSE), 1)</f>
        <v>2.9313690352149411E-4</v>
      </c>
      <c r="Y8" s="7">
        <f>$B8 * IFERROR(VLOOKUP("LULUCF|SO2|Asthma symptoms wheeze", US_national_yearly!$D:$AM, 33, FALSE) / VLOOKUP("LULUCF|SO2|Asthma symptoms wheeze", US_national_yearly!$D:$AM, 10, FALSE), 1)</f>
        <v>2.9313690352149411E-4</v>
      </c>
      <c r="Z8" s="7">
        <f>$B8 * IFERROR(VLOOKUP("LULUCF|SO2|Asthma symptoms wheeze", US_national_yearly!$D:$AM, 34, FALSE) / VLOOKUP("LULUCF|SO2|Asthma symptoms wheeze", US_national_yearly!$D:$AM, 10, FALSE), 1)</f>
        <v>2.9313690352149411E-4</v>
      </c>
      <c r="AA8" s="7">
        <f>$B8 * IFERROR(VLOOKUP("LULUCF|SO2|Asthma symptoms wheeze", US_national_yearly!$D:$AM, 35, FALSE) / VLOOKUP("LULUCF|SO2|Asthma symptoms wheeze", US_national_yearly!$D:$AM, 10, FALSE), 1)</f>
        <v>2.9313690352149411E-4</v>
      </c>
      <c r="AB8" s="7">
        <f>$B8 * IFERROR(VLOOKUP("LULUCF|SO2|Asthma symptoms wheeze", US_national_yearly!$D:$AM, 36, FALSE) / VLOOKUP("LULUCF|SO2|Asthma symptoms wheeze", US_national_yearly!$D:$AM, 10, FALSE), 1)</f>
        <v>2.9313690352149411E-4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8.2400496866682394E-6</v>
      </c>
      <c r="C12" s="7">
        <f>$B12 * IFERROR(VLOOKUP("LULUCF|SO2|Respiratory hospital admissions", US_national_yearly!$D:$AM, 11, FALSE) / VLOOKUP("LULUCF|SO2|Respiratory hospital admissions", US_national_yearly!$D:$AM, 10, FALSE), 1)</f>
        <v>8.2886499092086499E-6</v>
      </c>
      <c r="D12" s="7">
        <f>$B12 * IFERROR(VLOOKUP("LULUCF|SO2|Respiratory hospital admissions", US_national_yearly!$D:$AM, 12, FALSE) / VLOOKUP("LULUCF|SO2|Respiratory hospital admissions", US_national_yearly!$D:$AM, 10, FALSE), 1)</f>
        <v>8.3372501317490603E-6</v>
      </c>
      <c r="E12" s="7">
        <f>$B12 * IFERROR(VLOOKUP("LULUCF|SO2|Respiratory hospital admissions", US_national_yearly!$D:$AM, 13, FALSE) / VLOOKUP("LULUCF|SO2|Respiratory hospital admissions", US_national_yearly!$D:$AM, 10, FALSE), 1)</f>
        <v>8.3858503542894707E-6</v>
      </c>
      <c r="F12" s="7">
        <f>$B12 * IFERROR(VLOOKUP("LULUCF|SO2|Respiratory hospital admissions", US_national_yearly!$D:$AM, 14, FALSE) / VLOOKUP("LULUCF|SO2|Respiratory hospital admissions", US_national_yearly!$D:$AM, 10, FALSE), 1)</f>
        <v>8.4344505768298811E-6</v>
      </c>
      <c r="G12" s="7">
        <f>$B12 * IFERROR(VLOOKUP("LULUCF|SO2|Respiratory hospital admissions", US_national_yearly!$D:$AM, 15, FALSE) / VLOOKUP("LULUCF|SO2|Respiratory hospital admissions", US_national_yearly!$D:$AM, 10, FALSE), 1)</f>
        <v>8.4874330168468074E-6</v>
      </c>
      <c r="H12" s="7">
        <f>$B12 * IFERROR(VLOOKUP("LULUCF|SO2|Respiratory hospital admissions", US_national_yearly!$D:$AM, 16, FALSE) / VLOOKUP("LULUCF|SO2|Respiratory hospital admissions", US_national_yearly!$D:$AM, 10, FALSE), 1)</f>
        <v>8.5404154568637336E-6</v>
      </c>
      <c r="I12" s="7">
        <f>$B12 * IFERROR(VLOOKUP("LULUCF|SO2|Respiratory hospital admissions", US_national_yearly!$D:$AM, 17, FALSE) / VLOOKUP("LULUCF|SO2|Respiratory hospital admissions", US_national_yearly!$D:$AM, 10, FALSE), 1)</f>
        <v>8.5926624510285757E-6</v>
      </c>
      <c r="J12" s="7">
        <f>$B12 * IFERROR(VLOOKUP("LULUCF|SO2|Respiratory hospital admissions", US_national_yearly!$D:$AM, 18, FALSE) / VLOOKUP("LULUCF|SO2|Respiratory hospital admissions", US_national_yearly!$D:$AM, 10, FALSE), 1)</f>
        <v>8.6449094451934194E-6</v>
      </c>
      <c r="K12" s="7">
        <f>$B12 * IFERROR(VLOOKUP("LULUCF|SO2|Respiratory hospital admissions", US_national_yearly!$D:$AM, 19, FALSE) / VLOOKUP("LULUCF|SO2|Respiratory hospital admissions", US_national_yearly!$D:$AM, 10, FALSE), 1)</f>
        <v>8.6971564393582598E-6</v>
      </c>
      <c r="L12" s="7">
        <f>$B12 * IFERROR(VLOOKUP("LULUCF|SO2|Respiratory hospital admissions", US_national_yearly!$D:$AM, 20, FALSE) / VLOOKUP("LULUCF|SO2|Respiratory hospital admissions", US_national_yearly!$D:$AM, 10, FALSE), 1)</f>
        <v>8.7494034335231035E-6</v>
      </c>
      <c r="M12" s="7">
        <f>$B12 * IFERROR(VLOOKUP("LULUCF|SO2|Respiratory hospital admissions", US_national_yearly!$D:$AM, 21, FALSE) / VLOOKUP("LULUCF|SO2|Respiratory hospital admissions", US_national_yearly!$D:$AM, 10, FALSE), 1)</f>
        <v>8.8016504276879439E-6</v>
      </c>
      <c r="N12" s="7">
        <f>$B12 * IFERROR(VLOOKUP("LULUCF|SO2|Respiratory hospital admissions", US_national_yearly!$D:$AM, 22, FALSE) / VLOOKUP("LULUCF|SO2|Respiratory hospital admissions", US_national_yearly!$D:$AM, 10, FALSE), 1)</f>
        <v>8.8397891206368375E-6</v>
      </c>
      <c r="O12" s="7">
        <f>$B12 * IFERROR(VLOOKUP("LULUCF|SO2|Respiratory hospital admissions", US_national_yearly!$D:$AM, 23, FALSE) / VLOOKUP("LULUCF|SO2|Respiratory hospital admissions", US_national_yearly!$D:$AM, 10, FALSE), 1)</f>
        <v>8.8779278135857277E-6</v>
      </c>
      <c r="P12" s="7">
        <f>$B12 * IFERROR(VLOOKUP("LULUCF|SO2|Respiratory hospital admissions", US_national_yearly!$D:$AM, 24, FALSE) / VLOOKUP("LULUCF|SO2|Respiratory hospital admissions", US_national_yearly!$D:$AM, 10, FALSE), 1)</f>
        <v>8.9160665065346196E-6</v>
      </c>
      <c r="Q12" s="7">
        <f>$B12 * IFERROR(VLOOKUP("LULUCF|SO2|Respiratory hospital admissions", US_national_yearly!$D:$AM, 25, FALSE) / VLOOKUP("LULUCF|SO2|Respiratory hospital admissions", US_national_yearly!$D:$AM, 10, FALSE), 1)</f>
        <v>8.9542051994835132E-6</v>
      </c>
      <c r="R12" s="7">
        <f>$B12 * IFERROR(VLOOKUP("LULUCF|SO2|Respiratory hospital admissions", US_national_yearly!$D:$AM, 26, FALSE) / VLOOKUP("LULUCF|SO2|Respiratory hospital admissions", US_national_yearly!$D:$AM, 10, FALSE), 1)</f>
        <v>8.9923438924324034E-6</v>
      </c>
      <c r="S12" s="7">
        <f>$B12 * IFERROR(VLOOKUP("LULUCF|SO2|Respiratory hospital admissions", US_national_yearly!$D:$AM, 27, FALSE) / VLOOKUP("LULUCF|SO2|Respiratory hospital admissions", US_national_yearly!$D:$AM, 10, FALSE), 1)</f>
        <v>9.0287252954412589E-6</v>
      </c>
      <c r="T12" s="7">
        <f>$B12 * IFERROR(VLOOKUP("LULUCF|SO2|Respiratory hospital admissions", US_national_yearly!$D:$AM, 28, FALSE) / VLOOKUP("LULUCF|SO2|Respiratory hospital admissions", US_national_yearly!$D:$AM, 10, FALSE), 1)</f>
        <v>9.0651066984501127E-6</v>
      </c>
      <c r="U12" s="7">
        <f>$B12 * IFERROR(VLOOKUP("LULUCF|SO2|Respiratory hospital admissions", US_national_yearly!$D:$AM, 29, FALSE) / VLOOKUP("LULUCF|SO2|Respiratory hospital admissions", US_national_yearly!$D:$AM, 10, FALSE), 1)</f>
        <v>9.1014881014589681E-6</v>
      </c>
      <c r="V12" s="7">
        <f>$B12 * IFERROR(VLOOKUP("LULUCF|SO2|Respiratory hospital admissions", US_national_yearly!$D:$AM, 30, FALSE) / VLOOKUP("LULUCF|SO2|Respiratory hospital admissions", US_national_yearly!$D:$AM, 10, FALSE), 1)</f>
        <v>9.1378695044678236E-6</v>
      </c>
      <c r="W12" s="7">
        <f>$B12 * IFERROR(VLOOKUP("LULUCF|SO2|Respiratory hospital admissions", US_national_yearly!$D:$AM, 31, FALSE) / VLOOKUP("LULUCF|SO2|Respiratory hospital admissions", US_national_yearly!$D:$AM, 10, FALSE), 1)</f>
        <v>9.1742509074766791E-6</v>
      </c>
      <c r="X12" s="7">
        <f>$B12 * IFERROR(VLOOKUP("LULUCF|SO2|Respiratory hospital admissions", US_national_yearly!$D:$AM, 32, FALSE) / VLOOKUP("LULUCF|SO2|Respiratory hospital admissions", US_national_yearly!$D:$AM, 10, FALSE), 1)</f>
        <v>9.2087708858155504E-6</v>
      </c>
      <c r="Y12" s="7">
        <f>$B12 * IFERROR(VLOOKUP("LULUCF|SO2|Respiratory hospital admissions", US_national_yearly!$D:$AM, 33, FALSE) / VLOOKUP("LULUCF|SO2|Respiratory hospital admissions", US_national_yearly!$D:$AM, 10, FALSE), 1)</f>
        <v>9.2432908641544217E-6</v>
      </c>
      <c r="Z12" s="7">
        <f>$B12 * IFERROR(VLOOKUP("LULUCF|SO2|Respiratory hospital admissions", US_national_yearly!$D:$AM, 34, FALSE) / VLOOKUP("LULUCF|SO2|Respiratory hospital admissions", US_national_yearly!$D:$AM, 10, FALSE), 1)</f>
        <v>9.2778108424932947E-6</v>
      </c>
      <c r="AA12" s="7">
        <f>$B12 * IFERROR(VLOOKUP("LULUCF|SO2|Respiratory hospital admissions", US_national_yearly!$D:$AM, 35, FALSE) / VLOOKUP("LULUCF|SO2|Respiratory hospital admissions", US_national_yearly!$D:$AM, 10, FALSE), 1)</f>
        <v>9.312330820832166E-6</v>
      </c>
      <c r="AB12" s="7">
        <f>$B12 * IFERROR(VLOOKUP("LULUCF|SO2|Respiratory hospital admissions", US_national_yearly!$D:$AM, 36, FALSE) / VLOOKUP("LULUCF|SO2|Respiratory hospital admissions", US_national_yearly!$D:$AM, 10, FALSE), 1)</f>
        <v>9.346850799171039E-6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6.4966864933188562E-5</v>
      </c>
      <c r="C13" s="7">
        <f>$B13 * IFERROR(VLOOKUP("LULUCF|SO2|Non-fatal heart attacks", US_national_yearly!$D:$AM, 11, FALSE) / VLOOKUP("LULUCF|SO2|Non-fatal heart attacks", US_national_yearly!$D:$AM, 10, FALSE), 1)</f>
        <v>6.6874056115034979E-5</v>
      </c>
      <c r="D13" s="7">
        <f>$B13 * IFERROR(VLOOKUP("LULUCF|SO2|Non-fatal heart attacks", US_national_yearly!$D:$AM, 12, FALSE) / VLOOKUP("LULUCF|SO2|Non-fatal heart attacks", US_national_yearly!$D:$AM, 10, FALSE), 1)</f>
        <v>6.8781247296881396E-5</v>
      </c>
      <c r="E13" s="7">
        <f>$B13 * IFERROR(VLOOKUP("LULUCF|SO2|Non-fatal heart attacks", US_national_yearly!$D:$AM, 13, FALSE) / VLOOKUP("LULUCF|SO2|Non-fatal heart attacks", US_national_yearly!$D:$AM, 10, FALSE), 1)</f>
        <v>7.0688438478727826E-5</v>
      </c>
      <c r="F13" s="7">
        <f>$B13 * IFERROR(VLOOKUP("LULUCF|SO2|Non-fatal heart attacks", US_national_yearly!$D:$AM, 14, FALSE) / VLOOKUP("LULUCF|SO2|Non-fatal heart attacks", US_national_yearly!$D:$AM, 10, FALSE), 1)</f>
        <v>7.2595629660574229E-5</v>
      </c>
      <c r="G13" s="7">
        <f>$B13 * IFERROR(VLOOKUP("LULUCF|SO2|Non-fatal heart attacks", US_national_yearly!$D:$AM, 15, FALSE) / VLOOKUP("LULUCF|SO2|Non-fatal heart attacks", US_national_yearly!$D:$AM, 10, FALSE), 1)</f>
        <v>7.4394287847844484E-5</v>
      </c>
      <c r="H13" s="7">
        <f>$B13 * IFERROR(VLOOKUP("LULUCF|SO2|Non-fatal heart attacks", US_national_yearly!$D:$AM, 16, FALSE) / VLOOKUP("LULUCF|SO2|Non-fatal heart attacks", US_national_yearly!$D:$AM, 10, FALSE), 1)</f>
        <v>7.619294603511474E-5</v>
      </c>
      <c r="I13" s="7">
        <f>$B13 * IFERROR(VLOOKUP("LULUCF|SO2|Non-fatal heart attacks", US_national_yearly!$D:$AM, 17, FALSE) / VLOOKUP("LULUCF|SO2|Non-fatal heart attacks", US_national_yearly!$D:$AM, 10, FALSE), 1)</f>
        <v>7.7640302022603252E-5</v>
      </c>
      <c r="J13" s="7">
        <f>$B13 * IFERROR(VLOOKUP("LULUCF|SO2|Non-fatal heart attacks", US_national_yearly!$D:$AM, 18, FALSE) / VLOOKUP("LULUCF|SO2|Non-fatal heart attacks", US_national_yearly!$D:$AM, 10, FALSE), 1)</f>
        <v>7.9087658010091778E-5</v>
      </c>
      <c r="K13" s="7">
        <f>$B13 * IFERROR(VLOOKUP("LULUCF|SO2|Non-fatal heart attacks", US_national_yearly!$D:$AM, 19, FALSE) / VLOOKUP("LULUCF|SO2|Non-fatal heart attacks", US_national_yearly!$D:$AM, 10, FALSE), 1)</f>
        <v>8.0535013997580304E-5</v>
      </c>
      <c r="L13" s="7">
        <f>$B13 * IFERROR(VLOOKUP("LULUCF|SO2|Non-fatal heart attacks", US_national_yearly!$D:$AM, 20, FALSE) / VLOOKUP("LULUCF|SO2|Non-fatal heart attacks", US_national_yearly!$D:$AM, 10, FALSE), 1)</f>
        <v>8.1982369985068843E-5</v>
      </c>
      <c r="M13" s="7">
        <f>$B13 * IFERROR(VLOOKUP("LULUCF|SO2|Non-fatal heart attacks", US_national_yearly!$D:$AM, 21, FALSE) / VLOOKUP("LULUCF|SO2|Non-fatal heart attacks", US_national_yearly!$D:$AM, 10, FALSE), 1)</f>
        <v>8.3429725972557382E-5</v>
      </c>
      <c r="N13" s="7">
        <f>$B13 * IFERROR(VLOOKUP("LULUCF|SO2|Non-fatal heart attacks", US_national_yearly!$D:$AM, 22, FALSE) / VLOOKUP("LULUCF|SO2|Non-fatal heart attacks", US_national_yearly!$D:$AM, 10, FALSE), 1)</f>
        <v>8.4369511701614001E-5</v>
      </c>
      <c r="O13" s="7">
        <f>$B13 * IFERROR(VLOOKUP("LULUCF|SO2|Non-fatal heart attacks", US_national_yearly!$D:$AM, 23, FALSE) / VLOOKUP("LULUCF|SO2|Non-fatal heart attacks", US_national_yearly!$D:$AM, 10, FALSE), 1)</f>
        <v>8.5309297430670648E-5</v>
      </c>
      <c r="P13" s="7">
        <f>$B13 * IFERROR(VLOOKUP("LULUCF|SO2|Non-fatal heart attacks", US_national_yearly!$D:$AM, 24, FALSE) / VLOOKUP("LULUCF|SO2|Non-fatal heart attacks", US_national_yearly!$D:$AM, 10, FALSE), 1)</f>
        <v>8.6249083159727294E-5</v>
      </c>
      <c r="Q13" s="7">
        <f>$B13 * IFERROR(VLOOKUP("LULUCF|SO2|Non-fatal heart attacks", US_national_yearly!$D:$AM, 25, FALSE) / VLOOKUP("LULUCF|SO2|Non-fatal heart attacks", US_national_yearly!$D:$AM, 10, FALSE), 1)</f>
        <v>8.7188868888783927E-5</v>
      </c>
      <c r="R13" s="7">
        <f>$B13 * IFERROR(VLOOKUP("LULUCF|SO2|Non-fatal heart attacks", US_national_yearly!$D:$AM, 26, FALSE) / VLOOKUP("LULUCF|SO2|Non-fatal heart attacks", US_national_yearly!$D:$AM, 10, FALSE), 1)</f>
        <v>8.8128654617840559E-5</v>
      </c>
      <c r="S13" s="7">
        <f>$B13 * IFERROR(VLOOKUP("LULUCF|SO2|Non-fatal heart attacks", US_national_yearly!$D:$AM, 27, FALSE) / VLOOKUP("LULUCF|SO2|Non-fatal heart attacks", US_national_yearly!$D:$AM, 10, FALSE), 1)</f>
        <v>8.8619311460884562E-5</v>
      </c>
      <c r="T13" s="7">
        <f>$B13 * IFERROR(VLOOKUP("LULUCF|SO2|Non-fatal heart attacks", US_national_yearly!$D:$AM, 28, FALSE) / VLOOKUP("LULUCF|SO2|Non-fatal heart attacks", US_national_yearly!$D:$AM, 10, FALSE), 1)</f>
        <v>8.9109968303928565E-5</v>
      </c>
      <c r="U13" s="7">
        <f>$B13 * IFERROR(VLOOKUP("LULUCF|SO2|Non-fatal heart attacks", US_national_yearly!$D:$AM, 29, FALSE) / VLOOKUP("LULUCF|SO2|Non-fatal heart attacks", US_national_yearly!$D:$AM, 10, FALSE), 1)</f>
        <v>8.9600625146972555E-5</v>
      </c>
      <c r="V13" s="7">
        <f>$B13 * IFERROR(VLOOKUP("LULUCF|SO2|Non-fatal heart attacks", US_national_yearly!$D:$AM, 30, FALSE) / VLOOKUP("LULUCF|SO2|Non-fatal heart attacks", US_national_yearly!$D:$AM, 10, FALSE), 1)</f>
        <v>9.0091281990016531E-5</v>
      </c>
      <c r="W13" s="7">
        <f>$B13 * IFERROR(VLOOKUP("LULUCF|SO2|Non-fatal heart attacks", US_national_yearly!$D:$AM, 31, FALSE) / VLOOKUP("LULUCF|SO2|Non-fatal heart attacks", US_national_yearly!$D:$AM, 10, FALSE), 1)</f>
        <v>9.0581938833060547E-5</v>
      </c>
      <c r="X13" s="7">
        <f>$B13 * IFERROR(VLOOKUP("LULUCF|SO2|Non-fatal heart attacks", US_national_yearly!$D:$AM, 32, FALSE) / VLOOKUP("LULUCF|SO2|Non-fatal heart attacks", US_national_yearly!$D:$AM, 10, FALSE), 1)</f>
        <v>9.0952341829915101E-5</v>
      </c>
      <c r="Y13" s="7">
        <f>$B13 * IFERROR(VLOOKUP("LULUCF|SO2|Non-fatal heart attacks", US_national_yearly!$D:$AM, 33, FALSE) / VLOOKUP("LULUCF|SO2|Non-fatal heart attacks", US_national_yearly!$D:$AM, 10, FALSE), 1)</f>
        <v>9.1322744826769642E-5</v>
      </c>
      <c r="Z13" s="7">
        <f>$B13 * IFERROR(VLOOKUP("LULUCF|SO2|Non-fatal heart attacks", US_national_yearly!$D:$AM, 34, FALSE) / VLOOKUP("LULUCF|SO2|Non-fatal heart attacks", US_national_yearly!$D:$AM, 10, FALSE), 1)</f>
        <v>9.1693147823624182E-5</v>
      </c>
      <c r="AA13" s="7">
        <f>$B13 * IFERROR(VLOOKUP("LULUCF|SO2|Non-fatal heart attacks", US_national_yearly!$D:$AM, 35, FALSE) / VLOOKUP("LULUCF|SO2|Non-fatal heart attacks", US_national_yearly!$D:$AM, 10, FALSE), 1)</f>
        <v>9.2063550820478736E-5</v>
      </c>
      <c r="AB13" s="7">
        <f>$B13 * IFERROR(VLOOKUP("LULUCF|SO2|Non-fatal heart attacks", US_national_yearly!$D:$AM, 36, FALSE) / VLOOKUP("LULUCF|SO2|Non-fatal heart attacks", US_national_yearly!$D:$AM, 10, FALSE), 1)</f>
        <v>9.2433953817333276E-5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1.98539817374675E-2</v>
      </c>
      <c r="C14" s="7">
        <f>$B14 * IFERROR(VLOOKUP("LULUCF|SO2|Minor restricted activity days", US_national_yearly!$D:$AM, 11, FALSE) / VLOOKUP("LULUCF|SO2|Minor restricted activity days", US_national_yearly!$D:$AM, 10, FALSE), 1)</f>
        <v>1.9904027010233371E-2</v>
      </c>
      <c r="D14" s="7">
        <f>$B14 * IFERROR(VLOOKUP("LULUCF|SO2|Minor restricted activity days", US_national_yearly!$D:$AM, 12, FALSE) / VLOOKUP("LULUCF|SO2|Minor restricted activity days", US_national_yearly!$D:$AM, 10, FALSE), 1)</f>
        <v>1.9954072282999238E-2</v>
      </c>
      <c r="E14" s="7">
        <f>$B14 * IFERROR(VLOOKUP("LULUCF|SO2|Minor restricted activity days", US_national_yearly!$D:$AM, 13, FALSE) / VLOOKUP("LULUCF|SO2|Minor restricted activity days", US_national_yearly!$D:$AM, 10, FALSE), 1)</f>
        <v>2.0004117555765109E-2</v>
      </c>
      <c r="F14" s="7">
        <f>$B14 * IFERROR(VLOOKUP("LULUCF|SO2|Minor restricted activity days", US_national_yearly!$D:$AM, 14, FALSE) / VLOOKUP("LULUCF|SO2|Minor restricted activity days", US_national_yearly!$D:$AM, 10, FALSE), 1)</f>
        <v>2.0054162828530977E-2</v>
      </c>
      <c r="G14" s="7">
        <f>$B14 * IFERROR(VLOOKUP("LULUCF|SO2|Minor restricted activity days", US_national_yearly!$D:$AM, 15, FALSE) / VLOOKUP("LULUCF|SO2|Minor restricted activity days", US_national_yearly!$D:$AM, 10, FALSE), 1)</f>
        <v>2.0127824553567288E-2</v>
      </c>
      <c r="H14" s="7">
        <f>$B14 * IFERROR(VLOOKUP("LULUCF|SO2|Minor restricted activity days", US_national_yearly!$D:$AM, 16, FALSE) / VLOOKUP("LULUCF|SO2|Minor restricted activity days", US_national_yearly!$D:$AM, 10, FALSE), 1)</f>
        <v>2.02014862786036E-2</v>
      </c>
      <c r="I14" s="7">
        <f>$B14 * IFERROR(VLOOKUP("LULUCF|SO2|Minor restricted activity days", US_national_yearly!$D:$AM, 17, FALSE) / VLOOKUP("LULUCF|SO2|Minor restricted activity days", US_national_yearly!$D:$AM, 10, FALSE), 1)</f>
        <v>2.0327109484575799E-2</v>
      </c>
      <c r="J14" s="7">
        <f>$B14 * IFERROR(VLOOKUP("LULUCF|SO2|Minor restricted activity days", US_national_yearly!$D:$AM, 18, FALSE) / VLOOKUP("LULUCF|SO2|Minor restricted activity days", US_national_yearly!$D:$AM, 10, FALSE), 1)</f>
        <v>2.0452732690548002E-2</v>
      </c>
      <c r="K14" s="7">
        <f>$B14 * IFERROR(VLOOKUP("LULUCF|SO2|Minor restricted activity days", US_national_yearly!$D:$AM, 19, FALSE) / VLOOKUP("LULUCF|SO2|Minor restricted activity days", US_national_yearly!$D:$AM, 10, FALSE), 1)</f>
        <v>2.0578355896520205E-2</v>
      </c>
      <c r="L14" s="7">
        <f>$B14 * IFERROR(VLOOKUP("LULUCF|SO2|Minor restricted activity days", US_national_yearly!$D:$AM, 20, FALSE) / VLOOKUP("LULUCF|SO2|Minor restricted activity days", US_national_yearly!$D:$AM, 10, FALSE), 1)</f>
        <v>2.0703979102492408E-2</v>
      </c>
      <c r="M14" s="7">
        <f>$B14 * IFERROR(VLOOKUP("LULUCF|SO2|Minor restricted activity days", US_national_yearly!$D:$AM, 21, FALSE) / VLOOKUP("LULUCF|SO2|Minor restricted activity days", US_national_yearly!$D:$AM, 10, FALSE), 1)</f>
        <v>2.0829602308464607E-2</v>
      </c>
      <c r="N14" s="7">
        <f>$B14 * IFERROR(VLOOKUP("LULUCF|SO2|Minor restricted activity days", US_national_yearly!$D:$AM, 22, FALSE) / VLOOKUP("LULUCF|SO2|Minor restricted activity days", US_national_yearly!$D:$AM, 10, FALSE), 1)</f>
        <v>2.1001434696863285E-2</v>
      </c>
      <c r="O14" s="7">
        <f>$B14 * IFERROR(VLOOKUP("LULUCF|SO2|Minor restricted activity days", US_national_yearly!$D:$AM, 23, FALSE) / VLOOKUP("LULUCF|SO2|Minor restricted activity days", US_national_yearly!$D:$AM, 10, FALSE), 1)</f>
        <v>2.1173267085261963E-2</v>
      </c>
      <c r="P14" s="7">
        <f>$B14 * IFERROR(VLOOKUP("LULUCF|SO2|Minor restricted activity days", US_national_yearly!$D:$AM, 24, FALSE) / VLOOKUP("LULUCF|SO2|Minor restricted activity days", US_national_yearly!$D:$AM, 10, FALSE), 1)</f>
        <v>2.1345099473660641E-2</v>
      </c>
      <c r="Q14" s="7">
        <f>$B14 * IFERROR(VLOOKUP("LULUCF|SO2|Minor restricted activity days", US_national_yearly!$D:$AM, 25, FALSE) / VLOOKUP("LULUCF|SO2|Minor restricted activity days", US_national_yearly!$D:$AM, 10, FALSE), 1)</f>
        <v>2.1516931862059319E-2</v>
      </c>
      <c r="R14" s="7">
        <f>$B14 * IFERROR(VLOOKUP("LULUCF|SO2|Minor restricted activity days", US_national_yearly!$D:$AM, 26, FALSE) / VLOOKUP("LULUCF|SO2|Minor restricted activity days", US_national_yearly!$D:$AM, 10, FALSE), 1)</f>
        <v>2.1688764250457997E-2</v>
      </c>
      <c r="S14" s="7">
        <f>$B14 * IFERROR(VLOOKUP("LULUCF|SO2|Minor restricted activity days", US_national_yearly!$D:$AM, 27, FALSE) / VLOOKUP("LULUCF|SO2|Minor restricted activity days", US_national_yearly!$D:$AM, 10, FALSE), 1)</f>
        <v>2.1863964188340725E-2</v>
      </c>
      <c r="T14" s="7">
        <f>$B14 * IFERROR(VLOOKUP("LULUCF|SO2|Minor restricted activity days", US_national_yearly!$D:$AM, 28, FALSE) / VLOOKUP("LULUCF|SO2|Minor restricted activity days", US_national_yearly!$D:$AM, 10, FALSE), 1)</f>
        <v>2.2039164126223452E-2</v>
      </c>
      <c r="U14" s="7">
        <f>$B14 * IFERROR(VLOOKUP("LULUCF|SO2|Minor restricted activity days", US_national_yearly!$D:$AM, 29, FALSE) / VLOOKUP("LULUCF|SO2|Minor restricted activity days", US_national_yearly!$D:$AM, 10, FALSE), 1)</f>
        <v>2.2214364064106176E-2</v>
      </c>
      <c r="V14" s="7">
        <f>$B14 * IFERROR(VLOOKUP("LULUCF|SO2|Minor restricted activity days", US_national_yearly!$D:$AM, 30, FALSE) / VLOOKUP("LULUCF|SO2|Minor restricted activity days", US_national_yearly!$D:$AM, 10, FALSE), 1)</f>
        <v>2.2389564001988903E-2</v>
      </c>
      <c r="W14" s="7">
        <f>$B14 * IFERROR(VLOOKUP("LULUCF|SO2|Minor restricted activity days", US_national_yearly!$D:$AM, 31, FALSE) / VLOOKUP("LULUCF|SO2|Minor restricted activity days", US_national_yearly!$D:$AM, 10, FALSE), 1)</f>
        <v>2.2564763939871633E-2</v>
      </c>
      <c r="X14" s="7">
        <f>$B14 * IFERROR(VLOOKUP("LULUCF|SO2|Minor restricted activity days", US_national_yearly!$D:$AM, 32, FALSE) / VLOOKUP("LULUCF|SO2|Minor restricted activity days", US_national_yearly!$D:$AM, 10, FALSE), 1)</f>
        <v>2.2718838323763806E-2</v>
      </c>
      <c r="Y14" s="7">
        <f>$B14 * IFERROR(VLOOKUP("LULUCF|SO2|Minor restricted activity days", US_national_yearly!$D:$AM, 33, FALSE) / VLOOKUP("LULUCF|SO2|Minor restricted activity days", US_national_yearly!$D:$AM, 10, FALSE), 1)</f>
        <v>2.2872912707655978E-2</v>
      </c>
      <c r="Z14" s="7">
        <f>$B14 * IFERROR(VLOOKUP("LULUCF|SO2|Minor restricted activity days", US_national_yearly!$D:$AM, 34, FALSE) / VLOOKUP("LULUCF|SO2|Minor restricted activity days", US_national_yearly!$D:$AM, 10, FALSE), 1)</f>
        <v>2.3026987091548157E-2</v>
      </c>
      <c r="AA14" s="7">
        <f>$B14 * IFERROR(VLOOKUP("LULUCF|SO2|Minor restricted activity days", US_national_yearly!$D:$AM, 35, FALSE) / VLOOKUP("LULUCF|SO2|Minor restricted activity days", US_national_yearly!$D:$AM, 10, FALSE), 1)</f>
        <v>2.3181061475440329E-2</v>
      </c>
      <c r="AB14" s="7">
        <f>$B14 * IFERROR(VLOOKUP("LULUCF|SO2|Minor restricted activity days", US_national_yearly!$D:$AM, 36, FALSE) / VLOOKUP("LULUCF|SO2|Minor restricted activity days", US_national_yearly!$D:$AM, 10, FALSE), 1)</f>
        <v>2.3335135859332504E-2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3.3072972093083344E-3</v>
      </c>
      <c r="C15" s="7">
        <f>$B15 * IFERROR(VLOOKUP("LULUCF|SO2|Work loss days", US_national_yearly!$D:$AM, 11, FALSE) / VLOOKUP("LULUCF|SO2|Work loss days", US_national_yearly!$D:$AM, 10, FALSE), 1)</f>
        <v>3.318012326618098E-3</v>
      </c>
      <c r="D15" s="7">
        <f>$B15 * IFERROR(VLOOKUP("LULUCF|SO2|Work loss days", US_national_yearly!$D:$AM, 12, FALSE) / VLOOKUP("LULUCF|SO2|Work loss days", US_national_yearly!$D:$AM, 10, FALSE), 1)</f>
        <v>3.3287274439278616E-3</v>
      </c>
      <c r="E15" s="7">
        <f>$B15 * IFERROR(VLOOKUP("LULUCF|SO2|Work loss days", US_national_yearly!$D:$AM, 13, FALSE) / VLOOKUP("LULUCF|SO2|Work loss days", US_national_yearly!$D:$AM, 10, FALSE), 1)</f>
        <v>3.3394425612376251E-3</v>
      </c>
      <c r="F15" s="7">
        <f>$B15 * IFERROR(VLOOKUP("LULUCF|SO2|Work loss days", US_national_yearly!$D:$AM, 14, FALSE) / VLOOKUP("LULUCF|SO2|Work loss days", US_national_yearly!$D:$AM, 10, FALSE), 1)</f>
        <v>3.3501576785473887E-3</v>
      </c>
      <c r="G15" s="7">
        <f>$B15 * IFERROR(VLOOKUP("LULUCF|SO2|Work loss days", US_national_yearly!$D:$AM, 15, FALSE) / VLOOKUP("LULUCF|SO2|Work loss days", US_national_yearly!$D:$AM, 10, FALSE), 1)</f>
        <v>3.3641582903909963E-3</v>
      </c>
      <c r="H15" s="7">
        <f>$B15 * IFERROR(VLOOKUP("LULUCF|SO2|Work loss days", US_national_yearly!$D:$AM, 16, FALSE) / VLOOKUP("LULUCF|SO2|Work loss days", US_national_yearly!$D:$AM, 10, FALSE), 1)</f>
        <v>3.378158902234603E-3</v>
      </c>
      <c r="I15" s="7">
        <f>$B15 * IFERROR(VLOOKUP("LULUCF|SO2|Work loss days", US_national_yearly!$D:$AM, 17, FALSE) / VLOOKUP("LULUCF|SO2|Work loss days", US_national_yearly!$D:$AM, 10, FALSE), 1)</f>
        <v>3.3986399179152522E-3</v>
      </c>
      <c r="J15" s="7">
        <f>$B15 * IFERROR(VLOOKUP("LULUCF|SO2|Work loss days", US_national_yearly!$D:$AM, 18, FALSE) / VLOOKUP("LULUCF|SO2|Work loss days", US_national_yearly!$D:$AM, 10, FALSE), 1)</f>
        <v>3.4191209335959006E-3</v>
      </c>
      <c r="K15" s="7">
        <f>$B15 * IFERROR(VLOOKUP("LULUCF|SO2|Work loss days", US_national_yearly!$D:$AM, 19, FALSE) / VLOOKUP("LULUCF|SO2|Work loss days", US_national_yearly!$D:$AM, 10, FALSE), 1)</f>
        <v>3.4396019492765498E-3</v>
      </c>
      <c r="L15" s="7">
        <f>$B15 * IFERROR(VLOOKUP("LULUCF|SO2|Work loss days", US_national_yearly!$D:$AM, 20, FALSE) / VLOOKUP("LULUCF|SO2|Work loss days", US_national_yearly!$D:$AM, 10, FALSE), 1)</f>
        <v>3.4600829649571985E-3</v>
      </c>
      <c r="M15" s="7">
        <f>$B15 * IFERROR(VLOOKUP("LULUCF|SO2|Work loss days", US_national_yearly!$D:$AM, 21, FALSE) / VLOOKUP("LULUCF|SO2|Work loss days", US_national_yearly!$D:$AM, 10, FALSE), 1)</f>
        <v>3.4805639806378477E-3</v>
      </c>
      <c r="N15" s="7">
        <f>$B15 * IFERROR(VLOOKUP("LULUCF|SO2|Work loss days", US_national_yearly!$D:$AM, 22, FALSE) / VLOOKUP("LULUCF|SO2|Work loss days", US_national_yearly!$D:$AM, 10, FALSE), 1)</f>
        <v>3.5062438553409496E-3</v>
      </c>
      <c r="O15" s="7">
        <f>$B15 * IFERROR(VLOOKUP("LULUCF|SO2|Work loss days", US_national_yearly!$D:$AM, 23, FALSE) / VLOOKUP("LULUCF|SO2|Work loss days", US_national_yearly!$D:$AM, 10, FALSE), 1)</f>
        <v>3.531923730044051E-3</v>
      </c>
      <c r="P15" s="7">
        <f>$B15 * IFERROR(VLOOKUP("LULUCF|SO2|Work loss days", US_national_yearly!$D:$AM, 24, FALSE) / VLOOKUP("LULUCF|SO2|Work loss days", US_national_yearly!$D:$AM, 10, FALSE), 1)</f>
        <v>3.557603604747152E-3</v>
      </c>
      <c r="Q15" s="7">
        <f>$B15 * IFERROR(VLOOKUP("LULUCF|SO2|Work loss days", US_national_yearly!$D:$AM, 25, FALSE) / VLOOKUP("LULUCF|SO2|Work loss days", US_national_yearly!$D:$AM, 10, FALSE), 1)</f>
        <v>3.5832834794502538E-3</v>
      </c>
      <c r="R15" s="7">
        <f>$B15 * IFERROR(VLOOKUP("LULUCF|SO2|Work loss days", US_national_yearly!$D:$AM, 26, FALSE) / VLOOKUP("LULUCF|SO2|Work loss days", US_national_yearly!$D:$AM, 10, FALSE), 1)</f>
        <v>3.6089633541533553E-3</v>
      </c>
      <c r="S15" s="7">
        <f>$B15 * IFERROR(VLOOKUP("LULUCF|SO2|Work loss days", US_national_yearly!$D:$AM, 27, FALSE) / VLOOKUP("LULUCF|SO2|Work loss days", US_national_yearly!$D:$AM, 10, FALSE), 1)</f>
        <v>3.6376605294686057E-3</v>
      </c>
      <c r="T15" s="7">
        <f>$B15 * IFERROR(VLOOKUP("LULUCF|SO2|Work loss days", US_national_yearly!$D:$AM, 28, FALSE) / VLOOKUP("LULUCF|SO2|Work loss days", US_national_yearly!$D:$AM, 10, FALSE), 1)</f>
        <v>3.666357704783857E-3</v>
      </c>
      <c r="U15" s="7">
        <f>$B15 * IFERROR(VLOOKUP("LULUCF|SO2|Work loss days", US_national_yearly!$D:$AM, 29, FALSE) / VLOOKUP("LULUCF|SO2|Work loss days", US_national_yearly!$D:$AM, 10, FALSE), 1)</f>
        <v>3.6950548800991074E-3</v>
      </c>
      <c r="V15" s="7">
        <f>$B15 * IFERROR(VLOOKUP("LULUCF|SO2|Work loss days", US_national_yearly!$D:$AM, 30, FALSE) / VLOOKUP("LULUCF|SO2|Work loss days", US_national_yearly!$D:$AM, 10, FALSE), 1)</f>
        <v>3.7237520554143579E-3</v>
      </c>
      <c r="W15" s="7">
        <f>$B15 * IFERROR(VLOOKUP("LULUCF|SO2|Work loss days", US_national_yearly!$D:$AM, 31, FALSE) / VLOOKUP("LULUCF|SO2|Work loss days", US_national_yearly!$D:$AM, 10, FALSE), 1)</f>
        <v>3.7524492307296092E-3</v>
      </c>
      <c r="X15" s="7">
        <f>$B15 * IFERROR(VLOOKUP("LULUCF|SO2|Work loss days", US_national_yearly!$D:$AM, 32, FALSE) / VLOOKUP("LULUCF|SO2|Work loss days", US_national_yearly!$D:$AM, 10, FALSE), 1)</f>
        <v>3.7782153386411877E-3</v>
      </c>
      <c r="Y15" s="7">
        <f>$B15 * IFERROR(VLOOKUP("LULUCF|SO2|Work loss days", US_national_yearly!$D:$AM, 33, FALSE) / VLOOKUP("LULUCF|SO2|Work loss days", US_national_yearly!$D:$AM, 10, FALSE), 1)</f>
        <v>3.8039814465527671E-3</v>
      </c>
      <c r="Z15" s="7">
        <f>$B15 * IFERROR(VLOOKUP("LULUCF|SO2|Work loss days", US_national_yearly!$D:$AM, 34, FALSE) / VLOOKUP("LULUCF|SO2|Work loss days", US_national_yearly!$D:$AM, 10, FALSE), 1)</f>
        <v>3.8297475544643465E-3</v>
      </c>
      <c r="AA15" s="7">
        <f>$B15 * IFERROR(VLOOKUP("LULUCF|SO2|Work loss days", US_national_yearly!$D:$AM, 35, FALSE) / VLOOKUP("LULUCF|SO2|Work loss days", US_national_yearly!$D:$AM, 10, FALSE), 1)</f>
        <v>3.8555136623759259E-3</v>
      </c>
      <c r="AB15" s="7">
        <f>$B15 * IFERROR(VLOOKUP("LULUCF|SO2|Work loss days", US_national_yearly!$D:$AM, 36, FALSE) / VLOOKUP("LULUCF|SO2|Work loss days", US_national_yearly!$D:$AM, 10, FALSE), 1)</f>
        <v>3.8812797702875053E-3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8.9837180633639828E-6</v>
      </c>
      <c r="C17" s="7">
        <f>$B17 * IFERROR(VLOOKUP("LULUCF|SO2|Cardiovascular hospital admissions", US_national_yearly!$D:$AM, 11, FALSE) / VLOOKUP("LULUCF|SO2|Cardiovascular hospital admissions", US_national_yearly!$D:$AM, 10, FALSE), 1)</f>
        <v>9.2554201000456491E-6</v>
      </c>
      <c r="D17" s="7">
        <f>$B17 * IFERROR(VLOOKUP("LULUCF|SO2|Cardiovascular hospital admissions", US_national_yearly!$D:$AM, 12, FALSE) / VLOOKUP("LULUCF|SO2|Cardiovascular hospital admissions", US_national_yearly!$D:$AM, 10, FALSE), 1)</f>
        <v>9.5271221367273138E-6</v>
      </c>
      <c r="E17" s="7">
        <f>$B17 * IFERROR(VLOOKUP("LULUCF|SO2|Cardiovascular hospital admissions", US_national_yearly!$D:$AM, 13, FALSE) / VLOOKUP("LULUCF|SO2|Cardiovascular hospital admissions", US_national_yearly!$D:$AM, 10, FALSE), 1)</f>
        <v>9.7988241734089801E-6</v>
      </c>
      <c r="F17" s="7">
        <f>$B17 * IFERROR(VLOOKUP("LULUCF|SO2|Cardiovascular hospital admissions", US_national_yearly!$D:$AM, 14, FALSE) / VLOOKUP("LULUCF|SO2|Cardiovascular hospital admissions", US_national_yearly!$D:$AM, 10, FALSE), 1)</f>
        <v>1.0070526210090648E-5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1.0330790926406113E-5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1.059105564272158E-5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1.0814051714387921E-5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1.1037047786054262E-5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1.1260043857720604E-5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1.1483039929386945E-5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1.1706036001053285E-5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1.185583856498885E-5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1.2005641128924411E-5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1.2155443692859972E-5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1.2305246256795535E-5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1.2455048820731099E-5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1.2533834303408691E-5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1.2612619786086283E-5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1.2691405268763873E-5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1.2770190751441465E-5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1.2848976234119057E-5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1.2901867533089598E-5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1.2954758832060141E-5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1.3007650131030682E-5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1.3060541430001226E-5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1.3113432728971765E-5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2026-06-15T17:15:38Z</dcterms:modified>
</cp:coreProperties>
</file>