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ME\add-outputs\NoH\"/>
    </mc:Choice>
  </mc:AlternateContent>
  <xr:revisionPtr revIDLastSave="0" documentId="8_{77FB377D-A6C8-43EA-AD8D-3369F995A127}"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L2" i="3"/>
  <c r="N2" i="3"/>
  <c r="Q2" i="3"/>
  <c r="T2" i="3"/>
  <c r="D2" i="3"/>
  <c r="Z2" i="3"/>
  <c r="E2" i="3"/>
  <c r="AA2" i="3"/>
  <c r="P2" i="3"/>
  <c r="X2" i="3"/>
  <c r="F2" i="3"/>
  <c r="AB2" i="3"/>
  <c r="G2" i="3"/>
  <c r="AC2" i="3"/>
  <c r="R2" i="3"/>
  <c r="W2" i="3"/>
  <c r="H2" i="3"/>
  <c r="AD2" i="3"/>
  <c r="V2" i="3"/>
  <c r="I2" i="3"/>
  <c r="AE2" i="3"/>
  <c r="J2" i="3"/>
  <c r="B2" i="3"/>
  <c r="K2" i="3"/>
  <c r="M2" i="3"/>
  <c r="O2" i="3"/>
  <c r="S2" i="3"/>
  <c r="U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<sst xmlns="http://schemas.openxmlformats.org/spreadsheetml/2006/main" count="1069" uniqueCount="448">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</sst>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362</v>
      </c>
      <c r="C1" s="68">
        <v>46185</v>
      </c>
      <c r="H1" t="s">
        <v>324</v>
      </c>
      <c r="I1" t="s">
        <v>325</v>
      </c>
    </row>
    <row r="2" spans="1:9" x14ac:dyDescent="0.25">
      <c r="B2" t="str">
        <f>VLOOKUP(B1,H2:I52,2)</f>
        <v>ME</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651909.74488881882</v>
      </c>
      <c r="C2">
        <f>SUMIFS('state calcs'!C62:C112,'state calcs'!$A$62:$A$112,About!$B$2)</f>
        <v>659771.0036372327</v>
      </c>
      <c r="D2">
        <f>SUMIFS('state calcs'!D62:D112,'state calcs'!$A$62:$A$112,About!$B$2)</f>
        <v>663699.21672749834</v>
      </c>
      <c r="E2">
        <f>SUMIFS('state calcs'!E62:E112,'state calcs'!$A$62:$A$112,About!$B$2)</f>
        <v>667619.89940715639</v>
      </c>
      <c r="F2">
        <f>SUMIFS('state calcs'!F62:F112,'state calcs'!$A$62:$A$112,About!$B$2)</f>
        <v>671661.21456543356</v>
      </c>
      <c r="G2">
        <f>SUMIFS('state calcs'!G62:G112,'state calcs'!$A$62:$A$112,About!$B$2)</f>
        <v>675666.13416916481</v>
      </c>
      <c r="H2">
        <f>SUMIFS('state calcs'!H62:H112,'state calcs'!$A$62:$A$112,About!$B$2)</f>
        <v>679683.26463268395</v>
      </c>
      <c r="I2">
        <f>SUMIFS('state calcs'!I62:I112,'state calcs'!$A$62:$A$112,About!$B$2)</f>
        <v>683725.07220448798</v>
      </c>
      <c r="J2">
        <f>SUMIFS('state calcs'!J62:J112,'state calcs'!$A$62:$A$112,About!$B$2)</f>
        <v>687700.59702716733</v>
      </c>
      <c r="K2">
        <f>SUMIFS('state calcs'!K62:K112,'state calcs'!$A$62:$A$112,About!$B$2)</f>
        <v>691500.62961935345</v>
      </c>
      <c r="L2">
        <f>SUMIFS('state calcs'!L62:L112,'state calcs'!$A$62:$A$112,About!$B$2)</f>
        <v>694032.48489895195</v>
      </c>
      <c r="M2">
        <f>SUMIFS('state calcs'!M62:M112,'state calcs'!$A$62:$A$112,About!$B$2)</f>
        <v>696487.0380607202</v>
      </c>
      <c r="N2">
        <f>SUMIFS('state calcs'!N62:N112,'state calcs'!$A$62:$A$112,About!$B$2)</f>
        <v>698782.50916907424</v>
      </c>
      <c r="O2">
        <f>SUMIFS('state calcs'!O62:O112,'state calcs'!$A$62:$A$112,About!$B$2)</f>
        <v>700870.17631086428</v>
      </c>
      <c r="P2">
        <f>SUMIFS('state calcs'!P62:P112,'state calcs'!$A$62:$A$112,About!$B$2)</f>
        <v>702853.59081410908</v>
      </c>
      <c r="Q2">
        <f>SUMIFS('state calcs'!Q62:Q112,'state calcs'!$A$62:$A$112,About!$B$2)</f>
        <v>704815.42585644079</v>
      </c>
      <c r="R2">
        <f>SUMIFS('state calcs'!R62:R112,'state calcs'!$A$62:$A$112,About!$B$2)</f>
        <v>706714.23409109097</v>
      </c>
      <c r="S2">
        <f>SUMIFS('state calcs'!S62:S112,'state calcs'!$A$62:$A$112,About!$B$2)</f>
        <v>708562.51314379601</v>
      </c>
      <c r="T2">
        <f>SUMIFS('state calcs'!T62:T112,'state calcs'!$A$62:$A$112,About!$B$2)</f>
        <v>710344.78169885941</v>
      </c>
      <c r="U2">
        <f>SUMIFS('state calcs'!U62:U112,'state calcs'!$A$62:$A$112,About!$B$2)</f>
        <v>712158.19677777728</v>
      </c>
      <c r="V2">
        <f>SUMIFS('state calcs'!V62:V112,'state calcs'!$A$62:$A$112,About!$B$2)</f>
        <v>713751.37349967367</v>
      </c>
      <c r="W2">
        <f>SUMIFS('state calcs'!W62:W112,'state calcs'!$A$62:$A$112,About!$B$2)</f>
        <v>715232.09281857242</v>
      </c>
      <c r="X2">
        <f>SUMIFS('state calcs'!X62:X112,'state calcs'!$A$62:$A$112,About!$B$2)</f>
        <v>716640.18331708014</v>
      </c>
      <c r="Y2">
        <f>SUMIFS('state calcs'!Y62:Y112,'state calcs'!$A$62:$A$112,About!$B$2)</f>
        <v>717980.17339238862</v>
      </c>
      <c r="Z2">
        <f>SUMIFS('state calcs'!Z62:Z112,'state calcs'!$A$62:$A$112,About!$B$2)</f>
        <v>719257.96946268727</v>
      </c>
      <c r="AA2">
        <f>SUMIFS('state calcs'!AA62:AA112,'state calcs'!$A$62:$A$112,About!$B$2)</f>
        <v>720456.30164022616</v>
      </c>
      <c r="AB2">
        <f>SUMIFS('state calcs'!AB62:AB112,'state calcs'!$A$62:$A$112,About!$B$2)</f>
        <v>721606.39700763172</v>
      </c>
      <c r="AC2">
        <f>SUMIFS('state calcs'!AC62:AC112,'state calcs'!$A$62:$A$112,About!$B$2)</f>
        <v>722675.1078961225</v>
      </c>
      <c r="AD2">
        <f>SUMIFS('state calcs'!AD62:AD112,'state calcs'!$A$62:$A$112,About!$B$2)</f>
        <v>723658.49647448142</v>
      </c>
      <c r="AE2">
        <f>SUMIFS('state calcs'!AE62:AE112,'state calcs'!$A$62:$A$112,About!$B$2)</f>
        <v>724571.80655483552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2026-06-12T19:28:52Z</dcterms:modified>
</cp:coreProperties>
</file>