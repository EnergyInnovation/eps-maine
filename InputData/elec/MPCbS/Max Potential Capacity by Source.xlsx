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elec\MPCbS\"/>
    </mc:Choice>
  </mc:AlternateContent>
  <xr:revisionPtr revIDLastSave="0" documentId="8_{D8DF3A8F-CC2B-407C-8381-DB30375CC231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<sst xmlns="http://schemas.openxmlformats.org/spreadsheetml/2006/main" count="1067" uniqueCount="282">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</sst>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137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ME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ME</v>
      </c>
      <c r="B1" s="32">
        <f>SUMIFS(E3:E52,A3:A52,A1)</f>
        <v>663000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ME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ME</v>
      </c>
      <c r="B1" s="32">
        <f>SUMIFS(C4:C53,A4:A53,A1)</f>
        <v>147000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Maine</v>
      </c>
      <c r="B1" s="32" t="str">
        <f>LOOKUP(A1,M4:N53,N4:N53)</f>
        <v>ME</v>
      </c>
      <c r="C1" s="32">
        <f>SUMIFS(L5:L52,A5:A52,B1)</f>
        <v>69797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ME</v>
      </c>
      <c r="B1" s="32">
        <f>SUMIFS(D4:D53,A4:A53,A1)</f>
        <v>717.22113502935429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ME</v>
      </c>
      <c r="B1" s="32">
        <f>SUMIFS(C3:C52,A3:A52,A1)</f>
        <v>48000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ME</v>
      </c>
      <c r="B1" s="32">
        <f>SUMIFS(D5:D54,A5:A54,A1)</f>
        <v>894.06392694063925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894.06392694063925</v>
      </c>
    </row>
    <row r="7" spans="1:2" x14ac:dyDescent="0.25">
      <c r="A7" t="s">
        <v>55</v>
      </c>
      <c r="B7">
        <f>'onshore wind'!C1</f>
        <v>69797</v>
      </c>
    </row>
    <row r="8" spans="1:2" x14ac:dyDescent="0.25">
      <c r="A8" t="s">
        <v>33</v>
      </c>
      <c r="B8">
        <f>'solar PV'!B1</f>
        <v>663000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717.22113502935429</v>
      </c>
    </row>
    <row r="11" spans="1:2" x14ac:dyDescent="0.25">
      <c r="A11" t="s">
        <v>39</v>
      </c>
      <c r="B11">
        <f>geothermal!B1</f>
        <v>48000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147000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32.333387849117393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717.22113502935429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2024-01-10T23:20:36Z</dcterms:modified>
</cp:coreProperties>
</file>